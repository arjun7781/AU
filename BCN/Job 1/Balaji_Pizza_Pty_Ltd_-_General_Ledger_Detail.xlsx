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<sst xmlns="http://schemas.openxmlformats.org/spreadsheetml/2006/main" count="437" uniqueCount="437">
  <si>
    <t>General Ledger Detail</t>
  </si>
  <si>
    <t>Balaji Pizza Pty Ltd</t>
  </si>
  <si>
    <t>For the period 1 July 2023 to 30 June 2024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</si>
  <si>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</si>
  <si>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</si>
  <si>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</si>
  <si>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</si>
  <si>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</si>
  <si>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</si>
  <si>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</si>
  <si>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</si>
  <si>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</si>
  <si>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</si>
  <si>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</si>
  <si>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</si>
  <si>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200 - Sales</t>
  </si>
  <si>
    <t>Opening Balance</t>
  </si>
  <si>
    <t>200</t>
  </si>
  <si>
    <t>Revenue</t>
  </si>
  <si>
    <t>Manual Journal</t>
  </si>
  <si>
    <t>Coded movement for the FY 2024 - Sales</t>
  </si>
  <si>
    <t>#109</t>
  </si>
  <si>
    <t>BAS Excluded</t>
  </si>
  <si>
    <t>Total 200 - Sales</t>
  </si>
  <si>
    <t>Net movement</t>
  </si>
  <si>
    <t>Closing Balance</t>
  </si>
  <si>
    <t>201 - Aggregator Sales</t>
  </si>
  <si>
    <t>201</t>
  </si>
  <si>
    <t>Current Asset</t>
  </si>
  <si>
    <t>Coded movement for the FY 2024 - Aggregator Sales</t>
  </si>
  <si>
    <t>Total 201 - Aggregator Sales</t>
  </si>
  <si>
    <t>203 - Cash Floats</t>
  </si>
  <si>
    <t>203</t>
  </si>
  <si>
    <t>No transactions within this period</t>
  </si>
  <si>
    <t>Total 203 - Cash Floats</t>
  </si>
  <si>
    <t>205 - Closing Food Inventory</t>
  </si>
  <si>
    <t>205</t>
  </si>
  <si>
    <t>Coded movement for the FY 2024 - Closing Food Inventory</t>
  </si>
  <si>
    <t>Total 205 - Closing Food Inventory</t>
  </si>
  <si>
    <t>206 - Prepaid Expense</t>
  </si>
  <si>
    <t>206</t>
  </si>
  <si>
    <t>Coded movement for the FY 2024 - Prepaid Expense</t>
  </si>
  <si>
    <t>Total 206 - Prepaid Expense</t>
  </si>
  <si>
    <t>210 - Store Acquisition Costs</t>
  </si>
  <si>
    <t>210</t>
  </si>
  <si>
    <t>Non-current Asset</t>
  </si>
  <si>
    <t>Coded movement for the FY 2024 - Store Acquisition Costs</t>
  </si>
  <si>
    <t>MAQ06:- To Reallocate accounting Fees from Store Acquision Cost - To Reallocate accounting Fees from Store Acquision Cost</t>
  </si>
  <si>
    <t>#154</t>
  </si>
  <si>
    <t>Total 210 - Store Acquisition Costs</t>
  </si>
  <si>
    <t>211 - Store Purchase Clearing</t>
  </si>
  <si>
    <t>211</t>
  </si>
  <si>
    <t>Coded movement for the FY 2024 - Store Purchase Clearing</t>
  </si>
  <si>
    <t>MAQ02 : To recode transactions from Store Purchase Clearing to correct codes</t>
  </si>
  <si>
    <t>#150</t>
  </si>
  <si>
    <t>Total 211 - Store Purchase Clearing</t>
  </si>
  <si>
    <t>212 - Less :- Accumulated Depreciation</t>
  </si>
  <si>
    <t>212</t>
  </si>
  <si>
    <t>MAQ :- To record depreciation - per DEPPRO report - 2024</t>
  </si>
  <si>
    <t>#159</t>
  </si>
  <si>
    <t>Total 212 - Less :- Accumulated Depreciation</t>
  </si>
  <si>
    <t>215 - Borrowing Costs</t>
  </si>
  <si>
    <t>215</t>
  </si>
  <si>
    <t>MAQ04 : To recode borrowing costs from bank fees and amortise - Borrowing costs</t>
  </si>
  <si>
    <t>#131</t>
  </si>
  <si>
    <t>MAQ04 : To recode borrowing costs from bank fees and amortise - Amortise Borrowing costs</t>
  </si>
  <si>
    <t>Total 215 - Borrowing Costs</t>
  </si>
  <si>
    <t>250 - FBT Employee Contribution</t>
  </si>
  <si>
    <t>250</t>
  </si>
  <si>
    <t>Other Income</t>
  </si>
  <si>
    <t>MAQ07:- To Record FBT Employee Contribution - To Record FBT Employee Contribution</t>
  </si>
  <si>
    <t>#137</t>
  </si>
  <si>
    <t>Total 250 - FBT Employee Contribution</t>
  </si>
  <si>
    <t>309 - Opening Food</t>
  </si>
  <si>
    <t>309</t>
  </si>
  <si>
    <t>Direct Costs</t>
  </si>
  <si>
    <t>MAQ03 : To stand opening and closing stock in P&amp;L - Opening Stock</t>
  </si>
  <si>
    <t>#84</t>
  </si>
  <si>
    <t>Total 309 - Opening Food</t>
  </si>
  <si>
    <t>311 - Beverages</t>
  </si>
  <si>
    <t>311</t>
  </si>
  <si>
    <t>Coded movement for the FY 2024 - Beverages</t>
  </si>
  <si>
    <t>Total 311 - Beverages</t>
  </si>
  <si>
    <t>312 - Closing Food</t>
  </si>
  <si>
    <t>312</t>
  </si>
  <si>
    <t>MAQ03 : To stand opening and closing stock in P&amp;L - Closing stock</t>
  </si>
  <si>
    <t>Coded movement for the FY 2024 - Closing Food</t>
  </si>
  <si>
    <t>Total 312 - Closing Food</t>
  </si>
  <si>
    <t>313 - Vegetables</t>
  </si>
  <si>
    <t>313</t>
  </si>
  <si>
    <t>Coded movement for the FY 2024 - Vegetables</t>
  </si>
  <si>
    <t>Total 313 - Vegetables</t>
  </si>
  <si>
    <t>314 - Warehouse Food</t>
  </si>
  <si>
    <t>314</t>
  </si>
  <si>
    <t>Coded movement for the FY 2024 - Warehouse Food</t>
  </si>
  <si>
    <t>Total 314 - Warehouse Food</t>
  </si>
  <si>
    <t>315 - Warehouse Paper</t>
  </si>
  <si>
    <t>315</t>
  </si>
  <si>
    <t>Coded movement for the FY 2024 - Warehouse Paper</t>
  </si>
  <si>
    <t>Total 315 - Warehouse Paper</t>
  </si>
  <si>
    <t>316 - Delivery Allowances</t>
  </si>
  <si>
    <t>316</t>
  </si>
  <si>
    <t>Expense</t>
  </si>
  <si>
    <t>Coded movement for the FY 2024 - Delivery Allowances</t>
  </si>
  <si>
    <t>Total 316 - Delivery Allowances</t>
  </si>
  <si>
    <t>317 - Payroll Tax</t>
  </si>
  <si>
    <t>317</t>
  </si>
  <si>
    <t>Coded movement for the FY 2024 - Payroll Tax</t>
  </si>
  <si>
    <t>Total 317 - Payroll Tax</t>
  </si>
  <si>
    <t>318 - Staff Wages</t>
  </si>
  <si>
    <t>318</t>
  </si>
  <si>
    <t>Coded movement for the FY 2024 - Staff Wages</t>
  </si>
  <si>
    <t>Total 318 - Staff Wages</t>
  </si>
  <si>
    <t>319 - Superannuation expense</t>
  </si>
  <si>
    <t>319</t>
  </si>
  <si>
    <t>Coded movement for the FY 2024 - Superannuation expense</t>
  </si>
  <si>
    <t>Total 319 - Superannuation expense</t>
  </si>
  <si>
    <t>320 - Aggregator Order Fees</t>
  </si>
  <si>
    <t>320</t>
  </si>
  <si>
    <t>Coded movement for the FY 2024 - Aggregator Order Fees</t>
  </si>
  <si>
    <t>Total 320 - Aggregator Order Fees</t>
  </si>
  <si>
    <t>321 - Bank &amp; Statutory Charges</t>
  </si>
  <si>
    <t>321</t>
  </si>
  <si>
    <t>Coded movement for the FY 2024 - Bank &amp; Statutory Charges</t>
  </si>
  <si>
    <t>Total 321 - Bank &amp; Statutory Charges</t>
  </si>
  <si>
    <t>322 - Bank &amp; Stat Charges - E-store</t>
  </si>
  <si>
    <t>322</t>
  </si>
  <si>
    <t>Coded movement for the FY 2024 - Bank &amp; Stat Charges - E-store</t>
  </si>
  <si>
    <t>Total 322 - Bank &amp; Stat Charges - E-store</t>
  </si>
  <si>
    <t>323 - Cash unders/ overs</t>
  </si>
  <si>
    <t>323</t>
  </si>
  <si>
    <t>Coded movement for the FY 2024 - Cash unders/ overs</t>
  </si>
  <si>
    <t>Total 323 - Cash unders/ overs</t>
  </si>
  <si>
    <t>324 - Cleaning Costs</t>
  </si>
  <si>
    <t>324</t>
  </si>
  <si>
    <t>Coded movement for the FY 2024 - Cleaning Costs</t>
  </si>
  <si>
    <t>Total 324 - Cleaning Costs</t>
  </si>
  <si>
    <t>326 - Electricity</t>
  </si>
  <si>
    <t>326</t>
  </si>
  <si>
    <t>Coded movement for the FY 2024 - Electricity</t>
  </si>
  <si>
    <t>Total 326 - Electricity</t>
  </si>
  <si>
    <t>327 - E-store Management Fee</t>
  </si>
  <si>
    <t>327</t>
  </si>
  <si>
    <t>Coded movement for the FY 2024 - E-store Management Fee</t>
  </si>
  <si>
    <t>Total 327 - E-store Management Fee</t>
  </si>
  <si>
    <t>328 - Gas</t>
  </si>
  <si>
    <t>328</t>
  </si>
  <si>
    <t>Coded movement for the FY 2024 - Gas</t>
  </si>
  <si>
    <t>Total 328 - Gas</t>
  </si>
  <si>
    <t>329 - Kitchen Utensils</t>
  </si>
  <si>
    <t>329</t>
  </si>
  <si>
    <t>Coded movement for the FY 2024 - Kitchen Utensils</t>
  </si>
  <si>
    <t>Total 329 - Kitchen Utensils</t>
  </si>
  <si>
    <t>330 - Lsm - Local Store Marketing</t>
  </si>
  <si>
    <t>330</t>
  </si>
  <si>
    <t>Coded movement for the FY 2024 - Lsm - Local Store Marketing</t>
  </si>
  <si>
    <t>Total 330 - Lsm - Local Store Marketing</t>
  </si>
  <si>
    <t>331 - Complaint Services</t>
  </si>
  <si>
    <t>331</t>
  </si>
  <si>
    <t>Coded movement for the FY 2024 - Complaint Services</t>
  </si>
  <si>
    <t>Total 331 - Complaint Services</t>
  </si>
  <si>
    <t>332 - Petty Cash</t>
  </si>
  <si>
    <t>332</t>
  </si>
  <si>
    <t>Coded movement for the FY 2024 - Petty Cash</t>
  </si>
  <si>
    <t>Total 332 - Petty Cash</t>
  </si>
  <si>
    <t>333 - Professional Fees</t>
  </si>
  <si>
    <t>333</t>
  </si>
  <si>
    <t>Coded movement for the FY 2024 - Professional Fees</t>
  </si>
  <si>
    <t>Total 333 - Professional Fees</t>
  </si>
  <si>
    <t>334 - Pest Control</t>
  </si>
  <si>
    <t>334</t>
  </si>
  <si>
    <t>Coded movement for the FY 2024 - Pest Control</t>
  </si>
  <si>
    <t>Total 334 - Pest Control</t>
  </si>
  <si>
    <t>335 - Sundry Expenses</t>
  </si>
  <si>
    <t>335</t>
  </si>
  <si>
    <t>Coded movement for the FY 2024 - Sundry Expenses</t>
  </si>
  <si>
    <t>Total 335 - Sundry Expenses</t>
  </si>
  <si>
    <t>339 - Royalties</t>
  </si>
  <si>
    <t>339</t>
  </si>
  <si>
    <t>Coded movement for the FY 2024 - Royalties - Subsidy</t>
  </si>
  <si>
    <t>Coded movement for the FY 2024 - Royalties</t>
  </si>
  <si>
    <t>Total 339 - Royalties</t>
  </si>
  <si>
    <t>340 - Pulse Expenses</t>
  </si>
  <si>
    <t>340</t>
  </si>
  <si>
    <t>Coded movement for the FY 2024 - Pulse Expenses</t>
  </si>
  <si>
    <t>Total 340 - Pulse Expenses</t>
  </si>
  <si>
    <t>341 - Software Support</t>
  </si>
  <si>
    <t>341</t>
  </si>
  <si>
    <t>Coded movement for the FY 2024 - Software Support</t>
  </si>
  <si>
    <t>Total 341 - Software Support</t>
  </si>
  <si>
    <t>343 - Lease Management Fees</t>
  </si>
  <si>
    <t>343</t>
  </si>
  <si>
    <t>Coded movement for the FY 2024 - Lease Management Fees</t>
  </si>
  <si>
    <t>Total 343 - Lease Management Fees</t>
  </si>
  <si>
    <t>344 - Rates &amp; Charges</t>
  </si>
  <si>
    <t>344</t>
  </si>
  <si>
    <t>Coded movement for the FY 2024 - Rates &amp; Charges</t>
  </si>
  <si>
    <t>Total 344 - Rates &amp; Charges</t>
  </si>
  <si>
    <t>345 - Equipment Rental</t>
  </si>
  <si>
    <t>345</t>
  </si>
  <si>
    <t>Coded movement for the FY 2024 - Equipment Rental</t>
  </si>
  <si>
    <t>Total 345 - Equipment Rental</t>
  </si>
  <si>
    <t>350 - Borrowing Expense</t>
  </si>
  <si>
    <t>350</t>
  </si>
  <si>
    <t>Total 350 - Borrowing Expense</t>
  </si>
  <si>
    <t>400 - Advertising</t>
  </si>
  <si>
    <t>400</t>
  </si>
  <si>
    <t>Coded movement for the FY 2024 - Advertising</t>
  </si>
  <si>
    <t>Coded movement for the FY 2024 - Advertising - Subsidy</t>
  </si>
  <si>
    <t>Total 400 - Advertising</t>
  </si>
  <si>
    <t>412 - Consulting &amp; Accounting</t>
  </si>
  <si>
    <t>412</t>
  </si>
  <si>
    <t>Total 412 - Consulting &amp; Accounting</t>
  </si>
  <si>
    <t>417 - Depreciation</t>
  </si>
  <si>
    <t>417</t>
  </si>
  <si>
    <t>MAQ.01 To record deprecation FY 2024 - To record deprecation FY 2024</t>
  </si>
  <si>
    <t>#102</t>
  </si>
  <si>
    <t>MAQ :- To record depreciation - per DEPPRO report - FY 23-24 Depreciation on Plant</t>
  </si>
  <si>
    <t>MAQ :- To record depreciation - per DEPPRO report - FY 23-24 Depreciation on Low value pool</t>
  </si>
  <si>
    <t>MAQ :- To record depreciation - per DEPPRO report - FY 23-24 Depreciation capital allowanace</t>
  </si>
  <si>
    <t>Total 417 - Depreciation</t>
  </si>
  <si>
    <t>433 - Insurance</t>
  </si>
  <si>
    <t>433</t>
  </si>
  <si>
    <t>Coded movement for the FY 2024 - Insurance - Drivers</t>
  </si>
  <si>
    <t>Coded movement for the FY 2024 - Insurance - Drivers Reimburse</t>
  </si>
  <si>
    <t>Coded movement for the FY 2024 - Insurance - General</t>
  </si>
  <si>
    <t>Total 433 - Insurance</t>
  </si>
  <si>
    <t>437 - Interest Expense</t>
  </si>
  <si>
    <t>437</t>
  </si>
  <si>
    <t>Coded movement for the FY 2024 - Interest Paid - Loans</t>
  </si>
  <si>
    <t>Coded movement for the FY 2024 - Interest Paid - Other</t>
  </si>
  <si>
    <t>Total 437 - Interest Expense</t>
  </si>
  <si>
    <t>442 - Food Subsidy</t>
  </si>
  <si>
    <t>442</t>
  </si>
  <si>
    <t>Coded movement for the FY 2024 - Food Subsidy</t>
  </si>
  <si>
    <t>Total 442 - Food Subsidy</t>
  </si>
  <si>
    <t>443 - Annual Leave</t>
  </si>
  <si>
    <t>443</t>
  </si>
  <si>
    <t>Coded movement for the FY 2024 - Annual Leave</t>
  </si>
  <si>
    <t>Total 443 - Annual Leave</t>
  </si>
  <si>
    <t>444 - Management Wages</t>
  </si>
  <si>
    <t>444</t>
  </si>
  <si>
    <t>Coded movement for the FY 2024 - Management Wages</t>
  </si>
  <si>
    <t>Total 444 - Management Wages</t>
  </si>
  <si>
    <t>446 - Management Bonuses</t>
  </si>
  <si>
    <t>446</t>
  </si>
  <si>
    <t>Coded movement for the FY 2024 - Management Bonuses</t>
  </si>
  <si>
    <t>Total 446 - Management Bonuses</t>
  </si>
  <si>
    <t>447 - Workers Compensation</t>
  </si>
  <si>
    <t>447</t>
  </si>
  <si>
    <t>Coded movement for the FY 2024 - Workers Compensation</t>
  </si>
  <si>
    <t>Total 447 - Workers Compensation</t>
  </si>
  <si>
    <t>448 - Chargebacks</t>
  </si>
  <si>
    <t>448</t>
  </si>
  <si>
    <t>Coded movement for the FY 2024 - Chargebacks</t>
  </si>
  <si>
    <t>Total 448 - Chargebacks</t>
  </si>
  <si>
    <t>449 - Motor Vehicle Expenses</t>
  </si>
  <si>
    <t>449</t>
  </si>
  <si>
    <t>Coded movement for the FY 2024 - M/V Petrol</t>
  </si>
  <si>
    <t>Coded movement for the FY 2024 - M/V Registration &amp; Insurance</t>
  </si>
  <si>
    <t>Coded movement for the FY 2024 - M/V Repairs &amp; Tyres</t>
  </si>
  <si>
    <t>Coded movement for the FY 2024 - M/V Repairs Ebikes</t>
  </si>
  <si>
    <t>Total 449 - Motor Vehicle Expenses</t>
  </si>
  <si>
    <t>450 - Customer Feedback Line</t>
  </si>
  <si>
    <t>450</t>
  </si>
  <si>
    <t>Coded movement for the FY 2024 - Customer Feedback Line</t>
  </si>
  <si>
    <t>Total 450 - Customer Feedback Line</t>
  </si>
  <si>
    <t>451 - Aggregator Refunds</t>
  </si>
  <si>
    <t>451</t>
  </si>
  <si>
    <t>Coded movement for the FY 2024 - Aggregator Refunds</t>
  </si>
  <si>
    <t>Total 451 - Aggregator Refunds</t>
  </si>
  <si>
    <t>452 - Donations &amp; Sponsorships</t>
  </si>
  <si>
    <t>452</t>
  </si>
  <si>
    <t>Coded movement for the FY 2024 - Donations &amp; Sponsorships</t>
  </si>
  <si>
    <t>Total 452 - Donations &amp; Sponsorships</t>
  </si>
  <si>
    <t>454 - Licence &amp; Registration Fees</t>
  </si>
  <si>
    <t>454</t>
  </si>
  <si>
    <t>Coded movement for the FY 2024 - Licence &amp; Registration Fees</t>
  </si>
  <si>
    <t>Total 454 - Licence &amp; Registration Fees</t>
  </si>
  <si>
    <t>455 - Rubbish Remover</t>
  </si>
  <si>
    <t>455</t>
  </si>
  <si>
    <t>Coded movement for the FY 2024 - Rubbish Removal</t>
  </si>
  <si>
    <t>Total 455 - Rubbish Remover</t>
  </si>
  <si>
    <t>456 - Security</t>
  </si>
  <si>
    <t>456</t>
  </si>
  <si>
    <t>Coded movement for the FY 2024 - Security</t>
  </si>
  <si>
    <t>Total 456 - Security</t>
  </si>
  <si>
    <t>457 - Staff Amenities, Meals &amp; Entertainment</t>
  </si>
  <si>
    <t>457</t>
  </si>
  <si>
    <t>Coded movement for the FY 2024 - Staff Amenities, Meals &amp; Entertainment</t>
  </si>
  <si>
    <t>MAQ07:- To Reverse GST from Entertainment - To Reverse GST from Entertainment</t>
  </si>
  <si>
    <t>#119</t>
  </si>
  <si>
    <t>Total 457 - Staff Amenities, Meals &amp; Entertainment</t>
  </si>
  <si>
    <t>458 - Training &amp; Development</t>
  </si>
  <si>
    <t>458</t>
  </si>
  <si>
    <t>Coded movement for the FY 2024 - Training &amp; Development</t>
  </si>
  <si>
    <t>Total 458 - Training &amp; Development</t>
  </si>
  <si>
    <t>459 - Voucher Sale Reimbursement</t>
  </si>
  <si>
    <t>459</t>
  </si>
  <si>
    <t>Coded movement for the FY 2024 - Voucher Sale Reimbursement</t>
  </si>
  <si>
    <t>Total 459 - Voucher Sale Reimbursement</t>
  </si>
  <si>
    <t>461 - Printing &amp; Stationery</t>
  </si>
  <si>
    <t>461</t>
  </si>
  <si>
    <t>Coded movement for the FY 2024 - Postage &amp; Stationery</t>
  </si>
  <si>
    <t>Total 461 - Printing &amp; Stationery</t>
  </si>
  <si>
    <t>469 - Rent</t>
  </si>
  <si>
    <t>469</t>
  </si>
  <si>
    <t>Coded movement for the FY 2024 - Rent</t>
  </si>
  <si>
    <t>Total 469 - Rent</t>
  </si>
  <si>
    <t>473 - Repairs and Maintenance</t>
  </si>
  <si>
    <t>473</t>
  </si>
  <si>
    <t>Coded movement for the FY 2024 - Repairs &amp; Maintenance</t>
  </si>
  <si>
    <t>Total 473 - Repairs and Maintenance</t>
  </si>
  <si>
    <t>489 - Telephone &amp; Internet</t>
  </si>
  <si>
    <t>489</t>
  </si>
  <si>
    <t>Coded movement for the FY 2024 - Telephone</t>
  </si>
  <si>
    <t>Coded movement for the FY 2024 - Telephone - Internet Email</t>
  </si>
  <si>
    <t>Total 489 - Telephone &amp; Internet</t>
  </si>
  <si>
    <t>600 - Main Bank Account - Balaji Pizza Pty Ltd</t>
  </si>
  <si>
    <t>600</t>
  </si>
  <si>
    <t>Coded movement for the FY 2024 - Main Bank Account - Balaji Pizza Pty Ltd</t>
  </si>
  <si>
    <t>Total 600 - Main Bank Account - Balaji Pizza Pty Ltd</t>
  </si>
  <si>
    <t>650 - Loan to Shareholders</t>
  </si>
  <si>
    <t>650</t>
  </si>
  <si>
    <t>Coded movement for the FY 2024 - Drawings</t>
  </si>
  <si>
    <t>MAQ08:- To Offset Shareholders Loan Account - To Offset Shareholders Loan Account</t>
  </si>
  <si>
    <t>#132</t>
  </si>
  <si>
    <t>Total 650 - Loan to Shareholders</t>
  </si>
  <si>
    <t>720 - Plant &amp; Equipment</t>
  </si>
  <si>
    <t>720</t>
  </si>
  <si>
    <t>Fixed Asset</t>
  </si>
  <si>
    <t>MAQ02 : To recode transactions from Store Purchase Clearing to correct codes - MiniThinPan</t>
  </si>
  <si>
    <t>Total 720 - Plant &amp; Equipment</t>
  </si>
  <si>
    <t>721 - Less Accumulated Depreciation on Plant &amp; Equipment</t>
  </si>
  <si>
    <t>721</t>
  </si>
  <si>
    <t>Total 721 - Less Accumulated Depreciation on Plant &amp; Equipment</t>
  </si>
  <si>
    <t>740 - Motor Vehicle at Cost</t>
  </si>
  <si>
    <t>740</t>
  </si>
  <si>
    <t>MAQ02 : To recode transactions from Store Purchase Clearing to correct codes - MV</t>
  </si>
  <si>
    <t>Total 740 - Motor Vehicle at Cost</t>
  </si>
  <si>
    <t>741 - Less Accumulated Depreciation on MV at Cost</t>
  </si>
  <si>
    <t>741</t>
  </si>
  <si>
    <t>Total 741 - Less Accumulated Depreciation on MV at Cost</t>
  </si>
  <si>
    <t>745 - Capital Work</t>
  </si>
  <si>
    <t>745</t>
  </si>
  <si>
    <t>MAQ02 : To recode transactions from Store Purchase Clearing to correct codes - Capital work</t>
  </si>
  <si>
    <t>Total 745 - Capital Work</t>
  </si>
  <si>
    <t>746 - Less Accumulated Depreciation on Capital Works</t>
  </si>
  <si>
    <t>746</t>
  </si>
  <si>
    <t>Total 746 - Less Accumulated Depreciation on Capital Works</t>
  </si>
  <si>
    <t>802 - Accounts Payable</t>
  </si>
  <si>
    <t>802</t>
  </si>
  <si>
    <t>Current Liability</t>
  </si>
  <si>
    <t>Coded movement for the FY 2024 - Accounts Payable</t>
  </si>
  <si>
    <t>Total 802 - Accounts Payable</t>
  </si>
  <si>
    <t>810 - Expense Accrual</t>
  </si>
  <si>
    <t>810</t>
  </si>
  <si>
    <t>Coded movement for the FY 2024 - Expense Accrual</t>
  </si>
  <si>
    <t>Total 810 - Expense Accrual</t>
  </si>
  <si>
    <t>811 - Payroll Tax Liability</t>
  </si>
  <si>
    <t>811</t>
  </si>
  <si>
    <t>Coded movement for the FY 2024 - Payroll Tax Liability</t>
  </si>
  <si>
    <t>Total 811 - Payroll Tax Liability</t>
  </si>
  <si>
    <t>812 - Superannuation Liability</t>
  </si>
  <si>
    <t>812</t>
  </si>
  <si>
    <t>Coded movement for the FY 2024 - Superannuation Liability</t>
  </si>
  <si>
    <t>Total 812 - Superannuation Liability</t>
  </si>
  <si>
    <t>813 - Payroll Clearing</t>
  </si>
  <si>
    <t>813</t>
  </si>
  <si>
    <t>Coded movement for the FY 2024 - Payroll Clearing</t>
  </si>
  <si>
    <t>Total 813 - Payroll Clearing</t>
  </si>
  <si>
    <t>814 - Tip The Driver Liability</t>
  </si>
  <si>
    <t>814</t>
  </si>
  <si>
    <t>Coded movement for the FY 2024 - Tip The Driver Liability</t>
  </si>
  <si>
    <t>Total 814 - Tip The Driver Liability</t>
  </si>
  <si>
    <t>815 - GST Paid</t>
  </si>
  <si>
    <t>815</t>
  </si>
  <si>
    <t>Coded movement for the FY 2024 - GST Paid</t>
  </si>
  <si>
    <t>Total 815 - GST Paid</t>
  </si>
  <si>
    <t>816 - GST Collected</t>
  </si>
  <si>
    <t>816</t>
  </si>
  <si>
    <t>Coded movement for the FY 2024 - GST Collected</t>
  </si>
  <si>
    <t>Total 816 - GST Collected</t>
  </si>
  <si>
    <t>817 - PAYG</t>
  </si>
  <si>
    <t>817</t>
  </si>
  <si>
    <t>Coded movement for the FY 2024 - PAYG</t>
  </si>
  <si>
    <t>Total 817 - PAYG</t>
  </si>
  <si>
    <t>818 - Provision for Annual Leave</t>
  </si>
  <si>
    <t>818</t>
  </si>
  <si>
    <t>Coded movement for the FY 2024 - Provision for Annual Leave</t>
  </si>
  <si>
    <t>Total 818 - Provision for Annual Leave</t>
  </si>
  <si>
    <t>820 - GST</t>
  </si>
  <si>
    <t>820</t>
  </si>
  <si>
    <t>Total 820 - GST</t>
  </si>
  <si>
    <t>850 - Suspense</t>
  </si>
  <si>
    <t>850</t>
  </si>
  <si>
    <t>Suspenses</t>
  </si>
  <si>
    <t>#31</t>
  </si>
  <si>
    <t>Total 850 - Suspense</t>
  </si>
  <si>
    <t>860 - Rounding</t>
  </si>
  <si>
    <t>860</t>
  </si>
  <si>
    <t>Blank</t>
  </si>
  <si>
    <t>#152</t>
  </si>
  <si>
    <t>Total 860 - Rounding</t>
  </si>
  <si>
    <t>900 - Westpac Loan</t>
  </si>
  <si>
    <t>900</t>
  </si>
  <si>
    <t>Non-current Liability</t>
  </si>
  <si>
    <t>Coded movement for the FY 2024 - Westpac Loan 74-0380</t>
  </si>
  <si>
    <t>Total 900 - Westpac Loan</t>
  </si>
  <si>
    <t>901 - Capital Finance -  Haval H6</t>
  </si>
  <si>
    <t>901</t>
  </si>
  <si>
    <t>Coded movement for the FY 2024 - Capital Finance -  Haval H6 Rego No:773IN7</t>
  </si>
  <si>
    <t>Total 901 - Capital Finance -  Haval H6</t>
  </si>
  <si>
    <t>902 - Intercompany Loan - Pizza Pioneer</t>
  </si>
  <si>
    <t>902</t>
  </si>
  <si>
    <t>Coded movement for the FY 2024 - Intercompany Loan - Pizza Pioneer to Balaji Pizza</t>
  </si>
  <si>
    <t>Total 902 - Intercompany Loan - Pizza Pioneer</t>
  </si>
  <si>
    <t>960 - Retained Earnings</t>
  </si>
  <si>
    <t>960</t>
  </si>
  <si>
    <t>Equity</t>
  </si>
  <si>
    <t>Total 960 - Retained Earnings</t>
  </si>
  <si>
    <t>980 - Capital Contributed</t>
  </si>
  <si>
    <t>980</t>
  </si>
  <si>
    <t>Coded movement for the FY 2024 - Capital Contributed</t>
  </si>
  <si>
    <t>MAQ:- To Split Capital Contributed - To Split Capital Contributed</t>
  </si>
  <si>
    <t>#134</t>
  </si>
  <si>
    <t>Total 980 - Capital Contributed</t>
  </si>
  <si>
    <t>982 - Loan - Miteshkumar Dahyalal Patel</t>
  </si>
  <si>
    <t>982</t>
  </si>
  <si>
    <t>Total 982 - Loan - Miteshkumar Dahyalal Patel</t>
  </si>
  <si>
    <t>983 - Loan - Nimeshkumar Arvindbhai Patel</t>
  </si>
  <si>
    <t>983</t>
  </si>
  <si>
    <t>Total 983 - Loan - Nimeshkumar Arvindbhai Patel</t>
  </si>
  <si>
    <t>984 - Loan - Ramanjaneyachowdary Annabattini</t>
  </si>
  <si>
    <t>984</t>
  </si>
  <si>
    <t>Total 984 - Loan - Ramanjaneyachowdary Annabattini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</si>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</sst>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70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4.33203125" customWidth="1"/>
    <col min="2" max="2" width="16" customWidth="1"/>
    <col min="3" max="3" width="20.16015625" customWidth="1"/>
    <col min="4" max="4" width="15" customWidth="1"/>
    <col min="5" max="5" width="100" customWidth="1"/>
    <col min="6" max="6" width="11.66015625" customWidth="1"/>
    <col min="7" max="7" width="11.16015625" customWidth="1"/>
    <col min="8" max="8" width="12.83203125" customWidth="1"/>
    <col min="9" max="9" width="19.33203125" customWidth="1"/>
    <col min="10" max="10" width="6.16015625" customWidth="1"/>
    <col min="11" max="11" width="11.66015625" customWidth="1"/>
    <col min="12" max="12" width="18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ht="13.35" customHeight="true"/>
    <row r="7" ht="12.1" customHeight="true" customFormat="true" s="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0.95" customHeight="true" customFormat="true" s="9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 ca="1">(G8 - H8)</f>
        <v>0</v>
      </c>
      <c r="J8" s="11">
        <v>0</v>
      </c>
      <c r="K8" s="10"/>
      <c r="L8" s="10"/>
    </row>
    <row r="9" ht="10.95" customHeight="true" customFormat="true" s="9">
      <c r="A9" s="12">
        <v>45473</v>
      </c>
      <c r="B9" s="13" t="s">
        <v>17</v>
      </c>
      <c r="C9" s="13" t="s">
        <v>18</v>
      </c>
      <c r="D9" s="13" t="s">
        <v>19</v>
      </c>
      <c r="E9" s="13" t="s">
        <v>20</v>
      </c>
      <c r="F9" s="13" t="s">
        <v>21</v>
      </c>
      <c r="G9" s="14">
        <v>0</v>
      </c>
      <c r="H9" s="14">
        <v>1584556.3100</v>
      </c>
      <c r="I9" s="14">
        <f ca="1">((I8 + G9) - H9)</f>
        <v>0</v>
      </c>
      <c r="J9" s="14">
        <v>0</v>
      </c>
      <c r="K9" s="15">
        <v>0</v>
      </c>
      <c r="L9" s="13" t="s">
        <v>22</v>
      </c>
    </row>
    <row r="10" ht="10.95" customHeight="true" customFormat="true" s="9">
      <c r="A10" s="16" t="s">
        <v>23</v>
      </c>
      <c r="B10" s="16"/>
      <c r="C10" s="16"/>
      <c r="D10" s="16"/>
      <c r="E10" s="16"/>
      <c r="F10" s="16"/>
      <c r="G10" s="17">
        <f ca="1">G9</f>
        <v>0</v>
      </c>
      <c r="H10" s="17">
        <f ca="1">H9</f>
        <v>0</v>
      </c>
      <c r="I10" s="17">
        <f ca="1">I9</f>
        <v>0</v>
      </c>
      <c r="J10" s="17">
        <f ca="1">J9</f>
        <v>0</v>
      </c>
      <c r="K10" s="16"/>
      <c r="L10" s="16"/>
    </row>
    <row r="11" ht="10.95" customHeight="true" customFormat="true" s="9">
      <c r="A11" s="16" t="s">
        <v>24</v>
      </c>
      <c r="B11" s="16"/>
      <c r="C11" s="16"/>
      <c r="D11" s="16"/>
      <c r="E11" s="16"/>
      <c r="F11" s="16"/>
      <c r="G11" s="17">
        <v>0</v>
      </c>
      <c r="H11" s="17">
        <v>1584556.3100</v>
      </c>
      <c r="I11" s="17">
        <v>0</v>
      </c>
      <c r="J11" s="17">
        <v>0</v>
      </c>
      <c r="K11" s="16"/>
      <c r="L11" s="16"/>
    </row>
    <row r="12" ht="10.95" customHeight="true" customFormat="true" s="9">
      <c r="A12" s="10" t="s">
        <v>25</v>
      </c>
      <c r="B12" s="10"/>
      <c r="C12" s="10"/>
      <c r="D12" s="10"/>
      <c r="E12" s="10"/>
      <c r="F12" s="10"/>
      <c r="G12" s="11">
        <v>0</v>
      </c>
      <c r="H12" s="11">
        <v>1584556.3100</v>
      </c>
      <c r="I12" s="11">
        <f ca="1">I9</f>
        <v>0</v>
      </c>
      <c r="J12" s="11">
        <v>0</v>
      </c>
      <c r="K12" s="10"/>
      <c r="L12" s="10"/>
    </row>
    <row r="13" ht="13.35" customHeight="true"/>
    <row r="14" ht="12.1" customHeight="true" customFormat="true" s="5">
      <c r="A14" s="8" t="s">
        <v>26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0.95" customHeight="true" customFormat="true" s="9">
      <c r="A15" s="10" t="s">
        <v>16</v>
      </c>
      <c r="B15" s="10"/>
      <c r="C15" s="10"/>
      <c r="D15" s="10"/>
      <c r="E15" s="10"/>
      <c r="F15" s="10"/>
      <c r="G15" s="11">
        <v>1265.2500</v>
      </c>
      <c r="H15" s="11">
        <v>0</v>
      </c>
      <c r="I15" s="11">
        <f ca="1">(G15 - H15)</f>
        <v>0</v>
      </c>
      <c r="J15" s="11">
        <v>0</v>
      </c>
      <c r="K15" s="10"/>
      <c r="L15" s="10"/>
    </row>
    <row r="16" ht="10.95" customHeight="true" customFormat="true" s="9">
      <c r="A16" s="12">
        <v>45473</v>
      </c>
      <c r="B16" s="13" t="s">
        <v>27</v>
      </c>
      <c r="C16" s="13" t="s">
        <v>28</v>
      </c>
      <c r="D16" s="13" t="s">
        <v>19</v>
      </c>
      <c r="E16" s="13" t="s">
        <v>29</v>
      </c>
      <c r="F16" s="13" t="s">
        <v>21</v>
      </c>
      <c r="G16" s="14">
        <v>908.7700</v>
      </c>
      <c r="H16" s="14">
        <v>0</v>
      </c>
      <c r="I16" s="14">
        <f ca="1">((I15 + G16) - H16)</f>
        <v>0</v>
      </c>
      <c r="J16" s="14">
        <v>0</v>
      </c>
      <c r="K16" s="15">
        <v>0</v>
      </c>
      <c r="L16" s="13" t="s">
        <v>22</v>
      </c>
    </row>
    <row r="17" ht="10.95" customHeight="true" customFormat="true" s="9">
      <c r="A17" s="16" t="s">
        <v>30</v>
      </c>
      <c r="B17" s="16"/>
      <c r="C17" s="16"/>
      <c r="D17" s="16"/>
      <c r="E17" s="16"/>
      <c r="F17" s="16"/>
      <c r="G17" s="17">
        <f ca="1">G16</f>
        <v>0</v>
      </c>
      <c r="H17" s="17">
        <f ca="1">H16</f>
        <v>0</v>
      </c>
      <c r="I17" s="17">
        <f ca="1">I16</f>
        <v>0</v>
      </c>
      <c r="J17" s="17">
        <f ca="1">J16</f>
        <v>0</v>
      </c>
      <c r="K17" s="16"/>
      <c r="L17" s="16"/>
    </row>
    <row r="18" ht="10.95" customHeight="true" customFormat="true" s="9">
      <c r="A18" s="16" t="s">
        <v>24</v>
      </c>
      <c r="B18" s="16"/>
      <c r="C18" s="16"/>
      <c r="D18" s="16"/>
      <c r="E18" s="16"/>
      <c r="F18" s="16"/>
      <c r="G18" s="17">
        <v>908.7700</v>
      </c>
      <c r="H18" s="17">
        <v>0</v>
      </c>
      <c r="I18" s="17">
        <v>0</v>
      </c>
      <c r="J18" s="17">
        <v>0</v>
      </c>
      <c r="K18" s="16"/>
      <c r="L18" s="16"/>
    </row>
    <row r="19" ht="10.95" customHeight="true" customFormat="true" s="9">
      <c r="A19" s="10" t="s">
        <v>25</v>
      </c>
      <c r="B19" s="10"/>
      <c r="C19" s="10"/>
      <c r="D19" s="10"/>
      <c r="E19" s="10"/>
      <c r="F19" s="10"/>
      <c r="G19" s="11">
        <v>2174.0200</v>
      </c>
      <c r="H19" s="11">
        <v>0</v>
      </c>
      <c r="I19" s="11">
        <f ca="1">I16</f>
        <v>0</v>
      </c>
      <c r="J19" s="11">
        <v>0</v>
      </c>
      <c r="K19" s="10"/>
      <c r="L19" s="10"/>
    </row>
    <row r="20" ht="13.35" customHeight="true"/>
    <row r="21" ht="12.1" customHeight="true" customFormat="true" s="5">
      <c r="A21" s="8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0.95" customHeight="true" customFormat="true" s="9">
      <c r="A22" s="10" t="s">
        <v>16</v>
      </c>
      <c r="B22" s="10"/>
      <c r="C22" s="10"/>
      <c r="D22" s="10"/>
      <c r="E22" s="10"/>
      <c r="F22" s="10"/>
      <c r="G22" s="11">
        <v>700.0000</v>
      </c>
      <c r="H22" s="11">
        <v>0</v>
      </c>
      <c r="I22" s="11">
        <f ca="1">(G22 - H22)</f>
        <v>0</v>
      </c>
      <c r="J22" s="11">
        <v>0</v>
      </c>
      <c r="K22" s="10"/>
      <c r="L22" s="10"/>
    </row>
    <row r="23" ht="10.95" customHeight="true" customFormat="true" s="9">
      <c r="A23" s="13"/>
      <c r="B23" s="13" t="s">
        <v>32</v>
      </c>
      <c r="C23" s="13" t="s">
        <v>28</v>
      </c>
      <c r="D23" s="13"/>
      <c r="E23" s="13" t="s">
        <v>33</v>
      </c>
      <c r="F23" s="13"/>
      <c r="G23" s="14">
        <v>0</v>
      </c>
      <c r="H23" s="14">
        <v>0</v>
      </c>
      <c r="I23" s="14">
        <f ca="1">((I22 + G23) - H23)</f>
        <v>0</v>
      </c>
      <c r="J23" s="14">
        <v>0</v>
      </c>
      <c r="K23" s="15">
        <v>0</v>
      </c>
      <c r="L23" s="13"/>
    </row>
    <row r="24" ht="10.95" customHeight="true" customFormat="true" s="9">
      <c r="A24" s="16" t="s">
        <v>34</v>
      </c>
      <c r="B24" s="16"/>
      <c r="C24" s="16"/>
      <c r="D24" s="16"/>
      <c r="E24" s="16"/>
      <c r="F24" s="16"/>
      <c r="G24" s="17">
        <f ca="1">G23</f>
        <v>0</v>
      </c>
      <c r="H24" s="17">
        <f ca="1">H23</f>
        <v>0</v>
      </c>
      <c r="I24" s="17">
        <f ca="1">I23</f>
        <v>0</v>
      </c>
      <c r="J24" s="17">
        <f ca="1">J23</f>
        <v>0</v>
      </c>
      <c r="K24" s="16"/>
      <c r="L24" s="16"/>
    </row>
    <row r="25" ht="10.95" customHeight="true" customFormat="true" s="9">
      <c r="A25" s="16" t="s">
        <v>24</v>
      </c>
      <c r="B25" s="16"/>
      <c r="C25" s="16"/>
      <c r="D25" s="16"/>
      <c r="E25" s="16"/>
      <c r="F25" s="16"/>
      <c r="G25" s="17">
        <v>0</v>
      </c>
      <c r="H25" s="17">
        <v>0</v>
      </c>
      <c r="I25" s="17">
        <v>0</v>
      </c>
      <c r="J25" s="17">
        <v>0</v>
      </c>
      <c r="K25" s="16"/>
      <c r="L25" s="16"/>
    </row>
    <row r="26" ht="10.95" customHeight="true" customFormat="true" s="9">
      <c r="A26" s="10" t="s">
        <v>25</v>
      </c>
      <c r="B26" s="10"/>
      <c r="C26" s="10"/>
      <c r="D26" s="10"/>
      <c r="E26" s="10"/>
      <c r="F26" s="10"/>
      <c r="G26" s="11">
        <v>700.0000</v>
      </c>
      <c r="H26" s="11">
        <v>0</v>
      </c>
      <c r="I26" s="11">
        <f ca="1">I23</f>
        <v>0</v>
      </c>
      <c r="J26" s="11">
        <v>0</v>
      </c>
      <c r="K26" s="10"/>
      <c r="L26" s="10"/>
    </row>
    <row r="27" ht="13.35" customHeight="true"/>
    <row r="28" ht="12.1" customHeight="true" customFormat="true" s="5">
      <c r="A28" s="8" t="s">
        <v>35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ht="10.95" customHeight="true" customFormat="true" s="9">
      <c r="A29" s="10" t="s">
        <v>16</v>
      </c>
      <c r="B29" s="10"/>
      <c r="C29" s="10"/>
      <c r="D29" s="10"/>
      <c r="E29" s="10"/>
      <c r="F29" s="10"/>
      <c r="G29" s="11">
        <v>13983.6000</v>
      </c>
      <c r="H29" s="11">
        <v>0</v>
      </c>
      <c r="I29" s="11">
        <f ca="1">(G29 - H29)</f>
        <v>0</v>
      </c>
      <c r="J29" s="11">
        <v>0</v>
      </c>
      <c r="K29" s="10"/>
      <c r="L29" s="10"/>
    </row>
    <row r="30" ht="10.95" customHeight="true" customFormat="true" s="9">
      <c r="A30" s="12">
        <v>45473</v>
      </c>
      <c r="B30" s="13" t="s">
        <v>36</v>
      </c>
      <c r="C30" s="13" t="s">
        <v>28</v>
      </c>
      <c r="D30" s="13" t="s">
        <v>19</v>
      </c>
      <c r="E30" s="13" t="s">
        <v>37</v>
      </c>
      <c r="F30" s="13" t="s">
        <v>21</v>
      </c>
      <c r="G30" s="14">
        <v>0</v>
      </c>
      <c r="H30" s="14">
        <v>1993.3700</v>
      </c>
      <c r="I30" s="14">
        <f ca="1">((I29 + G30) - H30)</f>
        <v>0</v>
      </c>
      <c r="J30" s="14">
        <v>0</v>
      </c>
      <c r="K30" s="15">
        <v>0</v>
      </c>
      <c r="L30" s="13" t="s">
        <v>22</v>
      </c>
    </row>
    <row r="31" ht="10.95" customHeight="true" customFormat="true" s="9">
      <c r="A31" s="16" t="s">
        <v>38</v>
      </c>
      <c r="B31" s="16"/>
      <c r="C31" s="16"/>
      <c r="D31" s="16"/>
      <c r="E31" s="16"/>
      <c r="F31" s="16"/>
      <c r="G31" s="17">
        <f ca="1">G30</f>
        <v>0</v>
      </c>
      <c r="H31" s="17">
        <f ca="1">H30</f>
        <v>0</v>
      </c>
      <c r="I31" s="17">
        <f ca="1">I30</f>
        <v>0</v>
      </c>
      <c r="J31" s="17">
        <f ca="1">J30</f>
        <v>0</v>
      </c>
      <c r="K31" s="16"/>
      <c r="L31" s="16"/>
    </row>
    <row r="32" ht="10.95" customHeight="true" customFormat="true" s="9">
      <c r="A32" s="16" t="s">
        <v>24</v>
      </c>
      <c r="B32" s="16"/>
      <c r="C32" s="16"/>
      <c r="D32" s="16"/>
      <c r="E32" s="16"/>
      <c r="F32" s="16"/>
      <c r="G32" s="17">
        <v>0</v>
      </c>
      <c r="H32" s="17">
        <v>1993.3700</v>
      </c>
      <c r="I32" s="17">
        <v>0</v>
      </c>
      <c r="J32" s="17">
        <v>0</v>
      </c>
      <c r="K32" s="16"/>
      <c r="L32" s="16"/>
    </row>
    <row r="33" ht="10.95" customHeight="true" customFormat="true" s="9">
      <c r="A33" s="10" t="s">
        <v>25</v>
      </c>
      <c r="B33" s="10"/>
      <c r="C33" s="10"/>
      <c r="D33" s="10"/>
      <c r="E33" s="10"/>
      <c r="F33" s="10"/>
      <c r="G33" s="11">
        <v>11990.2300</v>
      </c>
      <c r="H33" s="11">
        <v>0</v>
      </c>
      <c r="I33" s="11">
        <f ca="1">I30</f>
        <v>0</v>
      </c>
      <c r="J33" s="11">
        <v>0</v>
      </c>
      <c r="K33" s="10"/>
      <c r="L33" s="10"/>
    </row>
    <row r="34" ht="13.35" customHeight="true"/>
    <row r="35" ht="12.1" customHeight="true" customFormat="true" s="5">
      <c r="A35" s="8" t="s">
        <v>39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ht="10.95" customHeight="true" customFormat="true" s="9">
      <c r="A36" s="10" t="s">
        <v>16</v>
      </c>
      <c r="B36" s="10"/>
      <c r="C36" s="10"/>
      <c r="D36" s="10"/>
      <c r="E36" s="10"/>
      <c r="F36" s="10"/>
      <c r="G36" s="11">
        <v>5810.6200</v>
      </c>
      <c r="H36" s="11">
        <v>0</v>
      </c>
      <c r="I36" s="11">
        <f ca="1">(G36 - H36)</f>
        <v>0</v>
      </c>
      <c r="J36" s="11">
        <v>0</v>
      </c>
      <c r="K36" s="10"/>
      <c r="L36" s="10"/>
    </row>
    <row r="37" ht="10.95" customHeight="true" customFormat="true" s="9">
      <c r="A37" s="12">
        <v>45473</v>
      </c>
      <c r="B37" s="13" t="s">
        <v>40</v>
      </c>
      <c r="C37" s="13" t="s">
        <v>28</v>
      </c>
      <c r="D37" s="13" t="s">
        <v>19</v>
      </c>
      <c r="E37" s="13" t="s">
        <v>41</v>
      </c>
      <c r="F37" s="13" t="s">
        <v>21</v>
      </c>
      <c r="G37" s="14">
        <v>0</v>
      </c>
      <c r="H37" s="14">
        <v>47.9800</v>
      </c>
      <c r="I37" s="14">
        <f ca="1">((I36 + G37) - H37)</f>
        <v>0</v>
      </c>
      <c r="J37" s="14">
        <v>0</v>
      </c>
      <c r="K37" s="15">
        <v>0</v>
      </c>
      <c r="L37" s="13" t="s">
        <v>22</v>
      </c>
    </row>
    <row r="38" ht="10.95" customHeight="true" customFormat="true" s="9">
      <c r="A38" s="16" t="s">
        <v>42</v>
      </c>
      <c r="B38" s="16"/>
      <c r="C38" s="16"/>
      <c r="D38" s="16"/>
      <c r="E38" s="16"/>
      <c r="F38" s="16"/>
      <c r="G38" s="17">
        <f ca="1">G37</f>
        <v>0</v>
      </c>
      <c r="H38" s="17">
        <f ca="1">H37</f>
        <v>0</v>
      </c>
      <c r="I38" s="17">
        <f ca="1">I37</f>
        <v>0</v>
      </c>
      <c r="J38" s="17">
        <f ca="1">J37</f>
        <v>0</v>
      </c>
      <c r="K38" s="16"/>
      <c r="L38" s="16"/>
    </row>
    <row r="39" ht="10.95" customHeight="true" customFormat="true" s="9">
      <c r="A39" s="16" t="s">
        <v>24</v>
      </c>
      <c r="B39" s="16"/>
      <c r="C39" s="16"/>
      <c r="D39" s="16"/>
      <c r="E39" s="16"/>
      <c r="F39" s="16"/>
      <c r="G39" s="17">
        <v>0</v>
      </c>
      <c r="H39" s="17">
        <v>47.9800</v>
      </c>
      <c r="I39" s="17">
        <v>0</v>
      </c>
      <c r="J39" s="17">
        <v>0</v>
      </c>
      <c r="K39" s="16"/>
      <c r="L39" s="16"/>
    </row>
    <row r="40" ht="10.95" customHeight="true" customFormat="true" s="9">
      <c r="A40" s="10" t="s">
        <v>25</v>
      </c>
      <c r="B40" s="10"/>
      <c r="C40" s="10"/>
      <c r="D40" s="10"/>
      <c r="E40" s="10"/>
      <c r="F40" s="10"/>
      <c r="G40" s="11">
        <v>5762.6400</v>
      </c>
      <c r="H40" s="11">
        <v>0</v>
      </c>
      <c r="I40" s="11">
        <f ca="1">I37</f>
        <v>0</v>
      </c>
      <c r="J40" s="11">
        <v>0</v>
      </c>
      <c r="K40" s="10"/>
      <c r="L40" s="10"/>
    </row>
    <row r="41" ht="13.35" customHeight="true"/>
    <row r="42" ht="12.1" customHeight="true" customFormat="true" s="5">
      <c r="A42" s="8" t="s">
        <v>43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ht="10.95" customHeight="true" customFormat="true" s="9">
      <c r="A43" s="10" t="s">
        <v>16</v>
      </c>
      <c r="B43" s="10"/>
      <c r="C43" s="10"/>
      <c r="D43" s="10"/>
      <c r="E43" s="10"/>
      <c r="F43" s="10"/>
      <c r="G43" s="11">
        <v>37819.5000</v>
      </c>
      <c r="H43" s="11">
        <v>0</v>
      </c>
      <c r="I43" s="11">
        <f ca="1">(G43 - H43)</f>
        <v>0</v>
      </c>
      <c r="J43" s="11">
        <v>0</v>
      </c>
      <c r="K43" s="10"/>
      <c r="L43" s="10"/>
    </row>
    <row r="44" ht="10.95" customHeight="true" customFormat="true" s="9">
      <c r="A44" s="12">
        <v>45473</v>
      </c>
      <c r="B44" s="13" t="s">
        <v>44</v>
      </c>
      <c r="C44" s="13" t="s">
        <v>45</v>
      </c>
      <c r="D44" s="13" t="s">
        <v>19</v>
      </c>
      <c r="E44" s="13" t="s">
        <v>46</v>
      </c>
      <c r="F44" s="13" t="s">
        <v>21</v>
      </c>
      <c r="G44" s="14">
        <v>1800.0000</v>
      </c>
      <c r="H44" s="14">
        <v>0</v>
      </c>
      <c r="I44" s="14">
        <f ca="1">((I43 + G44) - H44)</f>
        <v>0</v>
      </c>
      <c r="J44" s="14">
        <v>0</v>
      </c>
      <c r="K44" s="15">
        <v>0</v>
      </c>
      <c r="L44" s="13" t="s">
        <v>22</v>
      </c>
    </row>
    <row r="45" ht="10.95" customHeight="true" customFormat="true" s="9">
      <c r="A45" s="18">
        <v>45473</v>
      </c>
      <c r="B45" s="19" t="s">
        <v>44</v>
      </c>
      <c r="C45" s="19" t="s">
        <v>45</v>
      </c>
      <c r="D45" s="19" t="s">
        <v>19</v>
      </c>
      <c r="E45" s="19" t="s">
        <v>47</v>
      </c>
      <c r="F45" s="19" t="s">
        <v>48</v>
      </c>
      <c r="G45" s="20">
        <v>0</v>
      </c>
      <c r="H45" s="20">
        <v>1800.0000</v>
      </c>
      <c r="I45" s="20">
        <f ca="1">((I44 + G45) - H45)</f>
        <v>0</v>
      </c>
      <c r="J45" s="20">
        <v>0</v>
      </c>
      <c r="K45" s="21">
        <v>0</v>
      </c>
      <c r="L45" s="19" t="s">
        <v>22</v>
      </c>
    </row>
    <row r="46" ht="10.95" customHeight="true" customFormat="true" s="9">
      <c r="A46" s="16" t="s">
        <v>49</v>
      </c>
      <c r="B46" s="16"/>
      <c r="C46" s="16"/>
      <c r="D46" s="16"/>
      <c r="E46" s="16"/>
      <c r="F46" s="16"/>
      <c r="G46" s="17">
        <f ca="1">SUM(G44:G45)</f>
        <v>0</v>
      </c>
      <c r="H46" s="17">
        <f ca="1">SUM(H44:H45)</f>
        <v>0</v>
      </c>
      <c r="I46" s="17">
        <f ca="1">I45</f>
        <v>0</v>
      </c>
      <c r="J46" s="17">
        <f ca="1">SUM(J44:J45)</f>
        <v>0</v>
      </c>
      <c r="K46" s="16"/>
      <c r="L46" s="16"/>
    </row>
    <row r="47" ht="10.95" customHeight="true" customFormat="true" s="9">
      <c r="A47" s="16" t="s">
        <v>24</v>
      </c>
      <c r="B47" s="16"/>
      <c r="C47" s="16"/>
      <c r="D47" s="16"/>
      <c r="E47" s="16"/>
      <c r="F47" s="16"/>
      <c r="G47" s="17">
        <v>0</v>
      </c>
      <c r="H47" s="17">
        <v>0</v>
      </c>
      <c r="I47" s="17">
        <v>0</v>
      </c>
      <c r="J47" s="17">
        <v>0</v>
      </c>
      <c r="K47" s="16"/>
      <c r="L47" s="16"/>
    </row>
    <row r="48" ht="10.95" customHeight="true" customFormat="true" s="9">
      <c r="A48" s="10" t="s">
        <v>25</v>
      </c>
      <c r="B48" s="10"/>
      <c r="C48" s="10"/>
      <c r="D48" s="10"/>
      <c r="E48" s="10"/>
      <c r="F48" s="10"/>
      <c r="G48" s="11">
        <v>37819.5000</v>
      </c>
      <c r="H48" s="11">
        <v>0</v>
      </c>
      <c r="I48" s="11">
        <f ca="1">I45</f>
        <v>0</v>
      </c>
      <c r="J48" s="11">
        <v>0</v>
      </c>
      <c r="K48" s="10"/>
      <c r="L48" s="10"/>
    </row>
    <row r="49" ht="13.35" customHeight="true"/>
    <row r="50" ht="12.1" customHeight="true" customFormat="true" s="5">
      <c r="A50" s="8" t="s">
        <v>50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ht="10.95" customHeight="true" customFormat="true" s="9">
      <c r="A51" s="10" t="s">
        <v>16</v>
      </c>
      <c r="B51" s="10"/>
      <c r="C51" s="10"/>
      <c r="D51" s="10"/>
      <c r="E51" s="10"/>
      <c r="F51" s="10"/>
      <c r="G51" s="11">
        <v>577064.0000</v>
      </c>
      <c r="H51" s="11">
        <v>0</v>
      </c>
      <c r="I51" s="11">
        <f ca="1">(G51 - H51)</f>
        <v>0</v>
      </c>
      <c r="J51" s="11">
        <v>0</v>
      </c>
      <c r="K51" s="10"/>
      <c r="L51" s="10"/>
    </row>
    <row r="52" ht="10.95" customHeight="true" customFormat="true" s="9">
      <c r="A52" s="12">
        <v>45473</v>
      </c>
      <c r="B52" s="13" t="s">
        <v>51</v>
      </c>
      <c r="C52" s="13" t="s">
        <v>45</v>
      </c>
      <c r="D52" s="13" t="s">
        <v>19</v>
      </c>
      <c r="E52" s="13" t="s">
        <v>52</v>
      </c>
      <c r="F52" s="13" t="s">
        <v>21</v>
      </c>
      <c r="G52" s="14">
        <v>63524.3700</v>
      </c>
      <c r="H52" s="14">
        <v>0</v>
      </c>
      <c r="I52" s="14">
        <f ca="1">((I51 + G52) - H52)</f>
        <v>0</v>
      </c>
      <c r="J52" s="14">
        <v>0</v>
      </c>
      <c r="K52" s="15">
        <v>0</v>
      </c>
      <c r="L52" s="13" t="s">
        <v>22</v>
      </c>
    </row>
    <row r="53" ht="10.95" customHeight="true" customFormat="true" s="9">
      <c r="A53" s="18">
        <v>45473</v>
      </c>
      <c r="B53" s="19" t="s">
        <v>51</v>
      </c>
      <c r="C53" s="19" t="s">
        <v>45</v>
      </c>
      <c r="D53" s="19" t="s">
        <v>19</v>
      </c>
      <c r="E53" s="19" t="s">
        <v>53</v>
      </c>
      <c r="F53" s="19" t="s">
        <v>54</v>
      </c>
      <c r="G53" s="20">
        <v>0</v>
      </c>
      <c r="H53" s="20">
        <v>63524.3700</v>
      </c>
      <c r="I53" s="20">
        <f ca="1">((I52 + G53) - H53)</f>
        <v>0</v>
      </c>
      <c r="J53" s="20">
        <v>0</v>
      </c>
      <c r="K53" s="21">
        <v>0</v>
      </c>
      <c r="L53" s="19" t="s">
        <v>22</v>
      </c>
    </row>
    <row r="54" ht="10.95" customHeight="true" customFormat="true" s="9">
      <c r="A54" s="16" t="s">
        <v>55</v>
      </c>
      <c r="B54" s="16"/>
      <c r="C54" s="16"/>
      <c r="D54" s="16"/>
      <c r="E54" s="16"/>
      <c r="F54" s="16"/>
      <c r="G54" s="17">
        <f ca="1">SUM(G52:G53)</f>
        <v>0</v>
      </c>
      <c r="H54" s="17">
        <f ca="1">SUM(H52:H53)</f>
        <v>0</v>
      </c>
      <c r="I54" s="17">
        <f ca="1">I53</f>
        <v>0</v>
      </c>
      <c r="J54" s="17">
        <f ca="1">SUM(J52:J53)</f>
        <v>0</v>
      </c>
      <c r="K54" s="16"/>
      <c r="L54" s="16"/>
    </row>
    <row r="55" ht="10.95" customHeight="true" customFormat="true" s="9">
      <c r="A55" s="16" t="s">
        <v>24</v>
      </c>
      <c r="B55" s="16"/>
      <c r="C55" s="16"/>
      <c r="D55" s="16"/>
      <c r="E55" s="16"/>
      <c r="F55" s="16"/>
      <c r="G55" s="17">
        <v>0</v>
      </c>
      <c r="H55" s="17">
        <v>0</v>
      </c>
      <c r="I55" s="17">
        <v>0</v>
      </c>
      <c r="J55" s="17">
        <v>0</v>
      </c>
      <c r="K55" s="16"/>
      <c r="L55" s="16"/>
    </row>
    <row r="56" ht="10.95" customHeight="true" customFormat="true" s="9">
      <c r="A56" s="10" t="s">
        <v>25</v>
      </c>
      <c r="B56" s="10"/>
      <c r="C56" s="10"/>
      <c r="D56" s="10"/>
      <c r="E56" s="10"/>
      <c r="F56" s="10"/>
      <c r="G56" s="11">
        <v>577064.0000</v>
      </c>
      <c r="H56" s="11">
        <v>0</v>
      </c>
      <c r="I56" s="11">
        <f ca="1">I53</f>
        <v>0</v>
      </c>
      <c r="J56" s="11">
        <v>0</v>
      </c>
      <c r="K56" s="10"/>
      <c r="L56" s="10"/>
    </row>
    <row r="57" ht="13.35" customHeight="true"/>
    <row r="58" ht="12.1" customHeight="true" customFormat="true" s="5">
      <c r="A58" s="8" t="s">
        <v>56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ht="10.95" customHeight="true" customFormat="true" s="9">
      <c r="A59" s="10" t="s">
        <v>16</v>
      </c>
      <c r="B59" s="10"/>
      <c r="C59" s="10"/>
      <c r="D59" s="10"/>
      <c r="E59" s="10"/>
      <c r="F59" s="10"/>
      <c r="G59" s="11">
        <v>0</v>
      </c>
      <c r="H59" s="11">
        <v>91343.0000</v>
      </c>
      <c r="I59" s="11">
        <f ca="1">(G59 - H59)</f>
        <v>0</v>
      </c>
      <c r="J59" s="11">
        <v>0</v>
      </c>
      <c r="K59" s="10"/>
      <c r="L59" s="10"/>
    </row>
    <row r="60" ht="10.95" customHeight="true" customFormat="true" s="9">
      <c r="A60" s="12">
        <v>45473</v>
      </c>
      <c r="B60" s="13" t="s">
        <v>57</v>
      </c>
      <c r="C60" s="13" t="s">
        <v>45</v>
      </c>
      <c r="D60" s="13" t="s">
        <v>19</v>
      </c>
      <c r="E60" s="13" t="s">
        <v>58</v>
      </c>
      <c r="F60" s="13" t="s">
        <v>59</v>
      </c>
      <c r="G60" s="14">
        <v>0</v>
      </c>
      <c r="H60" s="14">
        <v>89787.0000</v>
      </c>
      <c r="I60" s="14">
        <f ca="1">((I59 + G60) - H60)</f>
        <v>0</v>
      </c>
      <c r="J60" s="14">
        <v>0</v>
      </c>
      <c r="K60" s="15">
        <v>0</v>
      </c>
      <c r="L60" s="13" t="s">
        <v>22</v>
      </c>
    </row>
    <row r="61" ht="10.95" customHeight="true" customFormat="true" s="9">
      <c r="A61" s="16" t="s">
        <v>60</v>
      </c>
      <c r="B61" s="16"/>
      <c r="C61" s="16"/>
      <c r="D61" s="16"/>
      <c r="E61" s="16"/>
      <c r="F61" s="16"/>
      <c r="G61" s="17">
        <f ca="1">G60</f>
        <v>0</v>
      </c>
      <c r="H61" s="17">
        <f ca="1">H60</f>
        <v>0</v>
      </c>
      <c r="I61" s="17">
        <f ca="1">I60</f>
        <v>0</v>
      </c>
      <c r="J61" s="17">
        <f ca="1">J60</f>
        <v>0</v>
      </c>
      <c r="K61" s="16"/>
      <c r="L61" s="16"/>
    </row>
    <row r="62" ht="10.95" customHeight="true" customFormat="true" s="9">
      <c r="A62" s="16" t="s">
        <v>24</v>
      </c>
      <c r="B62" s="16"/>
      <c r="C62" s="16"/>
      <c r="D62" s="16"/>
      <c r="E62" s="16"/>
      <c r="F62" s="16"/>
      <c r="G62" s="17">
        <v>0</v>
      </c>
      <c r="H62" s="17">
        <v>89787.0000</v>
      </c>
      <c r="I62" s="17">
        <v>0</v>
      </c>
      <c r="J62" s="17">
        <v>0</v>
      </c>
      <c r="K62" s="16"/>
      <c r="L62" s="16"/>
    </row>
    <row r="63" ht="10.95" customHeight="true" customFormat="true" s="9">
      <c r="A63" s="10" t="s">
        <v>25</v>
      </c>
      <c r="B63" s="10"/>
      <c r="C63" s="10"/>
      <c r="D63" s="10"/>
      <c r="E63" s="10"/>
      <c r="F63" s="10"/>
      <c r="G63" s="11">
        <v>0</v>
      </c>
      <c r="H63" s="11">
        <v>181130.0000</v>
      </c>
      <c r="I63" s="11">
        <f ca="1">I60</f>
        <v>0</v>
      </c>
      <c r="J63" s="11">
        <v>0</v>
      </c>
      <c r="K63" s="10"/>
      <c r="L63" s="10"/>
    </row>
    <row r="64" ht="13.35" customHeight="true"/>
    <row r="65" ht="12.1" customHeight="true" customFormat="true" s="5">
      <c r="A65" s="8" t="s">
        <v>61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ht="10.95" customHeight="true" customFormat="true" s="9">
      <c r="A66" s="10" t="s">
        <v>16</v>
      </c>
      <c r="B66" s="10"/>
      <c r="C66" s="10"/>
      <c r="D66" s="10"/>
      <c r="E66" s="10"/>
      <c r="F66" s="10"/>
      <c r="G66" s="11">
        <v>0</v>
      </c>
      <c r="H66" s="11">
        <v>0</v>
      </c>
      <c r="I66" s="11">
        <f ca="1">(G66 - H66)</f>
        <v>0</v>
      </c>
      <c r="J66" s="11">
        <v>0</v>
      </c>
      <c r="K66" s="10"/>
      <c r="L66" s="10"/>
    </row>
    <row r="67" ht="10.95" customHeight="true" customFormat="true" s="9">
      <c r="A67" s="12">
        <v>45473</v>
      </c>
      <c r="B67" s="13" t="s">
        <v>62</v>
      </c>
      <c r="C67" s="13" t="s">
        <v>45</v>
      </c>
      <c r="D67" s="13" t="s">
        <v>19</v>
      </c>
      <c r="E67" s="13" t="s">
        <v>63</v>
      </c>
      <c r="F67" s="13" t="s">
        <v>64</v>
      </c>
      <c r="G67" s="14">
        <v>450.0000</v>
      </c>
      <c r="H67" s="14">
        <v>0</v>
      </c>
      <c r="I67" s="14">
        <f ca="1">((I66 + G67) - H67)</f>
        <v>0</v>
      </c>
      <c r="J67" s="14">
        <v>0</v>
      </c>
      <c r="K67" s="15">
        <v>0</v>
      </c>
      <c r="L67" s="13" t="s">
        <v>22</v>
      </c>
    </row>
    <row r="68" ht="10.95" customHeight="true" customFormat="true" s="9">
      <c r="A68" s="18">
        <v>45473</v>
      </c>
      <c r="B68" s="19" t="s">
        <v>62</v>
      </c>
      <c r="C68" s="19" t="s">
        <v>45</v>
      </c>
      <c r="D68" s="19" t="s">
        <v>19</v>
      </c>
      <c r="E68" s="19" t="s">
        <v>65</v>
      </c>
      <c r="F68" s="19" t="s">
        <v>64</v>
      </c>
      <c r="G68" s="20">
        <v>0</v>
      </c>
      <c r="H68" s="20">
        <v>54.6800</v>
      </c>
      <c r="I68" s="20">
        <f ca="1">((I67 + G68) - H68)</f>
        <v>0</v>
      </c>
      <c r="J68" s="20">
        <v>0</v>
      </c>
      <c r="K68" s="21">
        <v>0</v>
      </c>
      <c r="L68" s="19" t="s">
        <v>22</v>
      </c>
    </row>
    <row r="69" ht="10.95" customHeight="true" customFormat="true" s="9">
      <c r="A69" s="16" t="s">
        <v>66</v>
      </c>
      <c r="B69" s="16"/>
      <c r="C69" s="16"/>
      <c r="D69" s="16"/>
      <c r="E69" s="16"/>
      <c r="F69" s="16"/>
      <c r="G69" s="17">
        <f ca="1">SUM(G67:G68)</f>
        <v>0</v>
      </c>
      <c r="H69" s="17">
        <f ca="1">SUM(H67:H68)</f>
        <v>0</v>
      </c>
      <c r="I69" s="17">
        <f ca="1">I68</f>
        <v>0</v>
      </c>
      <c r="J69" s="17">
        <f ca="1">SUM(J67:J68)</f>
        <v>0</v>
      </c>
      <c r="K69" s="16"/>
      <c r="L69" s="16"/>
    </row>
    <row r="70" ht="10.95" customHeight="true" customFormat="true" s="9">
      <c r="A70" s="16" t="s">
        <v>24</v>
      </c>
      <c r="B70" s="16"/>
      <c r="C70" s="16"/>
      <c r="D70" s="16"/>
      <c r="E70" s="16"/>
      <c r="F70" s="16"/>
      <c r="G70" s="17">
        <v>395.3200</v>
      </c>
      <c r="H70" s="17">
        <v>0</v>
      </c>
      <c r="I70" s="17">
        <v>0</v>
      </c>
      <c r="J70" s="17">
        <v>0</v>
      </c>
      <c r="K70" s="16"/>
      <c r="L70" s="16"/>
    </row>
    <row r="71" ht="10.95" customHeight="true" customFormat="true" s="9">
      <c r="A71" s="10" t="s">
        <v>25</v>
      </c>
      <c r="B71" s="10"/>
      <c r="C71" s="10"/>
      <c r="D71" s="10"/>
      <c r="E71" s="10"/>
      <c r="F71" s="10"/>
      <c r="G71" s="11">
        <v>395.3200</v>
      </c>
      <c r="H71" s="11">
        <v>0</v>
      </c>
      <c r="I71" s="11">
        <f ca="1">I68</f>
        <v>0</v>
      </c>
      <c r="J71" s="11">
        <v>0</v>
      </c>
      <c r="K71" s="10"/>
      <c r="L71" s="10"/>
    </row>
    <row r="72" ht="13.35" customHeight="true"/>
    <row r="73" ht="12.1" customHeight="true" customFormat="true" s="5">
      <c r="A73" s="8" t="s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ht="10.95" customHeight="true" customFormat="true" s="9">
      <c r="A74" s="10" t="s">
        <v>16</v>
      </c>
      <c r="B74" s="10"/>
      <c r="C74" s="10"/>
      <c r="D74" s="10"/>
      <c r="E74" s="10"/>
      <c r="F74" s="10"/>
      <c r="G74" s="11">
        <v>0</v>
      </c>
      <c r="H74" s="11">
        <v>0</v>
      </c>
      <c r="I74" s="11">
        <f ca="1">(G74 - H74)</f>
        <v>0</v>
      </c>
      <c r="J74" s="11">
        <v>0</v>
      </c>
      <c r="K74" s="10"/>
      <c r="L74" s="10"/>
    </row>
    <row r="75" ht="10.95" customHeight="true" customFormat="true" s="9">
      <c r="A75" s="12">
        <v>45473</v>
      </c>
      <c r="B75" s="13" t="s">
        <v>68</v>
      </c>
      <c r="C75" s="13" t="s">
        <v>69</v>
      </c>
      <c r="D75" s="13" t="s">
        <v>19</v>
      </c>
      <c r="E75" s="13" t="s">
        <v>70</v>
      </c>
      <c r="F75" s="13" t="s">
        <v>71</v>
      </c>
      <c r="G75" s="14">
        <v>0</v>
      </c>
      <c r="H75" s="14">
        <v>3585.4500</v>
      </c>
      <c r="I75" s="14">
        <f ca="1">((I74 + G75) - H75)</f>
        <v>0</v>
      </c>
      <c r="J75" s="14">
        <v>0</v>
      </c>
      <c r="K75" s="15">
        <v>0</v>
      </c>
      <c r="L75" s="13" t="s">
        <v>22</v>
      </c>
    </row>
    <row r="76" ht="10.95" customHeight="true" customFormat="true" s="9">
      <c r="A76" s="16" t="s">
        <v>72</v>
      </c>
      <c r="B76" s="16"/>
      <c r="C76" s="16"/>
      <c r="D76" s="16"/>
      <c r="E76" s="16"/>
      <c r="F76" s="16"/>
      <c r="G76" s="17">
        <f ca="1">G75</f>
        <v>0</v>
      </c>
      <c r="H76" s="17">
        <f ca="1">H75</f>
        <v>0</v>
      </c>
      <c r="I76" s="17">
        <f ca="1">I75</f>
        <v>0</v>
      </c>
      <c r="J76" s="17">
        <f ca="1">J75</f>
        <v>0</v>
      </c>
      <c r="K76" s="16"/>
      <c r="L76" s="16"/>
    </row>
    <row r="77" ht="10.95" customHeight="true" customFormat="true" s="9">
      <c r="A77" s="16" t="s">
        <v>24</v>
      </c>
      <c r="B77" s="16"/>
      <c r="C77" s="16"/>
      <c r="D77" s="16"/>
      <c r="E77" s="16"/>
      <c r="F77" s="16"/>
      <c r="G77" s="17">
        <v>0</v>
      </c>
      <c r="H77" s="17">
        <v>3585.4500</v>
      </c>
      <c r="I77" s="17">
        <v>0</v>
      </c>
      <c r="J77" s="17">
        <v>0</v>
      </c>
      <c r="K77" s="16"/>
      <c r="L77" s="16"/>
    </row>
    <row r="78" ht="10.95" customHeight="true" customFormat="true" s="9">
      <c r="A78" s="10" t="s">
        <v>25</v>
      </c>
      <c r="B78" s="10"/>
      <c r="C78" s="10"/>
      <c r="D78" s="10"/>
      <c r="E78" s="10"/>
      <c r="F78" s="10"/>
      <c r="G78" s="11">
        <v>0</v>
      </c>
      <c r="H78" s="11">
        <v>3585.4500</v>
      </c>
      <c r="I78" s="11">
        <f ca="1">I75</f>
        <v>0</v>
      </c>
      <c r="J78" s="11">
        <v>0</v>
      </c>
      <c r="K78" s="10"/>
      <c r="L78" s="10"/>
    </row>
    <row r="79" ht="13.35" customHeight="true"/>
    <row r="80" ht="12.1" customHeight="true" customFormat="true" s="5">
      <c r="A80" s="8" t="s">
        <v>73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ht="10.95" customHeight="true" customFormat="true" s="9">
      <c r="A81" s="10" t="s">
        <v>16</v>
      </c>
      <c r="B81" s="10"/>
      <c r="C81" s="10"/>
      <c r="D81" s="10"/>
      <c r="E81" s="10"/>
      <c r="F81" s="10"/>
      <c r="G81" s="11">
        <v>0</v>
      </c>
      <c r="H81" s="11">
        <v>0</v>
      </c>
      <c r="I81" s="11">
        <f ca="1">(G81 - H81)</f>
        <v>0</v>
      </c>
      <c r="J81" s="11">
        <v>0</v>
      </c>
      <c r="K81" s="10"/>
      <c r="L81" s="10"/>
    </row>
    <row r="82" ht="10.95" customHeight="true" customFormat="true" s="9">
      <c r="A82" s="12">
        <v>45473</v>
      </c>
      <c r="B82" s="13" t="s">
        <v>74</v>
      </c>
      <c r="C82" s="13" t="s">
        <v>75</v>
      </c>
      <c r="D82" s="13" t="s">
        <v>19</v>
      </c>
      <c r="E82" s="13" t="s">
        <v>76</v>
      </c>
      <c r="F82" s="13" t="s">
        <v>77</v>
      </c>
      <c r="G82" s="14">
        <v>13983.6000</v>
      </c>
      <c r="H82" s="14">
        <v>0</v>
      </c>
      <c r="I82" s="14">
        <f ca="1">((I81 + G82) - H82)</f>
        <v>0</v>
      </c>
      <c r="J82" s="14">
        <v>0</v>
      </c>
      <c r="K82" s="15">
        <v>0</v>
      </c>
      <c r="L82" s="13" t="s">
        <v>22</v>
      </c>
    </row>
    <row r="83" ht="10.95" customHeight="true" customFormat="true" s="9">
      <c r="A83" s="16" t="s">
        <v>78</v>
      </c>
      <c r="B83" s="16"/>
      <c r="C83" s="16"/>
      <c r="D83" s="16"/>
      <c r="E83" s="16"/>
      <c r="F83" s="16"/>
      <c r="G83" s="17">
        <f ca="1">G82</f>
        <v>0</v>
      </c>
      <c r="H83" s="17">
        <f ca="1">H82</f>
        <v>0</v>
      </c>
      <c r="I83" s="17">
        <f ca="1">I82</f>
        <v>0</v>
      </c>
      <c r="J83" s="17">
        <f ca="1">J82</f>
        <v>0</v>
      </c>
      <c r="K83" s="16"/>
      <c r="L83" s="16"/>
    </row>
    <row r="84" ht="10.95" customHeight="true" customFormat="true" s="9">
      <c r="A84" s="16" t="s">
        <v>24</v>
      </c>
      <c r="B84" s="16"/>
      <c r="C84" s="16"/>
      <c r="D84" s="16"/>
      <c r="E84" s="16"/>
      <c r="F84" s="16"/>
      <c r="G84" s="17">
        <v>13983.6000</v>
      </c>
      <c r="H84" s="17">
        <v>0</v>
      </c>
      <c r="I84" s="17">
        <v>0</v>
      </c>
      <c r="J84" s="17">
        <v>0</v>
      </c>
      <c r="K84" s="16"/>
      <c r="L84" s="16"/>
    </row>
    <row r="85" ht="10.95" customHeight="true" customFormat="true" s="9">
      <c r="A85" s="10" t="s">
        <v>25</v>
      </c>
      <c r="B85" s="10"/>
      <c r="C85" s="10"/>
      <c r="D85" s="10"/>
      <c r="E85" s="10"/>
      <c r="F85" s="10"/>
      <c r="G85" s="11">
        <v>13983.6000</v>
      </c>
      <c r="H85" s="11">
        <v>0</v>
      </c>
      <c r="I85" s="11">
        <f ca="1">I82</f>
        <v>0</v>
      </c>
      <c r="J85" s="11">
        <v>0</v>
      </c>
      <c r="K85" s="10"/>
      <c r="L85" s="10"/>
    </row>
    <row r="86" ht="13.35" customHeight="true"/>
    <row r="87" ht="12.1" customHeight="true" customFormat="true" s="5">
      <c r="A87" s="8" t="s">
        <v>79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ht="10.95" customHeight="true" customFormat="true" s="9">
      <c r="A88" s="10" t="s">
        <v>16</v>
      </c>
      <c r="B88" s="10"/>
      <c r="C88" s="10"/>
      <c r="D88" s="10"/>
      <c r="E88" s="10"/>
      <c r="F88" s="10"/>
      <c r="G88" s="11">
        <v>0</v>
      </c>
      <c r="H88" s="11">
        <v>0</v>
      </c>
      <c r="I88" s="11">
        <f ca="1">(G88 - H88)</f>
        <v>0</v>
      </c>
      <c r="J88" s="11">
        <v>0</v>
      </c>
      <c r="K88" s="10"/>
      <c r="L88" s="10"/>
    </row>
    <row r="89" ht="10.95" customHeight="true" customFormat="true" s="9">
      <c r="A89" s="12">
        <v>45473</v>
      </c>
      <c r="B89" s="13" t="s">
        <v>80</v>
      </c>
      <c r="C89" s="13" t="s">
        <v>75</v>
      </c>
      <c r="D89" s="13" t="s">
        <v>19</v>
      </c>
      <c r="E89" s="13" t="s">
        <v>81</v>
      </c>
      <c r="F89" s="13" t="s">
        <v>21</v>
      </c>
      <c r="G89" s="14">
        <v>27327.7800</v>
      </c>
      <c r="H89" s="14">
        <v>0</v>
      </c>
      <c r="I89" s="14">
        <f ca="1">((I88 + G89) - H89)</f>
        <v>0</v>
      </c>
      <c r="J89" s="14">
        <v>0</v>
      </c>
      <c r="K89" s="15">
        <v>0</v>
      </c>
      <c r="L89" s="13" t="s">
        <v>22</v>
      </c>
    </row>
    <row r="90" ht="10.95" customHeight="true" customFormat="true" s="9">
      <c r="A90" s="16" t="s">
        <v>82</v>
      </c>
      <c r="B90" s="16"/>
      <c r="C90" s="16"/>
      <c r="D90" s="16"/>
      <c r="E90" s="16"/>
      <c r="F90" s="16"/>
      <c r="G90" s="17">
        <f ca="1">G89</f>
        <v>0</v>
      </c>
      <c r="H90" s="17">
        <f ca="1">H89</f>
        <v>0</v>
      </c>
      <c r="I90" s="17">
        <f ca="1">I89</f>
        <v>0</v>
      </c>
      <c r="J90" s="17">
        <f ca="1">J89</f>
        <v>0</v>
      </c>
      <c r="K90" s="16"/>
      <c r="L90" s="16"/>
    </row>
    <row r="91" ht="10.95" customHeight="true" customFormat="true" s="9">
      <c r="A91" s="16" t="s">
        <v>24</v>
      </c>
      <c r="B91" s="16"/>
      <c r="C91" s="16"/>
      <c r="D91" s="16"/>
      <c r="E91" s="16"/>
      <c r="F91" s="16"/>
      <c r="G91" s="17">
        <v>27327.7800</v>
      </c>
      <c r="H91" s="17">
        <v>0</v>
      </c>
      <c r="I91" s="17">
        <v>0</v>
      </c>
      <c r="J91" s="17">
        <v>0</v>
      </c>
      <c r="K91" s="16"/>
      <c r="L91" s="16"/>
    </row>
    <row r="92" ht="10.95" customHeight="true" customFormat="true" s="9">
      <c r="A92" s="10" t="s">
        <v>25</v>
      </c>
      <c r="B92" s="10"/>
      <c r="C92" s="10"/>
      <c r="D92" s="10"/>
      <c r="E92" s="10"/>
      <c r="F92" s="10"/>
      <c r="G92" s="11">
        <v>27327.7800</v>
      </c>
      <c r="H92" s="11">
        <v>0</v>
      </c>
      <c r="I92" s="11">
        <f ca="1">I89</f>
        <v>0</v>
      </c>
      <c r="J92" s="11">
        <v>0</v>
      </c>
      <c r="K92" s="10"/>
      <c r="L92" s="10"/>
    </row>
    <row r="93" ht="13.35" customHeight="true"/>
    <row r="94" ht="12.1" customHeight="true" customFormat="true" s="5">
      <c r="A94" s="8" t="s">
        <v>83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ht="10.95" customHeight="true" customFormat="true" s="9">
      <c r="A95" s="10" t="s">
        <v>16</v>
      </c>
      <c r="B95" s="10"/>
      <c r="C95" s="10"/>
      <c r="D95" s="10"/>
      <c r="E95" s="10"/>
      <c r="F95" s="10"/>
      <c r="G95" s="11">
        <v>0</v>
      </c>
      <c r="H95" s="11">
        <v>0</v>
      </c>
      <c r="I95" s="11">
        <f ca="1">(G95 - H95)</f>
        <v>0</v>
      </c>
      <c r="J95" s="11">
        <v>0</v>
      </c>
      <c r="K95" s="10"/>
      <c r="L95" s="10"/>
    </row>
    <row r="96" ht="10.95" customHeight="true" customFormat="true" s="9">
      <c r="A96" s="12">
        <v>45473</v>
      </c>
      <c r="B96" s="13" t="s">
        <v>84</v>
      </c>
      <c r="C96" s="13" t="s">
        <v>75</v>
      </c>
      <c r="D96" s="13" t="s">
        <v>19</v>
      </c>
      <c r="E96" s="13" t="s">
        <v>85</v>
      </c>
      <c r="F96" s="13" t="s">
        <v>77</v>
      </c>
      <c r="G96" s="14">
        <v>0</v>
      </c>
      <c r="H96" s="14">
        <v>13983.6000</v>
      </c>
      <c r="I96" s="14">
        <f ca="1">((I95 + G96) - H96)</f>
        <v>0</v>
      </c>
      <c r="J96" s="14">
        <v>0</v>
      </c>
      <c r="K96" s="15">
        <v>0</v>
      </c>
      <c r="L96" s="13" t="s">
        <v>22</v>
      </c>
    </row>
    <row r="97" ht="10.95" customHeight="true" customFormat="true" s="9">
      <c r="A97" s="18">
        <v>45473</v>
      </c>
      <c r="B97" s="19" t="s">
        <v>84</v>
      </c>
      <c r="C97" s="19" t="s">
        <v>75</v>
      </c>
      <c r="D97" s="19" t="s">
        <v>19</v>
      </c>
      <c r="E97" s="19" t="s">
        <v>86</v>
      </c>
      <c r="F97" s="19" t="s">
        <v>21</v>
      </c>
      <c r="G97" s="20">
        <v>1993.3700</v>
      </c>
      <c r="H97" s="20">
        <v>0</v>
      </c>
      <c r="I97" s="20">
        <f ca="1">((I96 + G97) - H97)</f>
        <v>0</v>
      </c>
      <c r="J97" s="20">
        <v>0</v>
      </c>
      <c r="K97" s="21">
        <v>0</v>
      </c>
      <c r="L97" s="19" t="s">
        <v>22</v>
      </c>
    </row>
    <row r="98" ht="10.95" customHeight="true" customFormat="true" s="9">
      <c r="A98" s="16" t="s">
        <v>87</v>
      </c>
      <c r="B98" s="16"/>
      <c r="C98" s="16"/>
      <c r="D98" s="16"/>
      <c r="E98" s="16"/>
      <c r="F98" s="16"/>
      <c r="G98" s="17">
        <f ca="1">SUM(G96:G97)</f>
        <v>0</v>
      </c>
      <c r="H98" s="17">
        <f ca="1">SUM(H96:H97)</f>
        <v>0</v>
      </c>
      <c r="I98" s="17">
        <f ca="1">I97</f>
        <v>0</v>
      </c>
      <c r="J98" s="17">
        <f ca="1">SUM(J96:J97)</f>
        <v>0</v>
      </c>
      <c r="K98" s="16"/>
      <c r="L98" s="16"/>
    </row>
    <row r="99" ht="10.95" customHeight="true" customFormat="true" s="9">
      <c r="A99" s="16" t="s">
        <v>24</v>
      </c>
      <c r="B99" s="16"/>
      <c r="C99" s="16"/>
      <c r="D99" s="16"/>
      <c r="E99" s="16"/>
      <c r="F99" s="16"/>
      <c r="G99" s="17">
        <v>0</v>
      </c>
      <c r="H99" s="17">
        <v>11990.2300</v>
      </c>
      <c r="I99" s="17">
        <v>0</v>
      </c>
      <c r="J99" s="17">
        <v>0</v>
      </c>
      <c r="K99" s="16"/>
      <c r="L99" s="16"/>
    </row>
    <row r="100" ht="10.95" customHeight="true" customFormat="true" s="9">
      <c r="A100" s="10" t="s">
        <v>25</v>
      </c>
      <c r="B100" s="10"/>
      <c r="C100" s="10"/>
      <c r="D100" s="10"/>
      <c r="E100" s="10"/>
      <c r="F100" s="10"/>
      <c r="G100" s="11">
        <v>0</v>
      </c>
      <c r="H100" s="11">
        <v>11990.2300</v>
      </c>
      <c r="I100" s="11">
        <f ca="1">I97</f>
        <v>0</v>
      </c>
      <c r="J100" s="11">
        <v>0</v>
      </c>
      <c r="K100" s="10"/>
      <c r="L100" s="10"/>
    </row>
    <row r="101" ht="13.35" customHeight="true"/>
    <row r="102" ht="12.1" customHeight="true" customFormat="true" s="5">
      <c r="A102" s="8" t="s">
        <v>88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ht="10.95" customHeight="true" customFormat="true" s="9">
      <c r="A103" s="10" t="s">
        <v>16</v>
      </c>
      <c r="B103" s="10"/>
      <c r="C103" s="10"/>
      <c r="D103" s="10"/>
      <c r="E103" s="10"/>
      <c r="F103" s="10"/>
      <c r="G103" s="11">
        <v>0</v>
      </c>
      <c r="H103" s="11">
        <v>0</v>
      </c>
      <c r="I103" s="11">
        <f ca="1">(G103 - H103)</f>
        <v>0</v>
      </c>
      <c r="J103" s="11">
        <v>0</v>
      </c>
      <c r="K103" s="10"/>
      <c r="L103" s="10"/>
    </row>
    <row r="104" ht="10.95" customHeight="true" customFormat="true" s="9">
      <c r="A104" s="12">
        <v>45473</v>
      </c>
      <c r="B104" s="13" t="s">
        <v>89</v>
      </c>
      <c r="C104" s="13" t="s">
        <v>75</v>
      </c>
      <c r="D104" s="13" t="s">
        <v>19</v>
      </c>
      <c r="E104" s="13" t="s">
        <v>90</v>
      </c>
      <c r="F104" s="13" t="s">
        <v>21</v>
      </c>
      <c r="G104" s="14">
        <v>18454.5200</v>
      </c>
      <c r="H104" s="14">
        <v>0</v>
      </c>
      <c r="I104" s="14">
        <f ca="1">((I103 + G104) - H104)</f>
        <v>0</v>
      </c>
      <c r="J104" s="14">
        <v>0</v>
      </c>
      <c r="K104" s="15">
        <v>0</v>
      </c>
      <c r="L104" s="13" t="s">
        <v>22</v>
      </c>
    </row>
    <row r="105" ht="10.95" customHeight="true" customFormat="true" s="9">
      <c r="A105" s="16" t="s">
        <v>91</v>
      </c>
      <c r="B105" s="16"/>
      <c r="C105" s="16"/>
      <c r="D105" s="16"/>
      <c r="E105" s="16"/>
      <c r="F105" s="16"/>
      <c r="G105" s="17">
        <f ca="1">G104</f>
        <v>0</v>
      </c>
      <c r="H105" s="17">
        <f ca="1">H104</f>
        <v>0</v>
      </c>
      <c r="I105" s="17">
        <f ca="1">I104</f>
        <v>0</v>
      </c>
      <c r="J105" s="17">
        <f ca="1">J104</f>
        <v>0</v>
      </c>
      <c r="K105" s="16"/>
      <c r="L105" s="16"/>
    </row>
    <row r="106" ht="10.95" customHeight="true" customFormat="true" s="9">
      <c r="A106" s="16" t="s">
        <v>24</v>
      </c>
      <c r="B106" s="16"/>
      <c r="C106" s="16"/>
      <c r="D106" s="16"/>
      <c r="E106" s="16"/>
      <c r="F106" s="16"/>
      <c r="G106" s="17">
        <v>18454.5200</v>
      </c>
      <c r="H106" s="17">
        <v>0</v>
      </c>
      <c r="I106" s="17">
        <v>0</v>
      </c>
      <c r="J106" s="17">
        <v>0</v>
      </c>
      <c r="K106" s="16"/>
      <c r="L106" s="16"/>
    </row>
    <row r="107" ht="10.95" customHeight="true" customFormat="true" s="9">
      <c r="A107" s="10" t="s">
        <v>25</v>
      </c>
      <c r="B107" s="10"/>
      <c r="C107" s="10"/>
      <c r="D107" s="10"/>
      <c r="E107" s="10"/>
      <c r="F107" s="10"/>
      <c r="G107" s="11">
        <v>18454.5200</v>
      </c>
      <c r="H107" s="11">
        <v>0</v>
      </c>
      <c r="I107" s="11">
        <f ca="1">I104</f>
        <v>0</v>
      </c>
      <c r="J107" s="11">
        <v>0</v>
      </c>
      <c r="K107" s="10"/>
      <c r="L107" s="10"/>
    </row>
    <row r="108" ht="13.35" customHeight="true"/>
    <row r="109" ht="12.1" customHeight="true" customFormat="true" s="5">
      <c r="A109" s="8" t="s">
        <v>92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ht="10.95" customHeight="true" customFormat="true" s="9">
      <c r="A110" s="10" t="s">
        <v>16</v>
      </c>
      <c r="B110" s="10"/>
      <c r="C110" s="10"/>
      <c r="D110" s="10"/>
      <c r="E110" s="10"/>
      <c r="F110" s="10"/>
      <c r="G110" s="11">
        <v>0</v>
      </c>
      <c r="H110" s="11">
        <v>0</v>
      </c>
      <c r="I110" s="11">
        <f ca="1">(G110 - H110)</f>
        <v>0</v>
      </c>
      <c r="J110" s="11">
        <v>0</v>
      </c>
      <c r="K110" s="10"/>
      <c r="L110" s="10"/>
    </row>
    <row r="111" ht="10.95" customHeight="true" customFormat="true" s="9">
      <c r="A111" s="12">
        <v>45473</v>
      </c>
      <c r="B111" s="13" t="s">
        <v>93</v>
      </c>
      <c r="C111" s="13" t="s">
        <v>75</v>
      </c>
      <c r="D111" s="13" t="s">
        <v>19</v>
      </c>
      <c r="E111" s="13" t="s">
        <v>94</v>
      </c>
      <c r="F111" s="13" t="s">
        <v>21</v>
      </c>
      <c r="G111" s="14">
        <v>446981.1100</v>
      </c>
      <c r="H111" s="14">
        <v>0</v>
      </c>
      <c r="I111" s="14">
        <f ca="1">((I110 + G111) - H111)</f>
        <v>0</v>
      </c>
      <c r="J111" s="14">
        <v>0</v>
      </c>
      <c r="K111" s="15">
        <v>0</v>
      </c>
      <c r="L111" s="13" t="s">
        <v>22</v>
      </c>
    </row>
    <row r="112" ht="10.95" customHeight="true" customFormat="true" s="9">
      <c r="A112" s="16" t="s">
        <v>95</v>
      </c>
      <c r="B112" s="16"/>
      <c r="C112" s="16"/>
      <c r="D112" s="16"/>
      <c r="E112" s="16"/>
      <c r="F112" s="16"/>
      <c r="G112" s="17">
        <f ca="1">G111</f>
        <v>0</v>
      </c>
      <c r="H112" s="17">
        <f ca="1">H111</f>
        <v>0</v>
      </c>
      <c r="I112" s="17">
        <f ca="1">I111</f>
        <v>0</v>
      </c>
      <c r="J112" s="17">
        <f ca="1">J111</f>
        <v>0</v>
      </c>
      <c r="K112" s="16"/>
      <c r="L112" s="16"/>
    </row>
    <row r="113" ht="10.95" customHeight="true" customFormat="true" s="9">
      <c r="A113" s="16" t="s">
        <v>24</v>
      </c>
      <c r="B113" s="16"/>
      <c r="C113" s="16"/>
      <c r="D113" s="16"/>
      <c r="E113" s="16"/>
      <c r="F113" s="16"/>
      <c r="G113" s="17">
        <v>446981.1100</v>
      </c>
      <c r="H113" s="17">
        <v>0</v>
      </c>
      <c r="I113" s="17">
        <v>0</v>
      </c>
      <c r="J113" s="17">
        <v>0</v>
      </c>
      <c r="K113" s="16"/>
      <c r="L113" s="16"/>
    </row>
    <row r="114" ht="10.95" customHeight="true" customFormat="true" s="9">
      <c r="A114" s="10" t="s">
        <v>25</v>
      </c>
      <c r="B114" s="10"/>
      <c r="C114" s="10"/>
      <c r="D114" s="10"/>
      <c r="E114" s="10"/>
      <c r="F114" s="10"/>
      <c r="G114" s="11">
        <v>446981.1100</v>
      </c>
      <c r="H114" s="11">
        <v>0</v>
      </c>
      <c r="I114" s="11">
        <f ca="1">I111</f>
        <v>0</v>
      </c>
      <c r="J114" s="11">
        <v>0</v>
      </c>
      <c r="K114" s="10"/>
      <c r="L114" s="10"/>
    </row>
    <row r="115" ht="13.35" customHeight="true"/>
    <row r="116" ht="12.1" customHeight="true" customFormat="true" s="5">
      <c r="A116" s="8" t="s">
        <v>96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ht="10.95" customHeight="true" customFormat="true" s="9">
      <c r="A117" s="10" t="s">
        <v>16</v>
      </c>
      <c r="B117" s="10"/>
      <c r="C117" s="10"/>
      <c r="D117" s="10"/>
      <c r="E117" s="10"/>
      <c r="F117" s="10"/>
      <c r="G117" s="11">
        <v>0</v>
      </c>
      <c r="H117" s="11">
        <v>0</v>
      </c>
      <c r="I117" s="11">
        <f ca="1">(G117 - H117)</f>
        <v>0</v>
      </c>
      <c r="J117" s="11">
        <v>0</v>
      </c>
      <c r="K117" s="10"/>
      <c r="L117" s="10"/>
    </row>
    <row r="118" ht="10.95" customHeight="true" customFormat="true" s="9">
      <c r="A118" s="12">
        <v>45473</v>
      </c>
      <c r="B118" s="13" t="s">
        <v>97</v>
      </c>
      <c r="C118" s="13" t="s">
        <v>75</v>
      </c>
      <c r="D118" s="13" t="s">
        <v>19</v>
      </c>
      <c r="E118" s="13" t="s">
        <v>98</v>
      </c>
      <c r="F118" s="13" t="s">
        <v>21</v>
      </c>
      <c r="G118" s="14">
        <v>46038.1900</v>
      </c>
      <c r="H118" s="14">
        <v>0</v>
      </c>
      <c r="I118" s="14">
        <f ca="1">((I117 + G118) - H118)</f>
        <v>0</v>
      </c>
      <c r="J118" s="14">
        <v>0</v>
      </c>
      <c r="K118" s="15">
        <v>0</v>
      </c>
      <c r="L118" s="13" t="s">
        <v>22</v>
      </c>
    </row>
    <row r="119" ht="10.95" customHeight="true" customFormat="true" s="9">
      <c r="A119" s="16" t="s">
        <v>99</v>
      </c>
      <c r="B119" s="16"/>
      <c r="C119" s="16"/>
      <c r="D119" s="16"/>
      <c r="E119" s="16"/>
      <c r="F119" s="16"/>
      <c r="G119" s="17">
        <f ca="1">G118</f>
        <v>0</v>
      </c>
      <c r="H119" s="17">
        <f ca="1">H118</f>
        <v>0</v>
      </c>
      <c r="I119" s="17">
        <f ca="1">I118</f>
        <v>0</v>
      </c>
      <c r="J119" s="17">
        <f ca="1">J118</f>
        <v>0</v>
      </c>
      <c r="K119" s="16"/>
      <c r="L119" s="16"/>
    </row>
    <row r="120" ht="10.95" customHeight="true" customFormat="true" s="9">
      <c r="A120" s="16" t="s">
        <v>24</v>
      </c>
      <c r="B120" s="16"/>
      <c r="C120" s="16"/>
      <c r="D120" s="16"/>
      <c r="E120" s="16"/>
      <c r="F120" s="16"/>
      <c r="G120" s="17">
        <v>46038.1900</v>
      </c>
      <c r="H120" s="17">
        <v>0</v>
      </c>
      <c r="I120" s="17">
        <v>0</v>
      </c>
      <c r="J120" s="17">
        <v>0</v>
      </c>
      <c r="K120" s="16"/>
      <c r="L120" s="16"/>
    </row>
    <row r="121" ht="10.95" customHeight="true" customFormat="true" s="9">
      <c r="A121" s="10" t="s">
        <v>25</v>
      </c>
      <c r="B121" s="10"/>
      <c r="C121" s="10"/>
      <c r="D121" s="10"/>
      <c r="E121" s="10"/>
      <c r="F121" s="10"/>
      <c r="G121" s="11">
        <v>46038.1900</v>
      </c>
      <c r="H121" s="11">
        <v>0</v>
      </c>
      <c r="I121" s="11">
        <f ca="1">I118</f>
        <v>0</v>
      </c>
      <c r="J121" s="11">
        <v>0</v>
      </c>
      <c r="K121" s="10"/>
      <c r="L121" s="10"/>
    </row>
    <row r="122" ht="13.35" customHeight="true"/>
    <row r="123" ht="12.1" customHeight="true" customFormat="true" s="5">
      <c r="A123" s="8" t="s">
        <v>100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ht="10.95" customHeight="true" customFormat="true" s="9">
      <c r="A124" s="10" t="s">
        <v>16</v>
      </c>
      <c r="B124" s="10"/>
      <c r="C124" s="10"/>
      <c r="D124" s="10"/>
      <c r="E124" s="10"/>
      <c r="F124" s="10"/>
      <c r="G124" s="11">
        <v>0</v>
      </c>
      <c r="H124" s="11">
        <v>0</v>
      </c>
      <c r="I124" s="11">
        <f ca="1">(G124 - H124)</f>
        <v>0</v>
      </c>
      <c r="J124" s="11">
        <v>0</v>
      </c>
      <c r="K124" s="10"/>
      <c r="L124" s="10"/>
    </row>
    <row r="125" ht="10.95" customHeight="true" customFormat="true" s="9">
      <c r="A125" s="12">
        <v>45473</v>
      </c>
      <c r="B125" s="13" t="s">
        <v>101</v>
      </c>
      <c r="C125" s="13" t="s">
        <v>102</v>
      </c>
      <c r="D125" s="13" t="s">
        <v>19</v>
      </c>
      <c r="E125" s="13" t="s">
        <v>103</v>
      </c>
      <c r="F125" s="13" t="s">
        <v>21</v>
      </c>
      <c r="G125" s="14">
        <v>38342.6000</v>
      </c>
      <c r="H125" s="14">
        <v>0</v>
      </c>
      <c r="I125" s="14">
        <f ca="1">((I124 + G125) - H125)</f>
        <v>0</v>
      </c>
      <c r="J125" s="14">
        <v>0</v>
      </c>
      <c r="K125" s="15">
        <v>0</v>
      </c>
      <c r="L125" s="13" t="s">
        <v>22</v>
      </c>
    </row>
    <row r="126" ht="10.95" customHeight="true" customFormat="true" s="9">
      <c r="A126" s="16" t="s">
        <v>104</v>
      </c>
      <c r="B126" s="16"/>
      <c r="C126" s="16"/>
      <c r="D126" s="16"/>
      <c r="E126" s="16"/>
      <c r="F126" s="16"/>
      <c r="G126" s="17">
        <f ca="1">G125</f>
        <v>0</v>
      </c>
      <c r="H126" s="17">
        <f ca="1">H125</f>
        <v>0</v>
      </c>
      <c r="I126" s="17">
        <f ca="1">I125</f>
        <v>0</v>
      </c>
      <c r="J126" s="17">
        <f ca="1">J125</f>
        <v>0</v>
      </c>
      <c r="K126" s="16"/>
      <c r="L126" s="16"/>
    </row>
    <row r="127" ht="10.95" customHeight="true" customFormat="true" s="9">
      <c r="A127" s="16" t="s">
        <v>24</v>
      </c>
      <c r="B127" s="16"/>
      <c r="C127" s="16"/>
      <c r="D127" s="16"/>
      <c r="E127" s="16"/>
      <c r="F127" s="16"/>
      <c r="G127" s="17">
        <v>38342.6000</v>
      </c>
      <c r="H127" s="17">
        <v>0</v>
      </c>
      <c r="I127" s="17">
        <v>0</v>
      </c>
      <c r="J127" s="17">
        <v>0</v>
      </c>
      <c r="K127" s="16"/>
      <c r="L127" s="16"/>
    </row>
    <row r="128" ht="10.95" customHeight="true" customFormat="true" s="9">
      <c r="A128" s="10" t="s">
        <v>25</v>
      </c>
      <c r="B128" s="10"/>
      <c r="C128" s="10"/>
      <c r="D128" s="10"/>
      <c r="E128" s="10"/>
      <c r="F128" s="10"/>
      <c r="G128" s="11">
        <v>38342.6000</v>
      </c>
      <c r="H128" s="11">
        <v>0</v>
      </c>
      <c r="I128" s="11">
        <f ca="1">I125</f>
        <v>0</v>
      </c>
      <c r="J128" s="11">
        <v>0</v>
      </c>
      <c r="K128" s="10"/>
      <c r="L128" s="10"/>
    </row>
    <row r="129" ht="13.35" customHeight="true"/>
    <row r="130" ht="12.1" customHeight="true" customFormat="true" s="5">
      <c r="A130" s="8" t="s">
        <v>105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ht="10.95" customHeight="true" customFormat="true" s="9">
      <c r="A131" s="10" t="s">
        <v>16</v>
      </c>
      <c r="B131" s="10"/>
      <c r="C131" s="10"/>
      <c r="D131" s="10"/>
      <c r="E131" s="10"/>
      <c r="F131" s="10"/>
      <c r="G131" s="11">
        <v>0</v>
      </c>
      <c r="H131" s="11">
        <v>0</v>
      </c>
      <c r="I131" s="11">
        <f ca="1">(G131 - H131)</f>
        <v>0</v>
      </c>
      <c r="J131" s="11">
        <v>0</v>
      </c>
      <c r="K131" s="10"/>
      <c r="L131" s="10"/>
    </row>
    <row r="132" ht="10.95" customHeight="true" customFormat="true" s="9">
      <c r="A132" s="12">
        <v>45473</v>
      </c>
      <c r="B132" s="13" t="s">
        <v>106</v>
      </c>
      <c r="C132" s="13" t="s">
        <v>102</v>
      </c>
      <c r="D132" s="13" t="s">
        <v>19</v>
      </c>
      <c r="E132" s="13" t="s">
        <v>107</v>
      </c>
      <c r="F132" s="13" t="s">
        <v>21</v>
      </c>
      <c r="G132" s="14">
        <v>19632.6600</v>
      </c>
      <c r="H132" s="14">
        <v>0</v>
      </c>
      <c r="I132" s="14">
        <f ca="1">((I131 + G132) - H132)</f>
        <v>0</v>
      </c>
      <c r="J132" s="14">
        <v>0</v>
      </c>
      <c r="K132" s="15">
        <v>0</v>
      </c>
      <c r="L132" s="13" t="s">
        <v>22</v>
      </c>
    </row>
    <row r="133" ht="10.95" customHeight="true" customFormat="true" s="9">
      <c r="A133" s="16" t="s">
        <v>108</v>
      </c>
      <c r="B133" s="16"/>
      <c r="C133" s="16"/>
      <c r="D133" s="16"/>
      <c r="E133" s="16"/>
      <c r="F133" s="16"/>
      <c r="G133" s="17">
        <f ca="1">G132</f>
        <v>0</v>
      </c>
      <c r="H133" s="17">
        <f ca="1">H132</f>
        <v>0</v>
      </c>
      <c r="I133" s="17">
        <f ca="1">I132</f>
        <v>0</v>
      </c>
      <c r="J133" s="17">
        <f ca="1">J132</f>
        <v>0</v>
      </c>
      <c r="K133" s="16"/>
      <c r="L133" s="16"/>
    </row>
    <row r="134" ht="10.95" customHeight="true" customFormat="true" s="9">
      <c r="A134" s="16" t="s">
        <v>24</v>
      </c>
      <c r="B134" s="16"/>
      <c r="C134" s="16"/>
      <c r="D134" s="16"/>
      <c r="E134" s="16"/>
      <c r="F134" s="16"/>
      <c r="G134" s="17">
        <v>19632.6600</v>
      </c>
      <c r="H134" s="17">
        <v>0</v>
      </c>
      <c r="I134" s="17">
        <v>0</v>
      </c>
      <c r="J134" s="17">
        <v>0</v>
      </c>
      <c r="K134" s="16"/>
      <c r="L134" s="16"/>
    </row>
    <row r="135" ht="10.95" customHeight="true" customFormat="true" s="9">
      <c r="A135" s="10" t="s">
        <v>25</v>
      </c>
      <c r="B135" s="10"/>
      <c r="C135" s="10"/>
      <c r="D135" s="10"/>
      <c r="E135" s="10"/>
      <c r="F135" s="10"/>
      <c r="G135" s="11">
        <v>19632.6600</v>
      </c>
      <c r="H135" s="11">
        <v>0</v>
      </c>
      <c r="I135" s="11">
        <f ca="1">I132</f>
        <v>0</v>
      </c>
      <c r="J135" s="11">
        <v>0</v>
      </c>
      <c r="K135" s="10"/>
      <c r="L135" s="10"/>
    </row>
    <row r="136" ht="13.35" customHeight="true"/>
    <row r="137" ht="12.1" customHeight="true" customFormat="true" s="5">
      <c r="A137" s="8" t="s">
        <v>109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ht="10.95" customHeight="true" customFormat="true" s="9">
      <c r="A138" s="10" t="s">
        <v>16</v>
      </c>
      <c r="B138" s="10"/>
      <c r="C138" s="10"/>
      <c r="D138" s="10"/>
      <c r="E138" s="10"/>
      <c r="F138" s="10"/>
      <c r="G138" s="11">
        <v>0</v>
      </c>
      <c r="H138" s="11">
        <v>0</v>
      </c>
      <c r="I138" s="11">
        <f ca="1">(G138 - H138)</f>
        <v>0</v>
      </c>
      <c r="J138" s="11">
        <v>0</v>
      </c>
      <c r="K138" s="10"/>
      <c r="L138" s="10"/>
    </row>
    <row r="139" ht="10.95" customHeight="true" customFormat="true" s="9">
      <c r="A139" s="12">
        <v>45473</v>
      </c>
      <c r="B139" s="13" t="s">
        <v>110</v>
      </c>
      <c r="C139" s="13" t="s">
        <v>102</v>
      </c>
      <c r="D139" s="13" t="s">
        <v>19</v>
      </c>
      <c r="E139" s="13" t="s">
        <v>111</v>
      </c>
      <c r="F139" s="13" t="s">
        <v>21</v>
      </c>
      <c r="G139" s="14">
        <v>389716.1900</v>
      </c>
      <c r="H139" s="14">
        <v>0</v>
      </c>
      <c r="I139" s="14">
        <f ca="1">((I138 + G139) - H139)</f>
        <v>0</v>
      </c>
      <c r="J139" s="14">
        <v>0</v>
      </c>
      <c r="K139" s="15">
        <v>0</v>
      </c>
      <c r="L139" s="13" t="s">
        <v>22</v>
      </c>
    </row>
    <row r="140" ht="10.95" customHeight="true" customFormat="true" s="9">
      <c r="A140" s="16" t="s">
        <v>112</v>
      </c>
      <c r="B140" s="16"/>
      <c r="C140" s="16"/>
      <c r="D140" s="16"/>
      <c r="E140" s="16"/>
      <c r="F140" s="16"/>
      <c r="G140" s="17">
        <f ca="1">G139</f>
        <v>0</v>
      </c>
      <c r="H140" s="17">
        <f ca="1">H139</f>
        <v>0</v>
      </c>
      <c r="I140" s="17">
        <f ca="1">I139</f>
        <v>0</v>
      </c>
      <c r="J140" s="17">
        <f ca="1">J139</f>
        <v>0</v>
      </c>
      <c r="K140" s="16"/>
      <c r="L140" s="16"/>
    </row>
    <row r="141" ht="10.95" customHeight="true" customFormat="true" s="9">
      <c r="A141" s="16" t="s">
        <v>24</v>
      </c>
      <c r="B141" s="16"/>
      <c r="C141" s="16"/>
      <c r="D141" s="16"/>
      <c r="E141" s="16"/>
      <c r="F141" s="16"/>
      <c r="G141" s="17">
        <v>389716.1900</v>
      </c>
      <c r="H141" s="17">
        <v>0</v>
      </c>
      <c r="I141" s="17">
        <v>0</v>
      </c>
      <c r="J141" s="17">
        <v>0</v>
      </c>
      <c r="K141" s="16"/>
      <c r="L141" s="16"/>
    </row>
    <row r="142" ht="10.95" customHeight="true" customFormat="true" s="9">
      <c r="A142" s="10" t="s">
        <v>25</v>
      </c>
      <c r="B142" s="10"/>
      <c r="C142" s="10"/>
      <c r="D142" s="10"/>
      <c r="E142" s="10"/>
      <c r="F142" s="10"/>
      <c r="G142" s="11">
        <v>389716.1900</v>
      </c>
      <c r="H142" s="11">
        <v>0</v>
      </c>
      <c r="I142" s="11">
        <f ca="1">I139</f>
        <v>0</v>
      </c>
      <c r="J142" s="11">
        <v>0</v>
      </c>
      <c r="K142" s="10"/>
      <c r="L142" s="10"/>
    </row>
    <row r="143" ht="13.35" customHeight="true"/>
    <row r="144" ht="12.1" customHeight="true" customFormat="true" s="5">
      <c r="A144" s="8" t="s">
        <v>113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ht="10.95" customHeight="true" customFormat="true" s="9">
      <c r="A145" s="10" t="s">
        <v>16</v>
      </c>
      <c r="B145" s="10"/>
      <c r="C145" s="10"/>
      <c r="D145" s="10"/>
      <c r="E145" s="10"/>
      <c r="F145" s="10"/>
      <c r="G145" s="11">
        <v>0</v>
      </c>
      <c r="H145" s="11">
        <v>0</v>
      </c>
      <c r="I145" s="11">
        <f ca="1">(G145 - H145)</f>
        <v>0</v>
      </c>
      <c r="J145" s="11">
        <v>0</v>
      </c>
      <c r="K145" s="10"/>
      <c r="L145" s="10"/>
    </row>
    <row r="146" ht="10.95" customHeight="true" customFormat="true" s="9">
      <c r="A146" s="12">
        <v>45473</v>
      </c>
      <c r="B146" s="13" t="s">
        <v>114</v>
      </c>
      <c r="C146" s="13" t="s">
        <v>102</v>
      </c>
      <c r="D146" s="13" t="s">
        <v>19</v>
      </c>
      <c r="E146" s="13" t="s">
        <v>115</v>
      </c>
      <c r="F146" s="13" t="s">
        <v>21</v>
      </c>
      <c r="G146" s="14">
        <v>42922.9400</v>
      </c>
      <c r="H146" s="14">
        <v>0</v>
      </c>
      <c r="I146" s="14">
        <f ca="1">((I145 + G146) - H146)</f>
        <v>0</v>
      </c>
      <c r="J146" s="14">
        <v>0</v>
      </c>
      <c r="K146" s="15">
        <v>0</v>
      </c>
      <c r="L146" s="13" t="s">
        <v>22</v>
      </c>
    </row>
    <row r="147" ht="10.95" customHeight="true" customFormat="true" s="9">
      <c r="A147" s="16" t="s">
        <v>116</v>
      </c>
      <c r="B147" s="16"/>
      <c r="C147" s="16"/>
      <c r="D147" s="16"/>
      <c r="E147" s="16"/>
      <c r="F147" s="16"/>
      <c r="G147" s="17">
        <f ca="1">G146</f>
        <v>0</v>
      </c>
      <c r="H147" s="17">
        <f ca="1">H146</f>
        <v>0</v>
      </c>
      <c r="I147" s="17">
        <f ca="1">I146</f>
        <v>0</v>
      </c>
      <c r="J147" s="17">
        <f ca="1">J146</f>
        <v>0</v>
      </c>
      <c r="K147" s="16"/>
      <c r="L147" s="16"/>
    </row>
    <row r="148" ht="10.95" customHeight="true" customFormat="true" s="9">
      <c r="A148" s="16" t="s">
        <v>24</v>
      </c>
      <c r="B148" s="16"/>
      <c r="C148" s="16"/>
      <c r="D148" s="16"/>
      <c r="E148" s="16"/>
      <c r="F148" s="16"/>
      <c r="G148" s="17">
        <v>42922.9400</v>
      </c>
      <c r="H148" s="17">
        <v>0</v>
      </c>
      <c r="I148" s="17">
        <v>0</v>
      </c>
      <c r="J148" s="17">
        <v>0</v>
      </c>
      <c r="K148" s="16"/>
      <c r="L148" s="16"/>
    </row>
    <row r="149" ht="10.95" customHeight="true" customFormat="true" s="9">
      <c r="A149" s="10" t="s">
        <v>25</v>
      </c>
      <c r="B149" s="10"/>
      <c r="C149" s="10"/>
      <c r="D149" s="10"/>
      <c r="E149" s="10"/>
      <c r="F149" s="10"/>
      <c r="G149" s="11">
        <v>42922.9400</v>
      </c>
      <c r="H149" s="11">
        <v>0</v>
      </c>
      <c r="I149" s="11">
        <f ca="1">I146</f>
        <v>0</v>
      </c>
      <c r="J149" s="11">
        <v>0</v>
      </c>
      <c r="K149" s="10"/>
      <c r="L149" s="10"/>
    </row>
    <row r="150" ht="13.35" customHeight="true"/>
    <row r="151" ht="12.1" customHeight="true" customFormat="true" s="5">
      <c r="A151" s="8" t="s">
        <v>117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ht="10.95" customHeight="true" customFormat="true" s="9">
      <c r="A152" s="10" t="s">
        <v>16</v>
      </c>
      <c r="B152" s="10"/>
      <c r="C152" s="10"/>
      <c r="D152" s="10"/>
      <c r="E152" s="10"/>
      <c r="F152" s="10"/>
      <c r="G152" s="11">
        <v>0</v>
      </c>
      <c r="H152" s="11">
        <v>0</v>
      </c>
      <c r="I152" s="11">
        <f ca="1">(G152 - H152)</f>
        <v>0</v>
      </c>
      <c r="J152" s="11">
        <v>0</v>
      </c>
      <c r="K152" s="10"/>
      <c r="L152" s="10"/>
    </row>
    <row r="153" ht="10.95" customHeight="true" customFormat="true" s="9">
      <c r="A153" s="12">
        <v>45473</v>
      </c>
      <c r="B153" s="13" t="s">
        <v>118</v>
      </c>
      <c r="C153" s="13" t="s">
        <v>102</v>
      </c>
      <c r="D153" s="13" t="s">
        <v>19</v>
      </c>
      <c r="E153" s="13" t="s">
        <v>119</v>
      </c>
      <c r="F153" s="13" t="s">
        <v>21</v>
      </c>
      <c r="G153" s="14">
        <v>8442.4000</v>
      </c>
      <c r="H153" s="14">
        <v>0</v>
      </c>
      <c r="I153" s="14">
        <f ca="1">((I152 + G153) - H153)</f>
        <v>0</v>
      </c>
      <c r="J153" s="14">
        <v>0</v>
      </c>
      <c r="K153" s="15">
        <v>0</v>
      </c>
      <c r="L153" s="13" t="s">
        <v>22</v>
      </c>
    </row>
    <row r="154" ht="10.95" customHeight="true" customFormat="true" s="9">
      <c r="A154" s="16" t="s">
        <v>120</v>
      </c>
      <c r="B154" s="16"/>
      <c r="C154" s="16"/>
      <c r="D154" s="16"/>
      <c r="E154" s="16"/>
      <c r="F154" s="16"/>
      <c r="G154" s="17">
        <f ca="1">G153</f>
        <v>0</v>
      </c>
      <c r="H154" s="17">
        <f ca="1">H153</f>
        <v>0</v>
      </c>
      <c r="I154" s="17">
        <f ca="1">I153</f>
        <v>0</v>
      </c>
      <c r="J154" s="17">
        <f ca="1">J153</f>
        <v>0</v>
      </c>
      <c r="K154" s="16"/>
      <c r="L154" s="16"/>
    </row>
    <row r="155" ht="10.95" customHeight="true" customFormat="true" s="9">
      <c r="A155" s="16" t="s">
        <v>24</v>
      </c>
      <c r="B155" s="16"/>
      <c r="C155" s="16"/>
      <c r="D155" s="16"/>
      <c r="E155" s="16"/>
      <c r="F155" s="16"/>
      <c r="G155" s="17">
        <v>8442.4000</v>
      </c>
      <c r="H155" s="17">
        <v>0</v>
      </c>
      <c r="I155" s="17">
        <v>0</v>
      </c>
      <c r="J155" s="17">
        <v>0</v>
      </c>
      <c r="K155" s="16"/>
      <c r="L155" s="16"/>
    </row>
    <row r="156" ht="10.95" customHeight="true" customFormat="true" s="9">
      <c r="A156" s="10" t="s">
        <v>25</v>
      </c>
      <c r="B156" s="10"/>
      <c r="C156" s="10"/>
      <c r="D156" s="10"/>
      <c r="E156" s="10"/>
      <c r="F156" s="10"/>
      <c r="G156" s="11">
        <v>8442.4000</v>
      </c>
      <c r="H156" s="11">
        <v>0</v>
      </c>
      <c r="I156" s="11">
        <f ca="1">I153</f>
        <v>0</v>
      </c>
      <c r="J156" s="11">
        <v>0</v>
      </c>
      <c r="K156" s="10"/>
      <c r="L156" s="10"/>
    </row>
    <row r="157" ht="13.35" customHeight="true"/>
    <row r="158" ht="12.1" customHeight="true" customFormat="true" s="5">
      <c r="A158" s="8" t="s">
        <v>121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ht="10.95" customHeight="true" customFormat="true" s="9">
      <c r="A159" s="10" t="s">
        <v>16</v>
      </c>
      <c r="B159" s="10"/>
      <c r="C159" s="10"/>
      <c r="D159" s="10"/>
      <c r="E159" s="10"/>
      <c r="F159" s="10"/>
      <c r="G159" s="11">
        <v>0</v>
      </c>
      <c r="H159" s="11">
        <v>0</v>
      </c>
      <c r="I159" s="11">
        <f ca="1">(G159 - H159)</f>
        <v>0</v>
      </c>
      <c r="J159" s="11">
        <v>0</v>
      </c>
      <c r="K159" s="10"/>
      <c r="L159" s="10"/>
    </row>
    <row r="160" ht="10.95" customHeight="true" customFormat="true" s="9">
      <c r="A160" s="12">
        <v>45473</v>
      </c>
      <c r="B160" s="13" t="s">
        <v>122</v>
      </c>
      <c r="C160" s="13" t="s">
        <v>102</v>
      </c>
      <c r="D160" s="13" t="s">
        <v>19</v>
      </c>
      <c r="E160" s="13" t="s">
        <v>123</v>
      </c>
      <c r="F160" s="13" t="s">
        <v>21</v>
      </c>
      <c r="G160" s="14">
        <v>4575.7600</v>
      </c>
      <c r="H160" s="14">
        <v>0</v>
      </c>
      <c r="I160" s="14">
        <f ca="1">((I159 + G160) - H160)</f>
        <v>0</v>
      </c>
      <c r="J160" s="14">
        <v>0</v>
      </c>
      <c r="K160" s="15">
        <v>0</v>
      </c>
      <c r="L160" s="13" t="s">
        <v>22</v>
      </c>
    </row>
    <row r="161" ht="10.95" customHeight="true" customFormat="true" s="9">
      <c r="A161" s="18">
        <v>45473</v>
      </c>
      <c r="B161" s="19" t="s">
        <v>122</v>
      </c>
      <c r="C161" s="19" t="s">
        <v>102</v>
      </c>
      <c r="D161" s="19" t="s">
        <v>19</v>
      </c>
      <c r="E161" s="19" t="s">
        <v>63</v>
      </c>
      <c r="F161" s="19" t="s">
        <v>64</v>
      </c>
      <c r="G161" s="20">
        <v>0</v>
      </c>
      <c r="H161" s="20">
        <v>450.0000</v>
      </c>
      <c r="I161" s="20">
        <f ca="1">((I160 + G161) - H161)</f>
        <v>0</v>
      </c>
      <c r="J161" s="20">
        <v>0</v>
      </c>
      <c r="K161" s="21">
        <v>0</v>
      </c>
      <c r="L161" s="19" t="s">
        <v>22</v>
      </c>
    </row>
    <row r="162" ht="10.95" customHeight="true" customFormat="true" s="9">
      <c r="A162" s="16" t="s">
        <v>124</v>
      </c>
      <c r="B162" s="16"/>
      <c r="C162" s="16"/>
      <c r="D162" s="16"/>
      <c r="E162" s="16"/>
      <c r="F162" s="16"/>
      <c r="G162" s="17">
        <f ca="1">SUM(G160:G161)</f>
        <v>0</v>
      </c>
      <c r="H162" s="17">
        <f ca="1">SUM(H160:H161)</f>
        <v>0</v>
      </c>
      <c r="I162" s="17">
        <f ca="1">I161</f>
        <v>0</v>
      </c>
      <c r="J162" s="17">
        <f ca="1">SUM(J160:J161)</f>
        <v>0</v>
      </c>
      <c r="K162" s="16"/>
      <c r="L162" s="16"/>
    </row>
    <row r="163" ht="10.95" customHeight="true" customFormat="true" s="9">
      <c r="A163" s="16" t="s">
        <v>24</v>
      </c>
      <c r="B163" s="16"/>
      <c r="C163" s="16"/>
      <c r="D163" s="16"/>
      <c r="E163" s="16"/>
      <c r="F163" s="16"/>
      <c r="G163" s="17">
        <v>4125.7600</v>
      </c>
      <c r="H163" s="17">
        <v>0</v>
      </c>
      <c r="I163" s="17">
        <v>0</v>
      </c>
      <c r="J163" s="17">
        <v>0</v>
      </c>
      <c r="K163" s="16"/>
      <c r="L163" s="16"/>
    </row>
    <row r="164" ht="10.95" customHeight="true" customFormat="true" s="9">
      <c r="A164" s="10" t="s">
        <v>25</v>
      </c>
      <c r="B164" s="10"/>
      <c r="C164" s="10"/>
      <c r="D164" s="10"/>
      <c r="E164" s="10"/>
      <c r="F164" s="10"/>
      <c r="G164" s="11">
        <v>4125.7600</v>
      </c>
      <c r="H164" s="11">
        <v>0</v>
      </c>
      <c r="I164" s="11">
        <f ca="1">I161</f>
        <v>0</v>
      </c>
      <c r="J164" s="11">
        <v>0</v>
      </c>
      <c r="K164" s="10"/>
      <c r="L164" s="10"/>
    </row>
    <row r="165" ht="13.35" customHeight="true"/>
    <row r="166" ht="12.1" customHeight="true" customFormat="true" s="5">
      <c r="A166" s="8" t="s">
        <v>125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ht="10.95" customHeight="true" customFormat="true" s="9">
      <c r="A167" s="10" t="s">
        <v>16</v>
      </c>
      <c r="B167" s="10"/>
      <c r="C167" s="10"/>
      <c r="D167" s="10"/>
      <c r="E167" s="10"/>
      <c r="F167" s="10"/>
      <c r="G167" s="11">
        <v>0</v>
      </c>
      <c r="H167" s="11">
        <v>0</v>
      </c>
      <c r="I167" s="11">
        <f ca="1">(G167 - H167)</f>
        <v>0</v>
      </c>
      <c r="J167" s="11">
        <v>0</v>
      </c>
      <c r="K167" s="10"/>
      <c r="L167" s="10"/>
    </row>
    <row r="168" ht="10.95" customHeight="true" customFormat="true" s="9">
      <c r="A168" s="12">
        <v>45473</v>
      </c>
      <c r="B168" s="13" t="s">
        <v>126</v>
      </c>
      <c r="C168" s="13" t="s">
        <v>102</v>
      </c>
      <c r="D168" s="13" t="s">
        <v>19</v>
      </c>
      <c r="E168" s="13" t="s">
        <v>127</v>
      </c>
      <c r="F168" s="13" t="s">
        <v>21</v>
      </c>
      <c r="G168" s="14">
        <v>23775.6700</v>
      </c>
      <c r="H168" s="14">
        <v>0</v>
      </c>
      <c r="I168" s="14">
        <f ca="1">((I167 + G168) - H168)</f>
        <v>0</v>
      </c>
      <c r="J168" s="14">
        <v>0</v>
      </c>
      <c r="K168" s="15">
        <v>0</v>
      </c>
      <c r="L168" s="13" t="s">
        <v>22</v>
      </c>
    </row>
    <row r="169" ht="10.95" customHeight="true" customFormat="true" s="9">
      <c r="A169" s="16" t="s">
        <v>128</v>
      </c>
      <c r="B169" s="16"/>
      <c r="C169" s="16"/>
      <c r="D169" s="16"/>
      <c r="E169" s="16"/>
      <c r="F169" s="16"/>
      <c r="G169" s="17">
        <f ca="1">G168</f>
        <v>0</v>
      </c>
      <c r="H169" s="17">
        <f ca="1">H168</f>
        <v>0</v>
      </c>
      <c r="I169" s="17">
        <f ca="1">I168</f>
        <v>0</v>
      </c>
      <c r="J169" s="17">
        <f ca="1">J168</f>
        <v>0</v>
      </c>
      <c r="K169" s="16"/>
      <c r="L169" s="16"/>
    </row>
    <row r="170" ht="10.95" customHeight="true" customFormat="true" s="9">
      <c r="A170" s="16" t="s">
        <v>24</v>
      </c>
      <c r="B170" s="16"/>
      <c r="C170" s="16"/>
      <c r="D170" s="16"/>
      <c r="E170" s="16"/>
      <c r="F170" s="16"/>
      <c r="G170" s="17">
        <v>23775.6700</v>
      </c>
      <c r="H170" s="17">
        <v>0</v>
      </c>
      <c r="I170" s="17">
        <v>0</v>
      </c>
      <c r="J170" s="17">
        <v>0</v>
      </c>
      <c r="K170" s="16"/>
      <c r="L170" s="16"/>
    </row>
    <row r="171" ht="10.95" customHeight="true" customFormat="true" s="9">
      <c r="A171" s="10" t="s">
        <v>25</v>
      </c>
      <c r="B171" s="10"/>
      <c r="C171" s="10"/>
      <c r="D171" s="10"/>
      <c r="E171" s="10"/>
      <c r="F171" s="10"/>
      <c r="G171" s="11">
        <v>23775.6700</v>
      </c>
      <c r="H171" s="11">
        <v>0</v>
      </c>
      <c r="I171" s="11">
        <f ca="1">I168</f>
        <v>0</v>
      </c>
      <c r="J171" s="11">
        <v>0</v>
      </c>
      <c r="K171" s="10"/>
      <c r="L171" s="10"/>
    </row>
    <row r="172" ht="13.35" customHeight="true"/>
    <row r="173" ht="12.1" customHeight="true" customFormat="true" s="5">
      <c r="A173" s="8" t="s">
        <v>129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ht="10.95" customHeight="true" customFormat="true" s="9">
      <c r="A174" s="10" t="s">
        <v>16</v>
      </c>
      <c r="B174" s="10"/>
      <c r="C174" s="10"/>
      <c r="D174" s="10"/>
      <c r="E174" s="10"/>
      <c r="F174" s="10"/>
      <c r="G174" s="11">
        <v>0</v>
      </c>
      <c r="H174" s="11">
        <v>0</v>
      </c>
      <c r="I174" s="11">
        <f ca="1">(G174 - H174)</f>
        <v>0</v>
      </c>
      <c r="J174" s="11">
        <v>0</v>
      </c>
      <c r="K174" s="10"/>
      <c r="L174" s="10"/>
    </row>
    <row r="175" ht="10.95" customHeight="true" customFormat="true" s="9">
      <c r="A175" s="12">
        <v>45473</v>
      </c>
      <c r="B175" s="13" t="s">
        <v>130</v>
      </c>
      <c r="C175" s="13" t="s">
        <v>102</v>
      </c>
      <c r="D175" s="13" t="s">
        <v>19</v>
      </c>
      <c r="E175" s="13" t="s">
        <v>131</v>
      </c>
      <c r="F175" s="13" t="s">
        <v>21</v>
      </c>
      <c r="G175" s="14">
        <v>7335.9000</v>
      </c>
      <c r="H175" s="14">
        <v>0</v>
      </c>
      <c r="I175" s="14">
        <f ca="1">((I174 + G175) - H175)</f>
        <v>0</v>
      </c>
      <c r="J175" s="14">
        <v>0</v>
      </c>
      <c r="K175" s="15">
        <v>0</v>
      </c>
      <c r="L175" s="13" t="s">
        <v>22</v>
      </c>
    </row>
    <row r="176" ht="10.95" customHeight="true" customFormat="true" s="9">
      <c r="A176" s="16" t="s">
        <v>132</v>
      </c>
      <c r="B176" s="16"/>
      <c r="C176" s="16"/>
      <c r="D176" s="16"/>
      <c r="E176" s="16"/>
      <c r="F176" s="16"/>
      <c r="G176" s="17">
        <f ca="1">G175</f>
        <v>0</v>
      </c>
      <c r="H176" s="17">
        <f ca="1">H175</f>
        <v>0</v>
      </c>
      <c r="I176" s="17">
        <f ca="1">I175</f>
        <v>0</v>
      </c>
      <c r="J176" s="17">
        <f ca="1">J175</f>
        <v>0</v>
      </c>
      <c r="K176" s="16"/>
      <c r="L176" s="16"/>
    </row>
    <row r="177" ht="10.95" customHeight="true" customFormat="true" s="9">
      <c r="A177" s="16" t="s">
        <v>24</v>
      </c>
      <c r="B177" s="16"/>
      <c r="C177" s="16"/>
      <c r="D177" s="16"/>
      <c r="E177" s="16"/>
      <c r="F177" s="16"/>
      <c r="G177" s="17">
        <v>7335.9000</v>
      </c>
      <c r="H177" s="17">
        <v>0</v>
      </c>
      <c r="I177" s="17">
        <v>0</v>
      </c>
      <c r="J177" s="17">
        <v>0</v>
      </c>
      <c r="K177" s="16"/>
      <c r="L177" s="16"/>
    </row>
    <row r="178" ht="10.95" customHeight="true" customFormat="true" s="9">
      <c r="A178" s="10" t="s">
        <v>25</v>
      </c>
      <c r="B178" s="10"/>
      <c r="C178" s="10"/>
      <c r="D178" s="10"/>
      <c r="E178" s="10"/>
      <c r="F178" s="10"/>
      <c r="G178" s="11">
        <v>7335.9000</v>
      </c>
      <c r="H178" s="11">
        <v>0</v>
      </c>
      <c r="I178" s="11">
        <f ca="1">I175</f>
        <v>0</v>
      </c>
      <c r="J178" s="11">
        <v>0</v>
      </c>
      <c r="K178" s="10"/>
      <c r="L178" s="10"/>
    </row>
    <row r="179" ht="13.35" customHeight="true"/>
    <row r="180" ht="12.1" customHeight="true" customFormat="true" s="5">
      <c r="A180" s="8" t="s">
        <v>133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ht="10.95" customHeight="true" customFormat="true" s="9">
      <c r="A181" s="10" t="s">
        <v>16</v>
      </c>
      <c r="B181" s="10"/>
      <c r="C181" s="10"/>
      <c r="D181" s="10"/>
      <c r="E181" s="10"/>
      <c r="F181" s="10"/>
      <c r="G181" s="11">
        <v>0</v>
      </c>
      <c r="H181" s="11">
        <v>0</v>
      </c>
      <c r="I181" s="11">
        <f ca="1">(G181 - H181)</f>
        <v>0</v>
      </c>
      <c r="J181" s="11">
        <v>0</v>
      </c>
      <c r="K181" s="10"/>
      <c r="L181" s="10"/>
    </row>
    <row r="182" ht="10.95" customHeight="true" customFormat="true" s="9">
      <c r="A182" s="12">
        <v>45473</v>
      </c>
      <c r="B182" s="13" t="s">
        <v>134</v>
      </c>
      <c r="C182" s="13" t="s">
        <v>102</v>
      </c>
      <c r="D182" s="13" t="s">
        <v>19</v>
      </c>
      <c r="E182" s="13" t="s">
        <v>135</v>
      </c>
      <c r="F182" s="13" t="s">
        <v>21</v>
      </c>
      <c r="G182" s="14">
        <v>5106.5500</v>
      </c>
      <c r="H182" s="14">
        <v>0</v>
      </c>
      <c r="I182" s="14">
        <f ca="1">((I181 + G182) - H182)</f>
        <v>0</v>
      </c>
      <c r="J182" s="14">
        <v>0</v>
      </c>
      <c r="K182" s="15">
        <v>0</v>
      </c>
      <c r="L182" s="13" t="s">
        <v>22</v>
      </c>
    </row>
    <row r="183" ht="10.95" customHeight="true" customFormat="true" s="9">
      <c r="A183" s="16" t="s">
        <v>136</v>
      </c>
      <c r="B183" s="16"/>
      <c r="C183" s="16"/>
      <c r="D183" s="16"/>
      <c r="E183" s="16"/>
      <c r="F183" s="16"/>
      <c r="G183" s="17">
        <f ca="1">G182</f>
        <v>0</v>
      </c>
      <c r="H183" s="17">
        <f ca="1">H182</f>
        <v>0</v>
      </c>
      <c r="I183" s="17">
        <f ca="1">I182</f>
        <v>0</v>
      </c>
      <c r="J183" s="17">
        <f ca="1">J182</f>
        <v>0</v>
      </c>
      <c r="K183" s="16"/>
      <c r="L183" s="16"/>
    </row>
    <row r="184" ht="10.95" customHeight="true" customFormat="true" s="9">
      <c r="A184" s="16" t="s">
        <v>24</v>
      </c>
      <c r="B184" s="16"/>
      <c r="C184" s="16"/>
      <c r="D184" s="16"/>
      <c r="E184" s="16"/>
      <c r="F184" s="16"/>
      <c r="G184" s="17">
        <v>5106.5500</v>
      </c>
      <c r="H184" s="17">
        <v>0</v>
      </c>
      <c r="I184" s="17">
        <v>0</v>
      </c>
      <c r="J184" s="17">
        <v>0</v>
      </c>
      <c r="K184" s="16"/>
      <c r="L184" s="16"/>
    </row>
    <row r="185" ht="10.95" customHeight="true" customFormat="true" s="9">
      <c r="A185" s="10" t="s">
        <v>25</v>
      </c>
      <c r="B185" s="10"/>
      <c r="C185" s="10"/>
      <c r="D185" s="10"/>
      <c r="E185" s="10"/>
      <c r="F185" s="10"/>
      <c r="G185" s="11">
        <v>5106.5500</v>
      </c>
      <c r="H185" s="11">
        <v>0</v>
      </c>
      <c r="I185" s="11">
        <f ca="1">I182</f>
        <v>0</v>
      </c>
      <c r="J185" s="11">
        <v>0</v>
      </c>
      <c r="K185" s="10"/>
      <c r="L185" s="10"/>
    </row>
    <row r="186" ht="13.35" customHeight="true"/>
    <row r="187" ht="12.1" customHeight="true" customFormat="true" s="5">
      <c r="A187" s="8" t="s">
        <v>137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ht="10.95" customHeight="true" customFormat="true" s="9">
      <c r="A188" s="10" t="s">
        <v>16</v>
      </c>
      <c r="B188" s="10"/>
      <c r="C188" s="10"/>
      <c r="D188" s="10"/>
      <c r="E188" s="10"/>
      <c r="F188" s="10"/>
      <c r="G188" s="11">
        <v>0</v>
      </c>
      <c r="H188" s="11">
        <v>0</v>
      </c>
      <c r="I188" s="11">
        <f ca="1">(G188 - H188)</f>
        <v>0</v>
      </c>
      <c r="J188" s="11">
        <v>0</v>
      </c>
      <c r="K188" s="10"/>
      <c r="L188" s="10"/>
    </row>
    <row r="189" ht="10.95" customHeight="true" customFormat="true" s="9">
      <c r="A189" s="12">
        <v>45473</v>
      </c>
      <c r="B189" s="13" t="s">
        <v>138</v>
      </c>
      <c r="C189" s="13" t="s">
        <v>102</v>
      </c>
      <c r="D189" s="13" t="s">
        <v>19</v>
      </c>
      <c r="E189" s="13" t="s">
        <v>139</v>
      </c>
      <c r="F189" s="13" t="s">
        <v>21</v>
      </c>
      <c r="G189" s="14">
        <v>27491.4000</v>
      </c>
      <c r="H189" s="14">
        <v>0</v>
      </c>
      <c r="I189" s="14">
        <f ca="1">((I188 + G189) - H189)</f>
        <v>0</v>
      </c>
      <c r="J189" s="14">
        <v>0</v>
      </c>
      <c r="K189" s="15">
        <v>0</v>
      </c>
      <c r="L189" s="13" t="s">
        <v>22</v>
      </c>
    </row>
    <row r="190" ht="10.95" customHeight="true" customFormat="true" s="9">
      <c r="A190" s="16" t="s">
        <v>140</v>
      </c>
      <c r="B190" s="16"/>
      <c r="C190" s="16"/>
      <c r="D190" s="16"/>
      <c r="E190" s="16"/>
      <c r="F190" s="16"/>
      <c r="G190" s="17">
        <f ca="1">G189</f>
        <v>0</v>
      </c>
      <c r="H190" s="17">
        <f ca="1">H189</f>
        <v>0</v>
      </c>
      <c r="I190" s="17">
        <f ca="1">I189</f>
        <v>0</v>
      </c>
      <c r="J190" s="17">
        <f ca="1">J189</f>
        <v>0</v>
      </c>
      <c r="K190" s="16"/>
      <c r="L190" s="16"/>
    </row>
    <row r="191" ht="10.95" customHeight="true" customFormat="true" s="9">
      <c r="A191" s="16" t="s">
        <v>24</v>
      </c>
      <c r="B191" s="16"/>
      <c r="C191" s="16"/>
      <c r="D191" s="16"/>
      <c r="E191" s="16"/>
      <c r="F191" s="16"/>
      <c r="G191" s="17">
        <v>27491.4000</v>
      </c>
      <c r="H191" s="17">
        <v>0</v>
      </c>
      <c r="I191" s="17">
        <v>0</v>
      </c>
      <c r="J191" s="17">
        <v>0</v>
      </c>
      <c r="K191" s="16"/>
      <c r="L191" s="16"/>
    </row>
    <row r="192" ht="10.95" customHeight="true" customFormat="true" s="9">
      <c r="A192" s="10" t="s">
        <v>25</v>
      </c>
      <c r="B192" s="10"/>
      <c r="C192" s="10"/>
      <c r="D192" s="10"/>
      <c r="E192" s="10"/>
      <c r="F192" s="10"/>
      <c r="G192" s="11">
        <v>27491.4000</v>
      </c>
      <c r="H192" s="11">
        <v>0</v>
      </c>
      <c r="I192" s="11">
        <f ca="1">I189</f>
        <v>0</v>
      </c>
      <c r="J192" s="11">
        <v>0</v>
      </c>
      <c r="K192" s="10"/>
      <c r="L192" s="10"/>
    </row>
    <row r="193" ht="13.35" customHeight="true"/>
    <row r="194" ht="12.1" customHeight="true" customFormat="true" s="5">
      <c r="A194" s="8" t="s">
        <v>141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ht="10.95" customHeight="true" customFormat="true" s="9">
      <c r="A195" s="10" t="s">
        <v>16</v>
      </c>
      <c r="B195" s="10"/>
      <c r="C195" s="10"/>
      <c r="D195" s="10"/>
      <c r="E195" s="10"/>
      <c r="F195" s="10"/>
      <c r="G195" s="11">
        <v>0</v>
      </c>
      <c r="H195" s="11">
        <v>0</v>
      </c>
      <c r="I195" s="11">
        <f ca="1">(G195 - H195)</f>
        <v>0</v>
      </c>
      <c r="J195" s="11">
        <v>0</v>
      </c>
      <c r="K195" s="10"/>
      <c r="L195" s="10"/>
    </row>
    <row r="196" ht="10.95" customHeight="true" customFormat="true" s="9">
      <c r="A196" s="12">
        <v>45473</v>
      </c>
      <c r="B196" s="13" t="s">
        <v>142</v>
      </c>
      <c r="C196" s="13" t="s">
        <v>102</v>
      </c>
      <c r="D196" s="13" t="s">
        <v>19</v>
      </c>
      <c r="E196" s="13" t="s">
        <v>143</v>
      </c>
      <c r="F196" s="13" t="s">
        <v>21</v>
      </c>
      <c r="G196" s="14">
        <v>1671.8000</v>
      </c>
      <c r="H196" s="14">
        <v>0</v>
      </c>
      <c r="I196" s="14">
        <f ca="1">((I195 + G196) - H196)</f>
        <v>0</v>
      </c>
      <c r="J196" s="14">
        <v>0</v>
      </c>
      <c r="K196" s="15">
        <v>0</v>
      </c>
      <c r="L196" s="13" t="s">
        <v>22</v>
      </c>
    </row>
    <row r="197" ht="10.95" customHeight="true" customFormat="true" s="9">
      <c r="A197" s="16" t="s">
        <v>144</v>
      </c>
      <c r="B197" s="16"/>
      <c r="C197" s="16"/>
      <c r="D197" s="16"/>
      <c r="E197" s="16"/>
      <c r="F197" s="16"/>
      <c r="G197" s="17">
        <f ca="1">G196</f>
        <v>0</v>
      </c>
      <c r="H197" s="17">
        <f ca="1">H196</f>
        <v>0</v>
      </c>
      <c r="I197" s="17">
        <f ca="1">I196</f>
        <v>0</v>
      </c>
      <c r="J197" s="17">
        <f ca="1">J196</f>
        <v>0</v>
      </c>
      <c r="K197" s="16"/>
      <c r="L197" s="16"/>
    </row>
    <row r="198" ht="10.95" customHeight="true" customFormat="true" s="9">
      <c r="A198" s="16" t="s">
        <v>24</v>
      </c>
      <c r="B198" s="16"/>
      <c r="C198" s="16"/>
      <c r="D198" s="16"/>
      <c r="E198" s="16"/>
      <c r="F198" s="16"/>
      <c r="G198" s="17">
        <v>1671.8000</v>
      </c>
      <c r="H198" s="17">
        <v>0</v>
      </c>
      <c r="I198" s="17">
        <v>0</v>
      </c>
      <c r="J198" s="17">
        <v>0</v>
      </c>
      <c r="K198" s="16"/>
      <c r="L198" s="16"/>
    </row>
    <row r="199" ht="10.95" customHeight="true" customFormat="true" s="9">
      <c r="A199" s="10" t="s">
        <v>25</v>
      </c>
      <c r="B199" s="10"/>
      <c r="C199" s="10"/>
      <c r="D199" s="10"/>
      <c r="E199" s="10"/>
      <c r="F199" s="10"/>
      <c r="G199" s="11">
        <v>1671.8000</v>
      </c>
      <c r="H199" s="11">
        <v>0</v>
      </c>
      <c r="I199" s="11">
        <f ca="1">I196</f>
        <v>0</v>
      </c>
      <c r="J199" s="11">
        <v>0</v>
      </c>
      <c r="K199" s="10"/>
      <c r="L199" s="10"/>
    </row>
    <row r="200" ht="13.35" customHeight="true"/>
    <row r="201" ht="12.1" customHeight="true" customFormat="true" s="5">
      <c r="A201" s="8" t="s">
        <v>145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ht="10.95" customHeight="true" customFormat="true" s="9">
      <c r="A202" s="10" t="s">
        <v>16</v>
      </c>
      <c r="B202" s="10"/>
      <c r="C202" s="10"/>
      <c r="D202" s="10"/>
      <c r="E202" s="10"/>
      <c r="F202" s="10"/>
      <c r="G202" s="11">
        <v>0</v>
      </c>
      <c r="H202" s="11">
        <v>0</v>
      </c>
      <c r="I202" s="11">
        <f ca="1">(G202 - H202)</f>
        <v>0</v>
      </c>
      <c r="J202" s="11">
        <v>0</v>
      </c>
      <c r="K202" s="10"/>
      <c r="L202" s="10"/>
    </row>
    <row r="203" ht="10.95" customHeight="true" customFormat="true" s="9">
      <c r="A203" s="12">
        <v>45473</v>
      </c>
      <c r="B203" s="13" t="s">
        <v>146</v>
      </c>
      <c r="C203" s="13" t="s">
        <v>102</v>
      </c>
      <c r="D203" s="13" t="s">
        <v>19</v>
      </c>
      <c r="E203" s="13" t="s">
        <v>147</v>
      </c>
      <c r="F203" s="13" t="s">
        <v>21</v>
      </c>
      <c r="G203" s="14">
        <v>18685.2300</v>
      </c>
      <c r="H203" s="14">
        <v>0</v>
      </c>
      <c r="I203" s="14">
        <f ca="1">((I202 + G203) - H203)</f>
        <v>0</v>
      </c>
      <c r="J203" s="14">
        <v>0</v>
      </c>
      <c r="K203" s="15">
        <v>0</v>
      </c>
      <c r="L203" s="13" t="s">
        <v>22</v>
      </c>
    </row>
    <row r="204" ht="10.95" customHeight="true" customFormat="true" s="9">
      <c r="A204" s="16" t="s">
        <v>148</v>
      </c>
      <c r="B204" s="16"/>
      <c r="C204" s="16"/>
      <c r="D204" s="16"/>
      <c r="E204" s="16"/>
      <c r="F204" s="16"/>
      <c r="G204" s="17">
        <f ca="1">G203</f>
        <v>0</v>
      </c>
      <c r="H204" s="17">
        <f ca="1">H203</f>
        <v>0</v>
      </c>
      <c r="I204" s="17">
        <f ca="1">I203</f>
        <v>0</v>
      </c>
      <c r="J204" s="17">
        <f ca="1">J203</f>
        <v>0</v>
      </c>
      <c r="K204" s="16"/>
      <c r="L204" s="16"/>
    </row>
    <row r="205" ht="10.95" customHeight="true" customFormat="true" s="9">
      <c r="A205" s="16" t="s">
        <v>24</v>
      </c>
      <c r="B205" s="16"/>
      <c r="C205" s="16"/>
      <c r="D205" s="16"/>
      <c r="E205" s="16"/>
      <c r="F205" s="16"/>
      <c r="G205" s="17">
        <v>18685.2300</v>
      </c>
      <c r="H205" s="17">
        <v>0</v>
      </c>
      <c r="I205" s="17">
        <v>0</v>
      </c>
      <c r="J205" s="17">
        <v>0</v>
      </c>
      <c r="K205" s="16"/>
      <c r="L205" s="16"/>
    </row>
    <row r="206" ht="10.95" customHeight="true" customFormat="true" s="9">
      <c r="A206" s="10" t="s">
        <v>25</v>
      </c>
      <c r="B206" s="10"/>
      <c r="C206" s="10"/>
      <c r="D206" s="10"/>
      <c r="E206" s="10"/>
      <c r="F206" s="10"/>
      <c r="G206" s="11">
        <v>18685.2300</v>
      </c>
      <c r="H206" s="11">
        <v>0</v>
      </c>
      <c r="I206" s="11">
        <f ca="1">I203</f>
        <v>0</v>
      </c>
      <c r="J206" s="11">
        <v>0</v>
      </c>
      <c r="K206" s="10"/>
      <c r="L206" s="10"/>
    </row>
    <row r="207" ht="13.35" customHeight="true"/>
    <row r="208" ht="12.1" customHeight="true" customFormat="true" s="5">
      <c r="A208" s="8" t="s">
        <v>149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ht="10.95" customHeight="true" customFormat="true" s="9">
      <c r="A209" s="10" t="s">
        <v>16</v>
      </c>
      <c r="B209" s="10"/>
      <c r="C209" s="10"/>
      <c r="D209" s="10"/>
      <c r="E209" s="10"/>
      <c r="F209" s="10"/>
      <c r="G209" s="11">
        <v>0</v>
      </c>
      <c r="H209" s="11">
        <v>0</v>
      </c>
      <c r="I209" s="11">
        <f ca="1">(G209 - H209)</f>
        <v>0</v>
      </c>
      <c r="J209" s="11">
        <v>0</v>
      </c>
      <c r="K209" s="10"/>
      <c r="L209" s="10"/>
    </row>
    <row r="210" ht="10.95" customHeight="true" customFormat="true" s="9">
      <c r="A210" s="12">
        <v>45473</v>
      </c>
      <c r="B210" s="13" t="s">
        <v>150</v>
      </c>
      <c r="C210" s="13" t="s">
        <v>102</v>
      </c>
      <c r="D210" s="13" t="s">
        <v>19</v>
      </c>
      <c r="E210" s="13" t="s">
        <v>151</v>
      </c>
      <c r="F210" s="13" t="s">
        <v>21</v>
      </c>
      <c r="G210" s="14">
        <v>63.4000</v>
      </c>
      <c r="H210" s="14">
        <v>0</v>
      </c>
      <c r="I210" s="14">
        <f ca="1">((I209 + G210) - H210)</f>
        <v>0</v>
      </c>
      <c r="J210" s="14">
        <v>0</v>
      </c>
      <c r="K210" s="15">
        <v>0</v>
      </c>
      <c r="L210" s="13" t="s">
        <v>22</v>
      </c>
    </row>
    <row r="211" ht="10.95" customHeight="true" customFormat="true" s="9">
      <c r="A211" s="16" t="s">
        <v>152</v>
      </c>
      <c r="B211" s="16"/>
      <c r="C211" s="16"/>
      <c r="D211" s="16"/>
      <c r="E211" s="16"/>
      <c r="F211" s="16"/>
      <c r="G211" s="17">
        <f ca="1">G210</f>
        <v>0</v>
      </c>
      <c r="H211" s="17">
        <f ca="1">H210</f>
        <v>0</v>
      </c>
      <c r="I211" s="17">
        <f ca="1">I210</f>
        <v>0</v>
      </c>
      <c r="J211" s="17">
        <f ca="1">J210</f>
        <v>0</v>
      </c>
      <c r="K211" s="16"/>
      <c r="L211" s="16"/>
    </row>
    <row r="212" ht="10.95" customHeight="true" customFormat="true" s="9">
      <c r="A212" s="16" t="s">
        <v>24</v>
      </c>
      <c r="B212" s="16"/>
      <c r="C212" s="16"/>
      <c r="D212" s="16"/>
      <c r="E212" s="16"/>
      <c r="F212" s="16"/>
      <c r="G212" s="17">
        <v>63.4000</v>
      </c>
      <c r="H212" s="17">
        <v>0</v>
      </c>
      <c r="I212" s="17">
        <v>0</v>
      </c>
      <c r="J212" s="17">
        <v>0</v>
      </c>
      <c r="K212" s="16"/>
      <c r="L212" s="16"/>
    </row>
    <row r="213" ht="10.95" customHeight="true" customFormat="true" s="9">
      <c r="A213" s="10" t="s">
        <v>25</v>
      </c>
      <c r="B213" s="10"/>
      <c r="C213" s="10"/>
      <c r="D213" s="10"/>
      <c r="E213" s="10"/>
      <c r="F213" s="10"/>
      <c r="G213" s="11">
        <v>63.4000</v>
      </c>
      <c r="H213" s="11">
        <v>0</v>
      </c>
      <c r="I213" s="11">
        <f ca="1">I210</f>
        <v>0</v>
      </c>
      <c r="J213" s="11">
        <v>0</v>
      </c>
      <c r="K213" s="10"/>
      <c r="L213" s="10"/>
    </row>
    <row r="214" ht="13.35" customHeight="true"/>
    <row r="215" ht="12.1" customHeight="true" customFormat="true" s="5">
      <c r="A215" s="8" t="s">
        <v>153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ht="10.95" customHeight="true" customFormat="true" s="9">
      <c r="A216" s="10" t="s">
        <v>16</v>
      </c>
      <c r="B216" s="10"/>
      <c r="C216" s="10"/>
      <c r="D216" s="10"/>
      <c r="E216" s="10"/>
      <c r="F216" s="10"/>
      <c r="G216" s="11">
        <v>0</v>
      </c>
      <c r="H216" s="11">
        <v>0</v>
      </c>
      <c r="I216" s="11">
        <f ca="1">(G216 - H216)</f>
        <v>0</v>
      </c>
      <c r="J216" s="11">
        <v>0</v>
      </c>
      <c r="K216" s="10"/>
      <c r="L216" s="10"/>
    </row>
    <row r="217" ht="10.95" customHeight="true" customFormat="true" s="9">
      <c r="A217" s="12">
        <v>45473</v>
      </c>
      <c r="B217" s="13" t="s">
        <v>154</v>
      </c>
      <c r="C217" s="13" t="s">
        <v>102</v>
      </c>
      <c r="D217" s="13" t="s">
        <v>19</v>
      </c>
      <c r="E217" s="13" t="s">
        <v>155</v>
      </c>
      <c r="F217" s="13" t="s">
        <v>21</v>
      </c>
      <c r="G217" s="14">
        <v>20590.0300</v>
      </c>
      <c r="H217" s="14">
        <v>0</v>
      </c>
      <c r="I217" s="14">
        <f ca="1">((I216 + G217) - H217)</f>
        <v>0</v>
      </c>
      <c r="J217" s="14">
        <v>0</v>
      </c>
      <c r="K217" s="15">
        <v>0</v>
      </c>
      <c r="L217" s="13" t="s">
        <v>22</v>
      </c>
    </row>
    <row r="218" ht="10.95" customHeight="true" customFormat="true" s="9">
      <c r="A218" s="16" t="s">
        <v>156</v>
      </c>
      <c r="B218" s="16"/>
      <c r="C218" s="16"/>
      <c r="D218" s="16"/>
      <c r="E218" s="16"/>
      <c r="F218" s="16"/>
      <c r="G218" s="17">
        <f ca="1">G217</f>
        <v>0</v>
      </c>
      <c r="H218" s="17">
        <f ca="1">H217</f>
        <v>0</v>
      </c>
      <c r="I218" s="17">
        <f ca="1">I217</f>
        <v>0</v>
      </c>
      <c r="J218" s="17">
        <f ca="1">J217</f>
        <v>0</v>
      </c>
      <c r="K218" s="16"/>
      <c r="L218" s="16"/>
    </row>
    <row r="219" ht="10.95" customHeight="true" customFormat="true" s="9">
      <c r="A219" s="16" t="s">
        <v>24</v>
      </c>
      <c r="B219" s="16"/>
      <c r="C219" s="16"/>
      <c r="D219" s="16"/>
      <c r="E219" s="16"/>
      <c r="F219" s="16"/>
      <c r="G219" s="17">
        <v>20590.0300</v>
      </c>
      <c r="H219" s="17">
        <v>0</v>
      </c>
      <c r="I219" s="17">
        <v>0</v>
      </c>
      <c r="J219" s="17">
        <v>0</v>
      </c>
      <c r="K219" s="16"/>
      <c r="L219" s="16"/>
    </row>
    <row r="220" ht="10.95" customHeight="true" customFormat="true" s="9">
      <c r="A220" s="10" t="s">
        <v>25</v>
      </c>
      <c r="B220" s="10"/>
      <c r="C220" s="10"/>
      <c r="D220" s="10"/>
      <c r="E220" s="10"/>
      <c r="F220" s="10"/>
      <c r="G220" s="11">
        <v>20590.0300</v>
      </c>
      <c r="H220" s="11">
        <v>0</v>
      </c>
      <c r="I220" s="11">
        <f ca="1">I217</f>
        <v>0</v>
      </c>
      <c r="J220" s="11">
        <v>0</v>
      </c>
      <c r="K220" s="10"/>
      <c r="L220" s="10"/>
    </row>
    <row r="221" ht="13.35" customHeight="true"/>
    <row r="222" ht="12.1" customHeight="true" customFormat="true" s="5">
      <c r="A222" s="8" t="s">
        <v>157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ht="10.95" customHeight="true" customFormat="true" s="9">
      <c r="A223" s="10" t="s">
        <v>16</v>
      </c>
      <c r="B223" s="10"/>
      <c r="C223" s="10"/>
      <c r="D223" s="10"/>
      <c r="E223" s="10"/>
      <c r="F223" s="10"/>
      <c r="G223" s="11">
        <v>0</v>
      </c>
      <c r="H223" s="11">
        <v>0</v>
      </c>
      <c r="I223" s="11">
        <f ca="1">(G223 - H223)</f>
        <v>0</v>
      </c>
      <c r="J223" s="11">
        <v>0</v>
      </c>
      <c r="K223" s="10"/>
      <c r="L223" s="10"/>
    </row>
    <row r="224" ht="10.95" customHeight="true" customFormat="true" s="9">
      <c r="A224" s="12">
        <v>45473</v>
      </c>
      <c r="B224" s="13" t="s">
        <v>158</v>
      </c>
      <c r="C224" s="13" t="s">
        <v>102</v>
      </c>
      <c r="D224" s="13" t="s">
        <v>19</v>
      </c>
      <c r="E224" s="13" t="s">
        <v>159</v>
      </c>
      <c r="F224" s="13" t="s">
        <v>21</v>
      </c>
      <c r="G224" s="14">
        <v>2168.6400</v>
      </c>
      <c r="H224" s="14">
        <v>0</v>
      </c>
      <c r="I224" s="14">
        <f ca="1">((I223 + G224) - H224)</f>
        <v>0</v>
      </c>
      <c r="J224" s="14">
        <v>0</v>
      </c>
      <c r="K224" s="15">
        <v>0</v>
      </c>
      <c r="L224" s="13" t="s">
        <v>22</v>
      </c>
    </row>
    <row r="225" ht="10.95" customHeight="true" customFormat="true" s="9">
      <c r="A225" s="16" t="s">
        <v>160</v>
      </c>
      <c r="B225" s="16"/>
      <c r="C225" s="16"/>
      <c r="D225" s="16"/>
      <c r="E225" s="16"/>
      <c r="F225" s="16"/>
      <c r="G225" s="17">
        <f ca="1">G224</f>
        <v>0</v>
      </c>
      <c r="H225" s="17">
        <f ca="1">H224</f>
        <v>0</v>
      </c>
      <c r="I225" s="17">
        <f ca="1">I224</f>
        <v>0</v>
      </c>
      <c r="J225" s="17">
        <f ca="1">J224</f>
        <v>0</v>
      </c>
      <c r="K225" s="16"/>
      <c r="L225" s="16"/>
    </row>
    <row r="226" ht="10.95" customHeight="true" customFormat="true" s="9">
      <c r="A226" s="16" t="s">
        <v>24</v>
      </c>
      <c r="B226" s="16"/>
      <c r="C226" s="16"/>
      <c r="D226" s="16"/>
      <c r="E226" s="16"/>
      <c r="F226" s="16"/>
      <c r="G226" s="17">
        <v>2168.6400</v>
      </c>
      <c r="H226" s="17">
        <v>0</v>
      </c>
      <c r="I226" s="17">
        <v>0</v>
      </c>
      <c r="J226" s="17">
        <v>0</v>
      </c>
      <c r="K226" s="16"/>
      <c r="L226" s="16"/>
    </row>
    <row r="227" ht="10.95" customHeight="true" customFormat="true" s="9">
      <c r="A227" s="10" t="s">
        <v>25</v>
      </c>
      <c r="B227" s="10"/>
      <c r="C227" s="10"/>
      <c r="D227" s="10"/>
      <c r="E227" s="10"/>
      <c r="F227" s="10"/>
      <c r="G227" s="11">
        <v>2168.6400</v>
      </c>
      <c r="H227" s="11">
        <v>0</v>
      </c>
      <c r="I227" s="11">
        <f ca="1">I224</f>
        <v>0</v>
      </c>
      <c r="J227" s="11">
        <v>0</v>
      </c>
      <c r="K227" s="10"/>
      <c r="L227" s="10"/>
    </row>
    <row r="228" ht="13.35" customHeight="true"/>
    <row r="229" ht="12.1" customHeight="true" customFormat="true" s="5">
      <c r="A229" s="8" t="s">
        <v>161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ht="10.95" customHeight="true" customFormat="true" s="9">
      <c r="A230" s="10" t="s">
        <v>16</v>
      </c>
      <c r="B230" s="10"/>
      <c r="C230" s="10"/>
      <c r="D230" s="10"/>
      <c r="E230" s="10"/>
      <c r="F230" s="10"/>
      <c r="G230" s="11">
        <v>0</v>
      </c>
      <c r="H230" s="11">
        <v>0</v>
      </c>
      <c r="I230" s="11">
        <f ca="1">(G230 - H230)</f>
        <v>0</v>
      </c>
      <c r="J230" s="11">
        <v>0</v>
      </c>
      <c r="K230" s="10"/>
      <c r="L230" s="10"/>
    </row>
    <row r="231" ht="10.95" customHeight="true" customFormat="true" s="9">
      <c r="A231" s="12">
        <v>45473</v>
      </c>
      <c r="B231" s="13" t="s">
        <v>162</v>
      </c>
      <c r="C231" s="13" t="s">
        <v>102</v>
      </c>
      <c r="D231" s="13" t="s">
        <v>19</v>
      </c>
      <c r="E231" s="13" t="s">
        <v>163</v>
      </c>
      <c r="F231" s="13" t="s">
        <v>21</v>
      </c>
      <c r="G231" s="14">
        <v>1117.9600</v>
      </c>
      <c r="H231" s="14">
        <v>0</v>
      </c>
      <c r="I231" s="14">
        <f ca="1">((I230 + G231) - H231)</f>
        <v>0</v>
      </c>
      <c r="J231" s="14">
        <v>0</v>
      </c>
      <c r="K231" s="15">
        <v>0</v>
      </c>
      <c r="L231" s="13" t="s">
        <v>22</v>
      </c>
    </row>
    <row r="232" ht="10.95" customHeight="true" customFormat="true" s="9">
      <c r="A232" s="16" t="s">
        <v>164</v>
      </c>
      <c r="B232" s="16"/>
      <c r="C232" s="16"/>
      <c r="D232" s="16"/>
      <c r="E232" s="16"/>
      <c r="F232" s="16"/>
      <c r="G232" s="17">
        <f ca="1">G231</f>
        <v>0</v>
      </c>
      <c r="H232" s="17">
        <f ca="1">H231</f>
        <v>0</v>
      </c>
      <c r="I232" s="17">
        <f ca="1">I231</f>
        <v>0</v>
      </c>
      <c r="J232" s="17">
        <f ca="1">J231</f>
        <v>0</v>
      </c>
      <c r="K232" s="16"/>
      <c r="L232" s="16"/>
    </row>
    <row r="233" ht="10.95" customHeight="true" customFormat="true" s="9">
      <c r="A233" s="16" t="s">
        <v>24</v>
      </c>
      <c r="B233" s="16"/>
      <c r="C233" s="16"/>
      <c r="D233" s="16"/>
      <c r="E233" s="16"/>
      <c r="F233" s="16"/>
      <c r="G233" s="17">
        <v>1117.9600</v>
      </c>
      <c r="H233" s="17">
        <v>0</v>
      </c>
      <c r="I233" s="17">
        <v>0</v>
      </c>
      <c r="J233" s="17">
        <v>0</v>
      </c>
      <c r="K233" s="16"/>
      <c r="L233" s="16"/>
    </row>
    <row r="234" ht="10.95" customHeight="true" customFormat="true" s="9">
      <c r="A234" s="10" t="s">
        <v>25</v>
      </c>
      <c r="B234" s="10"/>
      <c r="C234" s="10"/>
      <c r="D234" s="10"/>
      <c r="E234" s="10"/>
      <c r="F234" s="10"/>
      <c r="G234" s="11">
        <v>1117.9600</v>
      </c>
      <c r="H234" s="11">
        <v>0</v>
      </c>
      <c r="I234" s="11">
        <f ca="1">I231</f>
        <v>0</v>
      </c>
      <c r="J234" s="11">
        <v>0</v>
      </c>
      <c r="K234" s="10"/>
      <c r="L234" s="10"/>
    </row>
    <row r="235" ht="13.35" customHeight="true"/>
    <row r="236" ht="12.1" customHeight="true" customFormat="true" s="5">
      <c r="A236" s="8" t="s">
        <v>165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ht="10.95" customHeight="true" customFormat="true" s="9">
      <c r="A237" s="10" t="s">
        <v>16</v>
      </c>
      <c r="B237" s="10"/>
      <c r="C237" s="10"/>
      <c r="D237" s="10"/>
      <c r="E237" s="10"/>
      <c r="F237" s="10"/>
      <c r="G237" s="11">
        <v>0</v>
      </c>
      <c r="H237" s="11">
        <v>0</v>
      </c>
      <c r="I237" s="11">
        <f ca="1">(G237 - H237)</f>
        <v>0</v>
      </c>
      <c r="J237" s="11">
        <v>0</v>
      </c>
      <c r="K237" s="10"/>
      <c r="L237" s="10"/>
    </row>
    <row r="238" ht="10.95" customHeight="true" customFormat="true" s="9">
      <c r="A238" s="12">
        <v>45473</v>
      </c>
      <c r="B238" s="13" t="s">
        <v>166</v>
      </c>
      <c r="C238" s="13" t="s">
        <v>102</v>
      </c>
      <c r="D238" s="13" t="s">
        <v>19</v>
      </c>
      <c r="E238" s="13" t="s">
        <v>167</v>
      </c>
      <c r="F238" s="13" t="s">
        <v>21</v>
      </c>
      <c r="G238" s="14">
        <v>20497.2700</v>
      </c>
      <c r="H238" s="14">
        <v>0</v>
      </c>
      <c r="I238" s="14">
        <f ca="1">((I237 + G238) - H238)</f>
        <v>0</v>
      </c>
      <c r="J238" s="14">
        <v>0</v>
      </c>
      <c r="K238" s="15">
        <v>0</v>
      </c>
      <c r="L238" s="13" t="s">
        <v>22</v>
      </c>
    </row>
    <row r="239" ht="10.95" customHeight="true" customFormat="true" s="9">
      <c r="A239" s="16" t="s">
        <v>168</v>
      </c>
      <c r="B239" s="16"/>
      <c r="C239" s="16"/>
      <c r="D239" s="16"/>
      <c r="E239" s="16"/>
      <c r="F239" s="16"/>
      <c r="G239" s="17">
        <f ca="1">G238</f>
        <v>0</v>
      </c>
      <c r="H239" s="17">
        <f ca="1">H238</f>
        <v>0</v>
      </c>
      <c r="I239" s="17">
        <f ca="1">I238</f>
        <v>0</v>
      </c>
      <c r="J239" s="17">
        <f ca="1">J238</f>
        <v>0</v>
      </c>
      <c r="K239" s="16"/>
      <c r="L239" s="16"/>
    </row>
    <row r="240" ht="10.95" customHeight="true" customFormat="true" s="9">
      <c r="A240" s="16" t="s">
        <v>24</v>
      </c>
      <c r="B240" s="16"/>
      <c r="C240" s="16"/>
      <c r="D240" s="16"/>
      <c r="E240" s="16"/>
      <c r="F240" s="16"/>
      <c r="G240" s="17">
        <v>20497.2700</v>
      </c>
      <c r="H240" s="17">
        <v>0</v>
      </c>
      <c r="I240" s="17">
        <v>0</v>
      </c>
      <c r="J240" s="17">
        <v>0</v>
      </c>
      <c r="K240" s="16"/>
      <c r="L240" s="16"/>
    </row>
    <row r="241" ht="10.95" customHeight="true" customFormat="true" s="9">
      <c r="A241" s="10" t="s">
        <v>25</v>
      </c>
      <c r="B241" s="10"/>
      <c r="C241" s="10"/>
      <c r="D241" s="10"/>
      <c r="E241" s="10"/>
      <c r="F241" s="10"/>
      <c r="G241" s="11">
        <v>20497.2700</v>
      </c>
      <c r="H241" s="11">
        <v>0</v>
      </c>
      <c r="I241" s="11">
        <f ca="1">I238</f>
        <v>0</v>
      </c>
      <c r="J241" s="11">
        <v>0</v>
      </c>
      <c r="K241" s="10"/>
      <c r="L241" s="10"/>
    </row>
    <row r="242" ht="13.35" customHeight="true"/>
    <row r="243" ht="12.1" customHeight="true" customFormat="true" s="5">
      <c r="A243" s="8" t="s">
        <v>169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ht="10.95" customHeight="true" customFormat="true" s="9">
      <c r="A244" s="10" t="s">
        <v>16</v>
      </c>
      <c r="B244" s="10"/>
      <c r="C244" s="10"/>
      <c r="D244" s="10"/>
      <c r="E244" s="10"/>
      <c r="F244" s="10"/>
      <c r="G244" s="11">
        <v>0</v>
      </c>
      <c r="H244" s="11">
        <v>0</v>
      </c>
      <c r="I244" s="11">
        <f ca="1">(G244 - H244)</f>
        <v>0</v>
      </c>
      <c r="J244" s="11">
        <v>0</v>
      </c>
      <c r="K244" s="10"/>
      <c r="L244" s="10"/>
    </row>
    <row r="245" ht="10.95" customHeight="true" customFormat="true" s="9">
      <c r="A245" s="12">
        <v>45473</v>
      </c>
      <c r="B245" s="13" t="s">
        <v>170</v>
      </c>
      <c r="C245" s="13" t="s">
        <v>102</v>
      </c>
      <c r="D245" s="13" t="s">
        <v>19</v>
      </c>
      <c r="E245" s="13" t="s">
        <v>171</v>
      </c>
      <c r="F245" s="13" t="s">
        <v>21</v>
      </c>
      <c r="G245" s="14">
        <v>1110.9200</v>
      </c>
      <c r="H245" s="14">
        <v>0</v>
      </c>
      <c r="I245" s="14">
        <f ca="1">((I244 + G245) - H245)</f>
        <v>0</v>
      </c>
      <c r="J245" s="14">
        <v>0</v>
      </c>
      <c r="K245" s="15">
        <v>0</v>
      </c>
      <c r="L245" s="13" t="s">
        <v>22</v>
      </c>
    </row>
    <row r="246" ht="10.95" customHeight="true" customFormat="true" s="9">
      <c r="A246" s="16" t="s">
        <v>172</v>
      </c>
      <c r="B246" s="16"/>
      <c r="C246" s="16"/>
      <c r="D246" s="16"/>
      <c r="E246" s="16"/>
      <c r="F246" s="16"/>
      <c r="G246" s="17">
        <f ca="1">G245</f>
        <v>0</v>
      </c>
      <c r="H246" s="17">
        <f ca="1">H245</f>
        <v>0</v>
      </c>
      <c r="I246" s="17">
        <f ca="1">I245</f>
        <v>0</v>
      </c>
      <c r="J246" s="17">
        <f ca="1">J245</f>
        <v>0</v>
      </c>
      <c r="K246" s="16"/>
      <c r="L246" s="16"/>
    </row>
    <row r="247" ht="10.95" customHeight="true" customFormat="true" s="9">
      <c r="A247" s="16" t="s">
        <v>24</v>
      </c>
      <c r="B247" s="16"/>
      <c r="C247" s="16"/>
      <c r="D247" s="16"/>
      <c r="E247" s="16"/>
      <c r="F247" s="16"/>
      <c r="G247" s="17">
        <v>1110.9200</v>
      </c>
      <c r="H247" s="17">
        <v>0</v>
      </c>
      <c r="I247" s="17">
        <v>0</v>
      </c>
      <c r="J247" s="17">
        <v>0</v>
      </c>
      <c r="K247" s="16"/>
      <c r="L247" s="16"/>
    </row>
    <row r="248" ht="10.95" customHeight="true" customFormat="true" s="9">
      <c r="A248" s="10" t="s">
        <v>25</v>
      </c>
      <c r="B248" s="10"/>
      <c r="C248" s="10"/>
      <c r="D248" s="10"/>
      <c r="E248" s="10"/>
      <c r="F248" s="10"/>
      <c r="G248" s="11">
        <v>1110.9200</v>
      </c>
      <c r="H248" s="11">
        <v>0</v>
      </c>
      <c r="I248" s="11">
        <f ca="1">I245</f>
        <v>0</v>
      </c>
      <c r="J248" s="11">
        <v>0</v>
      </c>
      <c r="K248" s="10"/>
      <c r="L248" s="10"/>
    </row>
    <row r="249" ht="13.35" customHeight="true"/>
    <row r="250" ht="12.1" customHeight="true" customFormat="true" s="5">
      <c r="A250" s="8" t="s">
        <v>173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ht="10.95" customHeight="true" customFormat="true" s="9">
      <c r="A251" s="10" t="s">
        <v>16</v>
      </c>
      <c r="B251" s="10"/>
      <c r="C251" s="10"/>
      <c r="D251" s="10"/>
      <c r="E251" s="10"/>
      <c r="F251" s="10"/>
      <c r="G251" s="11">
        <v>0</v>
      </c>
      <c r="H251" s="11">
        <v>0</v>
      </c>
      <c r="I251" s="11">
        <f ca="1">(G251 - H251)</f>
        <v>0</v>
      </c>
      <c r="J251" s="11">
        <v>0</v>
      </c>
      <c r="K251" s="10"/>
      <c r="L251" s="10"/>
    </row>
    <row r="252" ht="10.95" customHeight="true" customFormat="true" s="9">
      <c r="A252" s="12">
        <v>45473</v>
      </c>
      <c r="B252" s="13" t="s">
        <v>174</v>
      </c>
      <c r="C252" s="13" t="s">
        <v>102</v>
      </c>
      <c r="D252" s="13" t="s">
        <v>19</v>
      </c>
      <c r="E252" s="13" t="s">
        <v>175</v>
      </c>
      <c r="F252" s="13" t="s">
        <v>21</v>
      </c>
      <c r="G252" s="14">
        <v>314.9500</v>
      </c>
      <c r="H252" s="14">
        <v>0</v>
      </c>
      <c r="I252" s="14">
        <f ca="1">((I251 + G252) - H252)</f>
        <v>0</v>
      </c>
      <c r="J252" s="14">
        <v>0</v>
      </c>
      <c r="K252" s="15">
        <v>0</v>
      </c>
      <c r="L252" s="13" t="s">
        <v>22</v>
      </c>
    </row>
    <row r="253" ht="10.95" customHeight="true" customFormat="true" s="9">
      <c r="A253" s="16" t="s">
        <v>176</v>
      </c>
      <c r="B253" s="16"/>
      <c r="C253" s="16"/>
      <c r="D253" s="16"/>
      <c r="E253" s="16"/>
      <c r="F253" s="16"/>
      <c r="G253" s="17">
        <f ca="1">G252</f>
        <v>0</v>
      </c>
      <c r="H253" s="17">
        <f ca="1">H252</f>
        <v>0</v>
      </c>
      <c r="I253" s="17">
        <f ca="1">I252</f>
        <v>0</v>
      </c>
      <c r="J253" s="17">
        <f ca="1">J252</f>
        <v>0</v>
      </c>
      <c r="K253" s="16"/>
      <c r="L253" s="16"/>
    </row>
    <row r="254" ht="10.95" customHeight="true" customFormat="true" s="9">
      <c r="A254" s="16" t="s">
        <v>24</v>
      </c>
      <c r="B254" s="16"/>
      <c r="C254" s="16"/>
      <c r="D254" s="16"/>
      <c r="E254" s="16"/>
      <c r="F254" s="16"/>
      <c r="G254" s="17">
        <v>314.9500</v>
      </c>
      <c r="H254" s="17">
        <v>0</v>
      </c>
      <c r="I254" s="17">
        <v>0</v>
      </c>
      <c r="J254" s="17">
        <v>0</v>
      </c>
      <c r="K254" s="16"/>
      <c r="L254" s="16"/>
    </row>
    <row r="255" ht="10.95" customHeight="true" customFormat="true" s="9">
      <c r="A255" s="10" t="s">
        <v>25</v>
      </c>
      <c r="B255" s="10"/>
      <c r="C255" s="10"/>
      <c r="D255" s="10"/>
      <c r="E255" s="10"/>
      <c r="F255" s="10"/>
      <c r="G255" s="11">
        <v>314.9500</v>
      </c>
      <c r="H255" s="11">
        <v>0</v>
      </c>
      <c r="I255" s="11">
        <f ca="1">I252</f>
        <v>0</v>
      </c>
      <c r="J255" s="11">
        <v>0</v>
      </c>
      <c r="K255" s="10"/>
      <c r="L255" s="10"/>
    </row>
    <row r="256" ht="13.35" customHeight="true"/>
    <row r="257" ht="12.1" customHeight="true" customFormat="true" s="5">
      <c r="A257" s="8" t="s">
        <v>177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ht="10.95" customHeight="true" customFormat="true" s="9">
      <c r="A258" s="10" t="s">
        <v>16</v>
      </c>
      <c r="B258" s="10"/>
      <c r="C258" s="10"/>
      <c r="D258" s="10"/>
      <c r="E258" s="10"/>
      <c r="F258" s="10"/>
      <c r="G258" s="11">
        <v>0</v>
      </c>
      <c r="H258" s="11">
        <v>0</v>
      </c>
      <c r="I258" s="11">
        <f ca="1">(G258 - H258)</f>
        <v>0</v>
      </c>
      <c r="J258" s="11">
        <v>0</v>
      </c>
      <c r="K258" s="10"/>
      <c r="L258" s="10"/>
    </row>
    <row r="259" ht="10.95" customHeight="true" customFormat="true" s="9">
      <c r="A259" s="12">
        <v>45473</v>
      </c>
      <c r="B259" s="13" t="s">
        <v>178</v>
      </c>
      <c r="C259" s="13" t="s">
        <v>102</v>
      </c>
      <c r="D259" s="13" t="s">
        <v>19</v>
      </c>
      <c r="E259" s="13" t="s">
        <v>179</v>
      </c>
      <c r="F259" s="13" t="s">
        <v>21</v>
      </c>
      <c r="G259" s="14">
        <v>0</v>
      </c>
      <c r="H259" s="14">
        <v>44120.5400</v>
      </c>
      <c r="I259" s="14">
        <f ca="1">((I258 + G259) - H259)</f>
        <v>0</v>
      </c>
      <c r="J259" s="14">
        <v>0</v>
      </c>
      <c r="K259" s="15">
        <v>0</v>
      </c>
      <c r="L259" s="13" t="s">
        <v>22</v>
      </c>
    </row>
    <row r="260" ht="10.95" customHeight="true" customFormat="true" s="9">
      <c r="A260" s="18">
        <v>45473</v>
      </c>
      <c r="B260" s="19" t="s">
        <v>178</v>
      </c>
      <c r="C260" s="19" t="s">
        <v>102</v>
      </c>
      <c r="D260" s="19" t="s">
        <v>19</v>
      </c>
      <c r="E260" s="19" t="s">
        <v>180</v>
      </c>
      <c r="F260" s="19" t="s">
        <v>21</v>
      </c>
      <c r="G260" s="20">
        <v>110918.9300</v>
      </c>
      <c r="H260" s="20">
        <v>0</v>
      </c>
      <c r="I260" s="20">
        <f ca="1">((I259 + G260) - H260)</f>
        <v>0</v>
      </c>
      <c r="J260" s="20">
        <v>0</v>
      </c>
      <c r="K260" s="21">
        <v>0</v>
      </c>
      <c r="L260" s="19" t="s">
        <v>22</v>
      </c>
    </row>
    <row r="261" ht="10.95" customHeight="true" customFormat="true" s="9">
      <c r="A261" s="16" t="s">
        <v>181</v>
      </c>
      <c r="B261" s="16"/>
      <c r="C261" s="16"/>
      <c r="D261" s="16"/>
      <c r="E261" s="16"/>
      <c r="F261" s="16"/>
      <c r="G261" s="17">
        <f ca="1">SUM(G259:G260)</f>
        <v>0</v>
      </c>
      <c r="H261" s="17">
        <f ca="1">SUM(H259:H260)</f>
        <v>0</v>
      </c>
      <c r="I261" s="17">
        <f ca="1">I260</f>
        <v>0</v>
      </c>
      <c r="J261" s="17">
        <f ca="1">SUM(J259:J260)</f>
        <v>0</v>
      </c>
      <c r="K261" s="16"/>
      <c r="L261" s="16"/>
    </row>
    <row r="262" ht="10.95" customHeight="true" customFormat="true" s="9">
      <c r="A262" s="16" t="s">
        <v>24</v>
      </c>
      <c r="B262" s="16"/>
      <c r="C262" s="16"/>
      <c r="D262" s="16"/>
      <c r="E262" s="16"/>
      <c r="F262" s="16"/>
      <c r="G262" s="17">
        <v>66798.3900</v>
      </c>
      <c r="H262" s="17">
        <v>0</v>
      </c>
      <c r="I262" s="17">
        <v>0</v>
      </c>
      <c r="J262" s="17">
        <v>0</v>
      </c>
      <c r="K262" s="16"/>
      <c r="L262" s="16"/>
    </row>
    <row r="263" ht="10.95" customHeight="true" customFormat="true" s="9">
      <c r="A263" s="10" t="s">
        <v>25</v>
      </c>
      <c r="B263" s="10"/>
      <c r="C263" s="10"/>
      <c r="D263" s="10"/>
      <c r="E263" s="10"/>
      <c r="F263" s="10"/>
      <c r="G263" s="11">
        <v>66798.3900</v>
      </c>
      <c r="H263" s="11">
        <v>0</v>
      </c>
      <c r="I263" s="11">
        <f ca="1">I260</f>
        <v>0</v>
      </c>
      <c r="J263" s="11">
        <v>0</v>
      </c>
      <c r="K263" s="10"/>
      <c r="L263" s="10"/>
    </row>
    <row r="264" ht="13.35" customHeight="true"/>
    <row r="265" ht="12.1" customHeight="true" customFormat="true" s="5">
      <c r="A265" s="8" t="s">
        <v>182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ht="10.95" customHeight="true" customFormat="true" s="9">
      <c r="A266" s="10" t="s">
        <v>16</v>
      </c>
      <c r="B266" s="10"/>
      <c r="C266" s="10"/>
      <c r="D266" s="10"/>
      <c r="E266" s="10"/>
      <c r="F266" s="10"/>
      <c r="G266" s="11">
        <v>0</v>
      </c>
      <c r="H266" s="11">
        <v>0</v>
      </c>
      <c r="I266" s="11">
        <f ca="1">(G266 - H266)</f>
        <v>0</v>
      </c>
      <c r="J266" s="11">
        <v>0</v>
      </c>
      <c r="K266" s="10"/>
      <c r="L266" s="10"/>
    </row>
    <row r="267" ht="10.95" customHeight="true" customFormat="true" s="9">
      <c r="A267" s="12">
        <v>45473</v>
      </c>
      <c r="B267" s="13" t="s">
        <v>183</v>
      </c>
      <c r="C267" s="13" t="s">
        <v>102</v>
      </c>
      <c r="D267" s="13" t="s">
        <v>19</v>
      </c>
      <c r="E267" s="13" t="s">
        <v>184</v>
      </c>
      <c r="F267" s="13" t="s">
        <v>21</v>
      </c>
      <c r="G267" s="14">
        <v>6698.0500</v>
      </c>
      <c r="H267" s="14">
        <v>0</v>
      </c>
      <c r="I267" s="14">
        <f ca="1">((I266 + G267) - H267)</f>
        <v>0</v>
      </c>
      <c r="J267" s="14">
        <v>0</v>
      </c>
      <c r="K267" s="15">
        <v>0</v>
      </c>
      <c r="L267" s="13" t="s">
        <v>22</v>
      </c>
    </row>
    <row r="268" ht="10.95" customHeight="true" customFormat="true" s="9">
      <c r="A268" s="16" t="s">
        <v>185</v>
      </c>
      <c r="B268" s="16"/>
      <c r="C268" s="16"/>
      <c r="D268" s="16"/>
      <c r="E268" s="16"/>
      <c r="F268" s="16"/>
      <c r="G268" s="17">
        <f ca="1">G267</f>
        <v>0</v>
      </c>
      <c r="H268" s="17">
        <f ca="1">H267</f>
        <v>0</v>
      </c>
      <c r="I268" s="17">
        <f ca="1">I267</f>
        <v>0</v>
      </c>
      <c r="J268" s="17">
        <f ca="1">J267</f>
        <v>0</v>
      </c>
      <c r="K268" s="16"/>
      <c r="L268" s="16"/>
    </row>
    <row r="269" ht="10.95" customHeight="true" customFormat="true" s="9">
      <c r="A269" s="16" t="s">
        <v>24</v>
      </c>
      <c r="B269" s="16"/>
      <c r="C269" s="16"/>
      <c r="D269" s="16"/>
      <c r="E269" s="16"/>
      <c r="F269" s="16"/>
      <c r="G269" s="17">
        <v>6698.0500</v>
      </c>
      <c r="H269" s="17">
        <v>0</v>
      </c>
      <c r="I269" s="17">
        <v>0</v>
      </c>
      <c r="J269" s="17">
        <v>0</v>
      </c>
      <c r="K269" s="16"/>
      <c r="L269" s="16"/>
    </row>
    <row r="270" ht="10.95" customHeight="true" customFormat="true" s="9">
      <c r="A270" s="10" t="s">
        <v>25</v>
      </c>
      <c r="B270" s="10"/>
      <c r="C270" s="10"/>
      <c r="D270" s="10"/>
      <c r="E270" s="10"/>
      <c r="F270" s="10"/>
      <c r="G270" s="11">
        <v>6698.0500</v>
      </c>
      <c r="H270" s="11">
        <v>0</v>
      </c>
      <c r="I270" s="11">
        <f ca="1">I267</f>
        <v>0</v>
      </c>
      <c r="J270" s="11">
        <v>0</v>
      </c>
      <c r="K270" s="10"/>
      <c r="L270" s="10"/>
    </row>
    <row r="271" ht="13.35" customHeight="true"/>
    <row r="272" ht="12.1" customHeight="true" customFormat="true" s="5">
      <c r="A272" s="8" t="s">
        <v>186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ht="10.95" customHeight="true" customFormat="true" s="9">
      <c r="A273" s="10" t="s">
        <v>16</v>
      </c>
      <c r="B273" s="10"/>
      <c r="C273" s="10"/>
      <c r="D273" s="10"/>
      <c r="E273" s="10"/>
      <c r="F273" s="10"/>
      <c r="G273" s="11">
        <v>0</v>
      </c>
      <c r="H273" s="11">
        <v>0</v>
      </c>
      <c r="I273" s="11">
        <f ca="1">(G273 - H273)</f>
        <v>0</v>
      </c>
      <c r="J273" s="11">
        <v>0</v>
      </c>
      <c r="K273" s="10"/>
      <c r="L273" s="10"/>
    </row>
    <row r="274" ht="10.95" customHeight="true" customFormat="true" s="9">
      <c r="A274" s="12">
        <v>45473</v>
      </c>
      <c r="B274" s="13" t="s">
        <v>187</v>
      </c>
      <c r="C274" s="13" t="s">
        <v>102</v>
      </c>
      <c r="D274" s="13" t="s">
        <v>19</v>
      </c>
      <c r="E274" s="13" t="s">
        <v>188</v>
      </c>
      <c r="F274" s="13" t="s">
        <v>21</v>
      </c>
      <c r="G274" s="14">
        <v>346.8500</v>
      </c>
      <c r="H274" s="14">
        <v>0</v>
      </c>
      <c r="I274" s="14">
        <f ca="1">((I273 + G274) - H274)</f>
        <v>0</v>
      </c>
      <c r="J274" s="14">
        <v>0</v>
      </c>
      <c r="K274" s="15">
        <v>0</v>
      </c>
      <c r="L274" s="13" t="s">
        <v>22</v>
      </c>
    </row>
    <row r="275" ht="10.95" customHeight="true" customFormat="true" s="9">
      <c r="A275" s="16" t="s">
        <v>189</v>
      </c>
      <c r="B275" s="16"/>
      <c r="C275" s="16"/>
      <c r="D275" s="16"/>
      <c r="E275" s="16"/>
      <c r="F275" s="16"/>
      <c r="G275" s="17">
        <f ca="1">G274</f>
        <v>0</v>
      </c>
      <c r="H275" s="17">
        <f ca="1">H274</f>
        <v>0</v>
      </c>
      <c r="I275" s="17">
        <f ca="1">I274</f>
        <v>0</v>
      </c>
      <c r="J275" s="17">
        <f ca="1">J274</f>
        <v>0</v>
      </c>
      <c r="K275" s="16"/>
      <c r="L275" s="16"/>
    </row>
    <row r="276" ht="10.95" customHeight="true" customFormat="true" s="9">
      <c r="A276" s="16" t="s">
        <v>24</v>
      </c>
      <c r="B276" s="16"/>
      <c r="C276" s="16"/>
      <c r="D276" s="16"/>
      <c r="E276" s="16"/>
      <c r="F276" s="16"/>
      <c r="G276" s="17">
        <v>346.8500</v>
      </c>
      <c r="H276" s="17">
        <v>0</v>
      </c>
      <c r="I276" s="17">
        <v>0</v>
      </c>
      <c r="J276" s="17">
        <v>0</v>
      </c>
      <c r="K276" s="16"/>
      <c r="L276" s="16"/>
    </row>
    <row r="277" ht="10.95" customHeight="true" customFormat="true" s="9">
      <c r="A277" s="10" t="s">
        <v>25</v>
      </c>
      <c r="B277" s="10"/>
      <c r="C277" s="10"/>
      <c r="D277" s="10"/>
      <c r="E277" s="10"/>
      <c r="F277" s="10"/>
      <c r="G277" s="11">
        <v>346.8500</v>
      </c>
      <c r="H277" s="11">
        <v>0</v>
      </c>
      <c r="I277" s="11">
        <f ca="1">I274</f>
        <v>0</v>
      </c>
      <c r="J277" s="11">
        <v>0</v>
      </c>
      <c r="K277" s="10"/>
      <c r="L277" s="10"/>
    </row>
    <row r="278" ht="13.35" customHeight="true"/>
    <row r="279" ht="12.1" customHeight="true" customFormat="true" s="5">
      <c r="A279" s="8" t="s">
        <v>190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ht="10.95" customHeight="true" customFormat="true" s="9">
      <c r="A280" s="10" t="s">
        <v>16</v>
      </c>
      <c r="B280" s="10"/>
      <c r="C280" s="10"/>
      <c r="D280" s="10"/>
      <c r="E280" s="10"/>
      <c r="F280" s="10"/>
      <c r="G280" s="11">
        <v>0</v>
      </c>
      <c r="H280" s="11">
        <v>0</v>
      </c>
      <c r="I280" s="11">
        <f ca="1">(G280 - H280)</f>
        <v>0</v>
      </c>
      <c r="J280" s="11">
        <v>0</v>
      </c>
      <c r="K280" s="10"/>
      <c r="L280" s="10"/>
    </row>
    <row r="281" ht="10.95" customHeight="true" customFormat="true" s="9">
      <c r="A281" s="12">
        <v>45473</v>
      </c>
      <c r="B281" s="13" t="s">
        <v>191</v>
      </c>
      <c r="C281" s="13" t="s">
        <v>102</v>
      </c>
      <c r="D281" s="13" t="s">
        <v>19</v>
      </c>
      <c r="E281" s="13" t="s">
        <v>192</v>
      </c>
      <c r="F281" s="13" t="s">
        <v>21</v>
      </c>
      <c r="G281" s="14">
        <v>1362.9200</v>
      </c>
      <c r="H281" s="14">
        <v>0</v>
      </c>
      <c r="I281" s="14">
        <f ca="1">((I280 + G281) - H281)</f>
        <v>0</v>
      </c>
      <c r="J281" s="14">
        <v>0</v>
      </c>
      <c r="K281" s="15">
        <v>0</v>
      </c>
      <c r="L281" s="13" t="s">
        <v>22</v>
      </c>
    </row>
    <row r="282" ht="10.95" customHeight="true" customFormat="true" s="9">
      <c r="A282" s="16" t="s">
        <v>193</v>
      </c>
      <c r="B282" s="16"/>
      <c r="C282" s="16"/>
      <c r="D282" s="16"/>
      <c r="E282" s="16"/>
      <c r="F282" s="16"/>
      <c r="G282" s="17">
        <f ca="1">G281</f>
        <v>0</v>
      </c>
      <c r="H282" s="17">
        <f ca="1">H281</f>
        <v>0</v>
      </c>
      <c r="I282" s="17">
        <f ca="1">I281</f>
        <v>0</v>
      </c>
      <c r="J282" s="17">
        <f ca="1">J281</f>
        <v>0</v>
      </c>
      <c r="K282" s="16"/>
      <c r="L282" s="16"/>
    </row>
    <row r="283" ht="10.95" customHeight="true" customFormat="true" s="9">
      <c r="A283" s="16" t="s">
        <v>24</v>
      </c>
      <c r="B283" s="16"/>
      <c r="C283" s="16"/>
      <c r="D283" s="16"/>
      <c r="E283" s="16"/>
      <c r="F283" s="16"/>
      <c r="G283" s="17">
        <v>1362.9200</v>
      </c>
      <c r="H283" s="17">
        <v>0</v>
      </c>
      <c r="I283" s="17">
        <v>0</v>
      </c>
      <c r="J283" s="17">
        <v>0</v>
      </c>
      <c r="K283" s="16"/>
      <c r="L283" s="16"/>
    </row>
    <row r="284" ht="10.95" customHeight="true" customFormat="true" s="9">
      <c r="A284" s="10" t="s">
        <v>25</v>
      </c>
      <c r="B284" s="10"/>
      <c r="C284" s="10"/>
      <c r="D284" s="10"/>
      <c r="E284" s="10"/>
      <c r="F284" s="10"/>
      <c r="G284" s="11">
        <v>1362.9200</v>
      </c>
      <c r="H284" s="11">
        <v>0</v>
      </c>
      <c r="I284" s="11">
        <f ca="1">I281</f>
        <v>0</v>
      </c>
      <c r="J284" s="11">
        <v>0</v>
      </c>
      <c r="K284" s="10"/>
      <c r="L284" s="10"/>
    </row>
    <row r="285" ht="13.35" customHeight="true"/>
    <row r="286" ht="12.1" customHeight="true" customFormat="true" s="5">
      <c r="A286" s="8" t="s">
        <v>194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ht="10.95" customHeight="true" customFormat="true" s="9">
      <c r="A287" s="10" t="s">
        <v>16</v>
      </c>
      <c r="B287" s="10"/>
      <c r="C287" s="10"/>
      <c r="D287" s="10"/>
      <c r="E287" s="10"/>
      <c r="F287" s="10"/>
      <c r="G287" s="11">
        <v>0</v>
      </c>
      <c r="H287" s="11">
        <v>0</v>
      </c>
      <c r="I287" s="11">
        <f ca="1">(G287 - H287)</f>
        <v>0</v>
      </c>
      <c r="J287" s="11">
        <v>0</v>
      </c>
      <c r="K287" s="10"/>
      <c r="L287" s="10"/>
    </row>
    <row r="288" ht="10.95" customHeight="true" customFormat="true" s="9">
      <c r="A288" s="12">
        <v>45473</v>
      </c>
      <c r="B288" s="13" t="s">
        <v>195</v>
      </c>
      <c r="C288" s="13" t="s">
        <v>102</v>
      </c>
      <c r="D288" s="13" t="s">
        <v>19</v>
      </c>
      <c r="E288" s="13" t="s">
        <v>196</v>
      </c>
      <c r="F288" s="13" t="s">
        <v>21</v>
      </c>
      <c r="G288" s="14">
        <v>2171.4700</v>
      </c>
      <c r="H288" s="14">
        <v>0</v>
      </c>
      <c r="I288" s="14">
        <f ca="1">((I287 + G288) - H288)</f>
        <v>0</v>
      </c>
      <c r="J288" s="14">
        <v>0</v>
      </c>
      <c r="K288" s="15">
        <v>0</v>
      </c>
      <c r="L288" s="13" t="s">
        <v>22</v>
      </c>
    </row>
    <row r="289" ht="10.95" customHeight="true" customFormat="true" s="9">
      <c r="A289" s="16" t="s">
        <v>197</v>
      </c>
      <c r="B289" s="16"/>
      <c r="C289" s="16"/>
      <c r="D289" s="16"/>
      <c r="E289" s="16"/>
      <c r="F289" s="16"/>
      <c r="G289" s="17">
        <f ca="1">G288</f>
        <v>0</v>
      </c>
      <c r="H289" s="17">
        <f ca="1">H288</f>
        <v>0</v>
      </c>
      <c r="I289" s="17">
        <f ca="1">I288</f>
        <v>0</v>
      </c>
      <c r="J289" s="17">
        <f ca="1">J288</f>
        <v>0</v>
      </c>
      <c r="K289" s="16"/>
      <c r="L289" s="16"/>
    </row>
    <row r="290" ht="10.95" customHeight="true" customFormat="true" s="9">
      <c r="A290" s="16" t="s">
        <v>24</v>
      </c>
      <c r="B290" s="16"/>
      <c r="C290" s="16"/>
      <c r="D290" s="16"/>
      <c r="E290" s="16"/>
      <c r="F290" s="16"/>
      <c r="G290" s="17">
        <v>2171.4700</v>
      </c>
      <c r="H290" s="17">
        <v>0</v>
      </c>
      <c r="I290" s="17">
        <v>0</v>
      </c>
      <c r="J290" s="17">
        <v>0</v>
      </c>
      <c r="K290" s="16"/>
      <c r="L290" s="16"/>
    </row>
    <row r="291" ht="10.95" customHeight="true" customFormat="true" s="9">
      <c r="A291" s="10" t="s">
        <v>25</v>
      </c>
      <c r="B291" s="10"/>
      <c r="C291" s="10"/>
      <c r="D291" s="10"/>
      <c r="E291" s="10"/>
      <c r="F291" s="10"/>
      <c r="G291" s="11">
        <v>2171.4700</v>
      </c>
      <c r="H291" s="11">
        <v>0</v>
      </c>
      <c r="I291" s="11">
        <f ca="1">I288</f>
        <v>0</v>
      </c>
      <c r="J291" s="11">
        <v>0</v>
      </c>
      <c r="K291" s="10"/>
      <c r="L291" s="10"/>
    </row>
    <row r="292" ht="13.35" customHeight="true"/>
    <row r="293" ht="12.1" customHeight="true" customFormat="true" s="5">
      <c r="A293" s="8" t="s">
        <v>198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ht="10.95" customHeight="true" customFormat="true" s="9">
      <c r="A294" s="10" t="s">
        <v>16</v>
      </c>
      <c r="B294" s="10"/>
      <c r="C294" s="10"/>
      <c r="D294" s="10"/>
      <c r="E294" s="10"/>
      <c r="F294" s="10"/>
      <c r="G294" s="11">
        <v>0</v>
      </c>
      <c r="H294" s="11">
        <v>0</v>
      </c>
      <c r="I294" s="11">
        <f ca="1">(G294 - H294)</f>
        <v>0</v>
      </c>
      <c r="J294" s="11">
        <v>0</v>
      </c>
      <c r="K294" s="10"/>
      <c r="L294" s="10"/>
    </row>
    <row r="295" ht="10.95" customHeight="true" customFormat="true" s="9">
      <c r="A295" s="12">
        <v>45473</v>
      </c>
      <c r="B295" s="13" t="s">
        <v>199</v>
      </c>
      <c r="C295" s="13" t="s">
        <v>102</v>
      </c>
      <c r="D295" s="13" t="s">
        <v>19</v>
      </c>
      <c r="E295" s="13" t="s">
        <v>200</v>
      </c>
      <c r="F295" s="13" t="s">
        <v>21</v>
      </c>
      <c r="G295" s="14">
        <v>5577.9500</v>
      </c>
      <c r="H295" s="14">
        <v>0</v>
      </c>
      <c r="I295" s="14">
        <f ca="1">((I294 + G295) - H295)</f>
        <v>0</v>
      </c>
      <c r="J295" s="14">
        <v>0</v>
      </c>
      <c r="K295" s="15">
        <v>0</v>
      </c>
      <c r="L295" s="13" t="s">
        <v>22</v>
      </c>
    </row>
    <row r="296" ht="10.95" customHeight="true" customFormat="true" s="9">
      <c r="A296" s="16" t="s">
        <v>201</v>
      </c>
      <c r="B296" s="16"/>
      <c r="C296" s="16"/>
      <c r="D296" s="16"/>
      <c r="E296" s="16"/>
      <c r="F296" s="16"/>
      <c r="G296" s="17">
        <f ca="1">G295</f>
        <v>0</v>
      </c>
      <c r="H296" s="17">
        <f ca="1">H295</f>
        <v>0</v>
      </c>
      <c r="I296" s="17">
        <f ca="1">I295</f>
        <v>0</v>
      </c>
      <c r="J296" s="17">
        <f ca="1">J295</f>
        <v>0</v>
      </c>
      <c r="K296" s="16"/>
      <c r="L296" s="16"/>
    </row>
    <row r="297" ht="10.95" customHeight="true" customFormat="true" s="9">
      <c r="A297" s="16" t="s">
        <v>24</v>
      </c>
      <c r="B297" s="16"/>
      <c r="C297" s="16"/>
      <c r="D297" s="16"/>
      <c r="E297" s="16"/>
      <c r="F297" s="16"/>
      <c r="G297" s="17">
        <v>5577.9500</v>
      </c>
      <c r="H297" s="17">
        <v>0</v>
      </c>
      <c r="I297" s="17">
        <v>0</v>
      </c>
      <c r="J297" s="17">
        <v>0</v>
      </c>
      <c r="K297" s="16"/>
      <c r="L297" s="16"/>
    </row>
    <row r="298" ht="10.95" customHeight="true" customFormat="true" s="9">
      <c r="A298" s="10" t="s">
        <v>25</v>
      </c>
      <c r="B298" s="10"/>
      <c r="C298" s="10"/>
      <c r="D298" s="10"/>
      <c r="E298" s="10"/>
      <c r="F298" s="10"/>
      <c r="G298" s="11">
        <v>5577.9500</v>
      </c>
      <c r="H298" s="11">
        <v>0</v>
      </c>
      <c r="I298" s="11">
        <f ca="1">I295</f>
        <v>0</v>
      </c>
      <c r="J298" s="11">
        <v>0</v>
      </c>
      <c r="K298" s="10"/>
      <c r="L298" s="10"/>
    </row>
    <row r="299" ht="13.35" customHeight="true"/>
    <row r="300" ht="12.1" customHeight="true" customFormat="true" s="5">
      <c r="A300" s="8" t="s">
        <v>202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ht="10.95" customHeight="true" customFormat="true" s="9">
      <c r="A301" s="10" t="s">
        <v>16</v>
      </c>
      <c r="B301" s="10"/>
      <c r="C301" s="10"/>
      <c r="D301" s="10"/>
      <c r="E301" s="10"/>
      <c r="F301" s="10"/>
      <c r="G301" s="11">
        <v>0</v>
      </c>
      <c r="H301" s="11">
        <v>0</v>
      </c>
      <c r="I301" s="11">
        <f ca="1">(G301 - H301)</f>
        <v>0</v>
      </c>
      <c r="J301" s="11">
        <v>0</v>
      </c>
      <c r="K301" s="10"/>
      <c r="L301" s="10"/>
    </row>
    <row r="302" ht="10.95" customHeight="true" customFormat="true" s="9">
      <c r="A302" s="12">
        <v>45473</v>
      </c>
      <c r="B302" s="13" t="s">
        <v>203</v>
      </c>
      <c r="C302" s="13" t="s">
        <v>102</v>
      </c>
      <c r="D302" s="13" t="s">
        <v>19</v>
      </c>
      <c r="E302" s="13" t="s">
        <v>65</v>
      </c>
      <c r="F302" s="13" t="s">
        <v>64</v>
      </c>
      <c r="G302" s="14">
        <v>54.6800</v>
      </c>
      <c r="H302" s="14">
        <v>0</v>
      </c>
      <c r="I302" s="14">
        <f ca="1">((I301 + G302) - H302)</f>
        <v>0</v>
      </c>
      <c r="J302" s="14">
        <v>0</v>
      </c>
      <c r="K302" s="15">
        <v>0</v>
      </c>
      <c r="L302" s="13" t="s">
        <v>22</v>
      </c>
    </row>
    <row r="303" ht="10.95" customHeight="true" customFormat="true" s="9">
      <c r="A303" s="16" t="s">
        <v>204</v>
      </c>
      <c r="B303" s="16"/>
      <c r="C303" s="16"/>
      <c r="D303" s="16"/>
      <c r="E303" s="16"/>
      <c r="F303" s="16"/>
      <c r="G303" s="17">
        <f ca="1">G302</f>
        <v>0</v>
      </c>
      <c r="H303" s="17">
        <f ca="1">H302</f>
        <v>0</v>
      </c>
      <c r="I303" s="17">
        <f ca="1">I302</f>
        <v>0</v>
      </c>
      <c r="J303" s="17">
        <f ca="1">J302</f>
        <v>0</v>
      </c>
      <c r="K303" s="16"/>
      <c r="L303" s="16"/>
    </row>
    <row r="304" ht="10.95" customHeight="true" customFormat="true" s="9">
      <c r="A304" s="16" t="s">
        <v>24</v>
      </c>
      <c r="B304" s="16"/>
      <c r="C304" s="16"/>
      <c r="D304" s="16"/>
      <c r="E304" s="16"/>
      <c r="F304" s="16"/>
      <c r="G304" s="17">
        <v>54.6800</v>
      </c>
      <c r="H304" s="17">
        <v>0</v>
      </c>
      <c r="I304" s="17">
        <v>0</v>
      </c>
      <c r="J304" s="17">
        <v>0</v>
      </c>
      <c r="K304" s="16"/>
      <c r="L304" s="16"/>
    </row>
    <row r="305" ht="10.95" customHeight="true" customFormat="true" s="9">
      <c r="A305" s="10" t="s">
        <v>25</v>
      </c>
      <c r="B305" s="10"/>
      <c r="C305" s="10"/>
      <c r="D305" s="10"/>
      <c r="E305" s="10"/>
      <c r="F305" s="10"/>
      <c r="G305" s="11">
        <v>54.6800</v>
      </c>
      <c r="H305" s="11">
        <v>0</v>
      </c>
      <c r="I305" s="11">
        <f ca="1">I302</f>
        <v>0</v>
      </c>
      <c r="J305" s="11">
        <v>0</v>
      </c>
      <c r="K305" s="10"/>
      <c r="L305" s="10"/>
    </row>
    <row r="306" ht="13.35" customHeight="true"/>
    <row r="307" ht="12.1" customHeight="true" customFormat="true" s="5">
      <c r="A307" s="8" t="s">
        <v>205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ht="10.95" customHeight="true" customFormat="true" s="9">
      <c r="A308" s="10" t="s">
        <v>16</v>
      </c>
      <c r="B308" s="10"/>
      <c r="C308" s="10"/>
      <c r="D308" s="10"/>
      <c r="E308" s="10"/>
      <c r="F308" s="10"/>
      <c r="G308" s="11">
        <v>0</v>
      </c>
      <c r="H308" s="11">
        <v>0</v>
      </c>
      <c r="I308" s="11">
        <f ca="1">(G308 - H308)</f>
        <v>0</v>
      </c>
      <c r="J308" s="11">
        <v>0</v>
      </c>
      <c r="K308" s="10"/>
      <c r="L308" s="10"/>
    </row>
    <row r="309" ht="10.95" customHeight="true" customFormat="true" s="9">
      <c r="A309" s="12">
        <v>45473</v>
      </c>
      <c r="B309" s="13" t="s">
        <v>206</v>
      </c>
      <c r="C309" s="13" t="s">
        <v>102</v>
      </c>
      <c r="D309" s="13" t="s">
        <v>19</v>
      </c>
      <c r="E309" s="13" t="s">
        <v>207</v>
      </c>
      <c r="F309" s="13" t="s">
        <v>21</v>
      </c>
      <c r="G309" s="14">
        <v>87504.7100</v>
      </c>
      <c r="H309" s="14">
        <v>0</v>
      </c>
      <c r="I309" s="14">
        <f ca="1">((I308 + G309) - H309)</f>
        <v>0</v>
      </c>
      <c r="J309" s="14">
        <v>0</v>
      </c>
      <c r="K309" s="15">
        <v>0</v>
      </c>
      <c r="L309" s="13" t="s">
        <v>22</v>
      </c>
    </row>
    <row r="310" ht="10.95" customHeight="true" customFormat="true" s="9">
      <c r="A310" s="18">
        <v>45473</v>
      </c>
      <c r="B310" s="19" t="s">
        <v>206</v>
      </c>
      <c r="C310" s="19" t="s">
        <v>102</v>
      </c>
      <c r="D310" s="19" t="s">
        <v>19</v>
      </c>
      <c r="E310" s="19" t="s">
        <v>208</v>
      </c>
      <c r="F310" s="19" t="s">
        <v>21</v>
      </c>
      <c r="G310" s="20">
        <v>0</v>
      </c>
      <c r="H310" s="20">
        <v>10.6900</v>
      </c>
      <c r="I310" s="20">
        <f ca="1">((I309 + G310) - H310)</f>
        <v>0</v>
      </c>
      <c r="J310" s="20">
        <v>0</v>
      </c>
      <c r="K310" s="21">
        <v>0</v>
      </c>
      <c r="L310" s="19" t="s">
        <v>22</v>
      </c>
    </row>
    <row r="311" ht="10.95" customHeight="true" customFormat="true" s="9">
      <c r="A311" s="16" t="s">
        <v>209</v>
      </c>
      <c r="B311" s="16"/>
      <c r="C311" s="16"/>
      <c r="D311" s="16"/>
      <c r="E311" s="16"/>
      <c r="F311" s="16"/>
      <c r="G311" s="17">
        <f ca="1">SUM(G309:G310)</f>
        <v>0</v>
      </c>
      <c r="H311" s="17">
        <f ca="1">SUM(H309:H310)</f>
        <v>0</v>
      </c>
      <c r="I311" s="17">
        <f ca="1">I310</f>
        <v>0</v>
      </c>
      <c r="J311" s="17">
        <f ca="1">SUM(J309:J310)</f>
        <v>0</v>
      </c>
      <c r="K311" s="16"/>
      <c r="L311" s="16"/>
    </row>
    <row r="312" ht="10.95" customHeight="true" customFormat="true" s="9">
      <c r="A312" s="16" t="s">
        <v>24</v>
      </c>
      <c r="B312" s="16"/>
      <c r="C312" s="16"/>
      <c r="D312" s="16"/>
      <c r="E312" s="16"/>
      <c r="F312" s="16"/>
      <c r="G312" s="17">
        <v>87494.0200</v>
      </c>
      <c r="H312" s="17">
        <v>0</v>
      </c>
      <c r="I312" s="17">
        <v>0</v>
      </c>
      <c r="J312" s="17">
        <v>0</v>
      </c>
      <c r="K312" s="16"/>
      <c r="L312" s="16"/>
    </row>
    <row r="313" ht="10.95" customHeight="true" customFormat="true" s="9">
      <c r="A313" s="10" t="s">
        <v>25</v>
      </c>
      <c r="B313" s="10"/>
      <c r="C313" s="10"/>
      <c r="D313" s="10"/>
      <c r="E313" s="10"/>
      <c r="F313" s="10"/>
      <c r="G313" s="11">
        <v>87494.0200</v>
      </c>
      <c r="H313" s="11">
        <v>0</v>
      </c>
      <c r="I313" s="11">
        <f ca="1">I310</f>
        <v>0</v>
      </c>
      <c r="J313" s="11">
        <v>0</v>
      </c>
      <c r="K313" s="10"/>
      <c r="L313" s="10"/>
    </row>
    <row r="314" ht="13.35" customHeight="true"/>
    <row r="315" ht="12.1" customHeight="true" customFormat="true" s="5">
      <c r="A315" s="8" t="s">
        <v>210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ht="10.95" customHeight="true" customFormat="true" s="9">
      <c r="A316" s="10" t="s">
        <v>16</v>
      </c>
      <c r="B316" s="10"/>
      <c r="C316" s="10"/>
      <c r="D316" s="10"/>
      <c r="E316" s="10"/>
      <c r="F316" s="10"/>
      <c r="G316" s="11">
        <v>0</v>
      </c>
      <c r="H316" s="11">
        <v>0</v>
      </c>
      <c r="I316" s="11">
        <f ca="1">(G316 - H316)</f>
        <v>0</v>
      </c>
      <c r="J316" s="11">
        <v>0</v>
      </c>
      <c r="K316" s="10"/>
      <c r="L316" s="10"/>
    </row>
    <row r="317" ht="10.95" customHeight="true" customFormat="true" s="9">
      <c r="A317" s="12">
        <v>45473</v>
      </c>
      <c r="B317" s="13" t="s">
        <v>211</v>
      </c>
      <c r="C317" s="13" t="s">
        <v>102</v>
      </c>
      <c r="D317" s="13" t="s">
        <v>19</v>
      </c>
      <c r="E317" s="13" t="s">
        <v>47</v>
      </c>
      <c r="F317" s="13" t="s">
        <v>48</v>
      </c>
      <c r="G317" s="14">
        <v>1800.0000</v>
      </c>
      <c r="H317" s="14">
        <v>0</v>
      </c>
      <c r="I317" s="14">
        <f ca="1">((I316 + G317) - H317)</f>
        <v>0</v>
      </c>
      <c r="J317" s="14">
        <v>0</v>
      </c>
      <c r="K317" s="15">
        <v>0</v>
      </c>
      <c r="L317" s="13" t="s">
        <v>22</v>
      </c>
    </row>
    <row r="318" ht="10.95" customHeight="true" customFormat="true" s="9">
      <c r="A318" s="16" t="s">
        <v>212</v>
      </c>
      <c r="B318" s="16"/>
      <c r="C318" s="16"/>
      <c r="D318" s="16"/>
      <c r="E318" s="16"/>
      <c r="F318" s="16"/>
      <c r="G318" s="17">
        <f ca="1">G317</f>
        <v>0</v>
      </c>
      <c r="H318" s="17">
        <f ca="1">H317</f>
        <v>0</v>
      </c>
      <c r="I318" s="17">
        <f ca="1">I317</f>
        <v>0</v>
      </c>
      <c r="J318" s="17">
        <f ca="1">J317</f>
        <v>0</v>
      </c>
      <c r="K318" s="16"/>
      <c r="L318" s="16"/>
    </row>
    <row r="319" ht="10.95" customHeight="true" customFormat="true" s="9">
      <c r="A319" s="16" t="s">
        <v>24</v>
      </c>
      <c r="B319" s="16"/>
      <c r="C319" s="16"/>
      <c r="D319" s="16"/>
      <c r="E319" s="16"/>
      <c r="F319" s="16"/>
      <c r="G319" s="17">
        <v>1800.0000</v>
      </c>
      <c r="H319" s="17">
        <v>0</v>
      </c>
      <c r="I319" s="17">
        <v>0</v>
      </c>
      <c r="J319" s="17">
        <v>0</v>
      </c>
      <c r="K319" s="16"/>
      <c r="L319" s="16"/>
    </row>
    <row r="320" ht="10.95" customHeight="true" customFormat="true" s="9">
      <c r="A320" s="10" t="s">
        <v>25</v>
      </c>
      <c r="B320" s="10"/>
      <c r="C320" s="10"/>
      <c r="D320" s="10"/>
      <c r="E320" s="10"/>
      <c r="F320" s="10"/>
      <c r="G320" s="11">
        <v>1800.0000</v>
      </c>
      <c r="H320" s="11">
        <v>0</v>
      </c>
      <c r="I320" s="11">
        <f ca="1">I317</f>
        <v>0</v>
      </c>
      <c r="J320" s="11">
        <v>0</v>
      </c>
      <c r="K320" s="10"/>
      <c r="L320" s="10"/>
    </row>
    <row r="321" ht="13.35" customHeight="true"/>
    <row r="322" ht="12.1" customHeight="true" customFormat="true" s="5">
      <c r="A322" s="8" t="s">
        <v>213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ht="10.95" customHeight="true" customFormat="true" s="9">
      <c r="A323" s="10" t="s">
        <v>16</v>
      </c>
      <c r="B323" s="10"/>
      <c r="C323" s="10"/>
      <c r="D323" s="10"/>
      <c r="E323" s="10"/>
      <c r="F323" s="10"/>
      <c r="G323" s="11">
        <v>0</v>
      </c>
      <c r="H323" s="11">
        <v>0</v>
      </c>
      <c r="I323" s="11">
        <f ca="1">(G323 - H323)</f>
        <v>0</v>
      </c>
      <c r="J323" s="11">
        <v>0</v>
      </c>
      <c r="K323" s="10"/>
      <c r="L323" s="10"/>
    </row>
    <row r="324" ht="10.95" customHeight="true" customFormat="true" s="9">
      <c r="A324" s="12">
        <v>45473</v>
      </c>
      <c r="B324" s="13" t="s">
        <v>214</v>
      </c>
      <c r="C324" s="13" t="s">
        <v>102</v>
      </c>
      <c r="D324" s="13" t="s">
        <v>19</v>
      </c>
      <c r="E324" s="13" t="s">
        <v>215</v>
      </c>
      <c r="F324" s="13" t="s">
        <v>216</v>
      </c>
      <c r="G324" s="14">
        <v>7486.6200</v>
      </c>
      <c r="H324" s="14">
        <v>0</v>
      </c>
      <c r="I324" s="14">
        <f ca="1">((I323 + G324) - H324)</f>
        <v>0</v>
      </c>
      <c r="J324" s="14">
        <v>0</v>
      </c>
      <c r="K324" s="15">
        <v>0</v>
      </c>
      <c r="L324" s="13" t="s">
        <v>22</v>
      </c>
    </row>
    <row r="325" ht="10.95" customHeight="true" customFormat="true" s="9">
      <c r="A325" s="18">
        <v>45473</v>
      </c>
      <c r="B325" s="19" t="s">
        <v>214</v>
      </c>
      <c r="C325" s="19" t="s">
        <v>102</v>
      </c>
      <c r="D325" s="19" t="s">
        <v>19</v>
      </c>
      <c r="E325" s="19" t="s">
        <v>217</v>
      </c>
      <c r="F325" s="19" t="s">
        <v>59</v>
      </c>
      <c r="G325" s="20">
        <v>80252.0000</v>
      </c>
      <c r="H325" s="20">
        <v>0</v>
      </c>
      <c r="I325" s="20">
        <f ca="1">((I324 + G325) - H325)</f>
        <v>0</v>
      </c>
      <c r="J325" s="20">
        <v>0</v>
      </c>
      <c r="K325" s="21">
        <v>0</v>
      </c>
      <c r="L325" s="19" t="s">
        <v>22</v>
      </c>
    </row>
    <row r="326" ht="10.95" customHeight="true" customFormat="true" s="9">
      <c r="A326" s="18">
        <v>45473</v>
      </c>
      <c r="B326" s="19" t="s">
        <v>214</v>
      </c>
      <c r="C326" s="19" t="s">
        <v>102</v>
      </c>
      <c r="D326" s="19" t="s">
        <v>19</v>
      </c>
      <c r="E326" s="19" t="s">
        <v>218</v>
      </c>
      <c r="F326" s="19" t="s">
        <v>59</v>
      </c>
      <c r="G326" s="20">
        <v>8927.0000</v>
      </c>
      <c r="H326" s="20">
        <v>0</v>
      </c>
      <c r="I326" s="20">
        <f ca="1">((I325 + G326) - H326)</f>
        <v>0</v>
      </c>
      <c r="J326" s="20">
        <v>0</v>
      </c>
      <c r="K326" s="21">
        <v>0</v>
      </c>
      <c r="L326" s="19" t="s">
        <v>22</v>
      </c>
    </row>
    <row r="327" ht="10.95" customHeight="true" customFormat="true" s="9">
      <c r="A327" s="18">
        <v>45473</v>
      </c>
      <c r="B327" s="19" t="s">
        <v>214</v>
      </c>
      <c r="C327" s="19" t="s">
        <v>102</v>
      </c>
      <c r="D327" s="19" t="s">
        <v>19</v>
      </c>
      <c r="E327" s="19" t="s">
        <v>219</v>
      </c>
      <c r="F327" s="19" t="s">
        <v>59</v>
      </c>
      <c r="G327" s="20">
        <v>608.0000</v>
      </c>
      <c r="H327" s="20">
        <v>0</v>
      </c>
      <c r="I327" s="20">
        <f ca="1">((I326 + G327) - H327)</f>
        <v>0</v>
      </c>
      <c r="J327" s="20">
        <v>0</v>
      </c>
      <c r="K327" s="21">
        <v>0</v>
      </c>
      <c r="L327" s="19" t="s">
        <v>22</v>
      </c>
    </row>
    <row r="328" ht="10.95" customHeight="true" customFormat="true" s="9">
      <c r="A328" s="16" t="s">
        <v>220</v>
      </c>
      <c r="B328" s="16"/>
      <c r="C328" s="16"/>
      <c r="D328" s="16"/>
      <c r="E328" s="16"/>
      <c r="F328" s="16"/>
      <c r="G328" s="17">
        <f ca="1">SUM(G324:G327)</f>
        <v>0</v>
      </c>
      <c r="H328" s="17">
        <f ca="1">SUM(H324:H327)</f>
        <v>0</v>
      </c>
      <c r="I328" s="17">
        <f ca="1">I327</f>
        <v>0</v>
      </c>
      <c r="J328" s="17">
        <f ca="1">SUM(J324:J327)</f>
        <v>0</v>
      </c>
      <c r="K328" s="16"/>
      <c r="L328" s="16"/>
    </row>
    <row r="329" ht="10.95" customHeight="true" customFormat="true" s="9">
      <c r="A329" s="16" t="s">
        <v>24</v>
      </c>
      <c r="B329" s="16"/>
      <c r="C329" s="16"/>
      <c r="D329" s="16"/>
      <c r="E329" s="16"/>
      <c r="F329" s="16"/>
      <c r="G329" s="17">
        <v>97273.6200</v>
      </c>
      <c r="H329" s="17">
        <v>0</v>
      </c>
      <c r="I329" s="17">
        <v>0</v>
      </c>
      <c r="J329" s="17">
        <v>0</v>
      </c>
      <c r="K329" s="16"/>
      <c r="L329" s="16"/>
    </row>
    <row r="330" ht="10.95" customHeight="true" customFormat="true" s="9">
      <c r="A330" s="10" t="s">
        <v>25</v>
      </c>
      <c r="B330" s="10"/>
      <c r="C330" s="10"/>
      <c r="D330" s="10"/>
      <c r="E330" s="10"/>
      <c r="F330" s="10"/>
      <c r="G330" s="11">
        <v>97273.6200</v>
      </c>
      <c r="H330" s="11">
        <v>0</v>
      </c>
      <c r="I330" s="11">
        <f ca="1">I327</f>
        <v>0</v>
      </c>
      <c r="J330" s="11">
        <v>0</v>
      </c>
      <c r="K330" s="10"/>
      <c r="L330" s="10"/>
    </row>
    <row r="331" ht="13.35" customHeight="true"/>
    <row r="332" ht="12.1" customHeight="true" customFormat="true" s="5">
      <c r="A332" s="8" t="s">
        <v>221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ht="10.95" customHeight="true" customFormat="true" s="9">
      <c r="A333" s="10" t="s">
        <v>16</v>
      </c>
      <c r="B333" s="10"/>
      <c r="C333" s="10"/>
      <c r="D333" s="10"/>
      <c r="E333" s="10"/>
      <c r="F333" s="10"/>
      <c r="G333" s="11">
        <v>0</v>
      </c>
      <c r="H333" s="11">
        <v>0</v>
      </c>
      <c r="I333" s="11">
        <f ca="1">(G333 - H333)</f>
        <v>0</v>
      </c>
      <c r="J333" s="11">
        <v>0</v>
      </c>
      <c r="K333" s="10"/>
      <c r="L333" s="10"/>
    </row>
    <row r="334" ht="10.95" customHeight="true" customFormat="true" s="9">
      <c r="A334" s="12">
        <v>45473</v>
      </c>
      <c r="B334" s="13" t="s">
        <v>222</v>
      </c>
      <c r="C334" s="13" t="s">
        <v>102</v>
      </c>
      <c r="D334" s="13" t="s">
        <v>19</v>
      </c>
      <c r="E334" s="13" t="s">
        <v>223</v>
      </c>
      <c r="F334" s="13" t="s">
        <v>21</v>
      </c>
      <c r="G334" s="14">
        <v>5187.2500</v>
      </c>
      <c r="H334" s="14">
        <v>0</v>
      </c>
      <c r="I334" s="14">
        <f ca="1">((I333 + G334) - H334)</f>
        <v>0</v>
      </c>
      <c r="J334" s="14">
        <v>0</v>
      </c>
      <c r="K334" s="15">
        <v>0</v>
      </c>
      <c r="L334" s="13" t="s">
        <v>22</v>
      </c>
    </row>
    <row r="335" ht="10.95" customHeight="true" customFormat="true" s="9">
      <c r="A335" s="18">
        <v>45473</v>
      </c>
      <c r="B335" s="19" t="s">
        <v>222</v>
      </c>
      <c r="C335" s="19" t="s">
        <v>102</v>
      </c>
      <c r="D335" s="19" t="s">
        <v>19</v>
      </c>
      <c r="E335" s="19" t="s">
        <v>224</v>
      </c>
      <c r="F335" s="19" t="s">
        <v>21</v>
      </c>
      <c r="G335" s="20">
        <v>0</v>
      </c>
      <c r="H335" s="20">
        <v>1662.2200</v>
      </c>
      <c r="I335" s="20">
        <f ca="1">((I334 + G335) - H335)</f>
        <v>0</v>
      </c>
      <c r="J335" s="20">
        <v>0</v>
      </c>
      <c r="K335" s="21">
        <v>0</v>
      </c>
      <c r="L335" s="19" t="s">
        <v>22</v>
      </c>
    </row>
    <row r="336" ht="10.95" customHeight="true" customFormat="true" s="9">
      <c r="A336" s="18">
        <v>45473</v>
      </c>
      <c r="B336" s="19" t="s">
        <v>222</v>
      </c>
      <c r="C336" s="19" t="s">
        <v>102</v>
      </c>
      <c r="D336" s="19" t="s">
        <v>19</v>
      </c>
      <c r="E336" s="19" t="s">
        <v>225</v>
      </c>
      <c r="F336" s="19" t="s">
        <v>21</v>
      </c>
      <c r="G336" s="20">
        <v>6677.1500</v>
      </c>
      <c r="H336" s="20">
        <v>0</v>
      </c>
      <c r="I336" s="20">
        <f ca="1">((I335 + G336) - H336)</f>
        <v>0</v>
      </c>
      <c r="J336" s="20">
        <v>0</v>
      </c>
      <c r="K336" s="21">
        <v>0</v>
      </c>
      <c r="L336" s="19" t="s">
        <v>22</v>
      </c>
    </row>
    <row r="337" ht="10.95" customHeight="true" customFormat="true" s="9">
      <c r="A337" s="18">
        <v>45473</v>
      </c>
      <c r="B337" s="19" t="s">
        <v>222</v>
      </c>
      <c r="C337" s="19" t="s">
        <v>102</v>
      </c>
      <c r="D337" s="19" t="s">
        <v>19</v>
      </c>
      <c r="E337" s="19" t="s">
        <v>53</v>
      </c>
      <c r="F337" s="19" t="s">
        <v>54</v>
      </c>
      <c r="G337" s="20">
        <v>0</v>
      </c>
      <c r="H337" s="20">
        <v>450.0000</v>
      </c>
      <c r="I337" s="20">
        <f ca="1">((I336 + G337) - H337)</f>
        <v>0</v>
      </c>
      <c r="J337" s="20">
        <v>0</v>
      </c>
      <c r="K337" s="21">
        <v>0</v>
      </c>
      <c r="L337" s="19" t="s">
        <v>22</v>
      </c>
    </row>
    <row r="338" ht="10.95" customHeight="true" customFormat="true" s="9">
      <c r="A338" s="16" t="s">
        <v>226</v>
      </c>
      <c r="B338" s="16"/>
      <c r="C338" s="16"/>
      <c r="D338" s="16"/>
      <c r="E338" s="16"/>
      <c r="F338" s="16"/>
      <c r="G338" s="17">
        <f ca="1">SUM(G334:G337)</f>
        <v>0</v>
      </c>
      <c r="H338" s="17">
        <f ca="1">SUM(H334:H337)</f>
        <v>0</v>
      </c>
      <c r="I338" s="17">
        <f ca="1">I337</f>
        <v>0</v>
      </c>
      <c r="J338" s="17">
        <f ca="1">SUM(J334:J337)</f>
        <v>0</v>
      </c>
      <c r="K338" s="16"/>
      <c r="L338" s="16"/>
    </row>
    <row r="339" ht="10.95" customHeight="true" customFormat="true" s="9">
      <c r="A339" s="16" t="s">
        <v>24</v>
      </c>
      <c r="B339" s="16"/>
      <c r="C339" s="16"/>
      <c r="D339" s="16"/>
      <c r="E339" s="16"/>
      <c r="F339" s="16"/>
      <c r="G339" s="17">
        <v>9752.1800</v>
      </c>
      <c r="H339" s="17">
        <v>0</v>
      </c>
      <c r="I339" s="17">
        <v>0</v>
      </c>
      <c r="J339" s="17">
        <v>0</v>
      </c>
      <c r="K339" s="16"/>
      <c r="L339" s="16"/>
    </row>
    <row r="340" ht="10.95" customHeight="true" customFormat="true" s="9">
      <c r="A340" s="10" t="s">
        <v>25</v>
      </c>
      <c r="B340" s="10"/>
      <c r="C340" s="10"/>
      <c r="D340" s="10"/>
      <c r="E340" s="10"/>
      <c r="F340" s="10"/>
      <c r="G340" s="11">
        <v>9752.1800</v>
      </c>
      <c r="H340" s="11">
        <v>0</v>
      </c>
      <c r="I340" s="11">
        <f ca="1">I337</f>
        <v>0</v>
      </c>
      <c r="J340" s="11">
        <v>0</v>
      </c>
      <c r="K340" s="10"/>
      <c r="L340" s="10"/>
    </row>
    <row r="341" ht="13.35" customHeight="true"/>
    <row r="342" ht="12.1" customHeight="true" customFormat="true" s="5">
      <c r="A342" s="8" t="s">
        <v>227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ht="10.95" customHeight="true" customFormat="true" s="9">
      <c r="A343" s="10" t="s">
        <v>16</v>
      </c>
      <c r="B343" s="10"/>
      <c r="C343" s="10"/>
      <c r="D343" s="10"/>
      <c r="E343" s="10"/>
      <c r="F343" s="10"/>
      <c r="G343" s="11">
        <v>0</v>
      </c>
      <c r="H343" s="11">
        <v>0</v>
      </c>
      <c r="I343" s="11">
        <f ca="1">(G343 - H343)</f>
        <v>0</v>
      </c>
      <c r="J343" s="11">
        <v>0</v>
      </c>
      <c r="K343" s="10"/>
      <c r="L343" s="10"/>
    </row>
    <row r="344" ht="10.95" customHeight="true" customFormat="true" s="9">
      <c r="A344" s="12">
        <v>45473</v>
      </c>
      <c r="B344" s="13" t="s">
        <v>228</v>
      </c>
      <c r="C344" s="13" t="s">
        <v>102</v>
      </c>
      <c r="D344" s="13" t="s">
        <v>19</v>
      </c>
      <c r="E344" s="13" t="s">
        <v>229</v>
      </c>
      <c r="F344" s="13" t="s">
        <v>21</v>
      </c>
      <c r="G344" s="14">
        <v>16187.9900</v>
      </c>
      <c r="H344" s="14">
        <v>0</v>
      </c>
      <c r="I344" s="14">
        <f ca="1">((I343 + G344) - H344)</f>
        <v>0</v>
      </c>
      <c r="J344" s="14">
        <v>0</v>
      </c>
      <c r="K344" s="15">
        <v>0</v>
      </c>
      <c r="L344" s="13" t="s">
        <v>22</v>
      </c>
    </row>
    <row r="345" ht="10.95" customHeight="true" customFormat="true" s="9">
      <c r="A345" s="18">
        <v>45473</v>
      </c>
      <c r="B345" s="19" t="s">
        <v>228</v>
      </c>
      <c r="C345" s="19" t="s">
        <v>102</v>
      </c>
      <c r="D345" s="19" t="s">
        <v>19</v>
      </c>
      <c r="E345" s="19" t="s">
        <v>230</v>
      </c>
      <c r="F345" s="19" t="s">
        <v>21</v>
      </c>
      <c r="G345" s="20">
        <v>1641.3200</v>
      </c>
      <c r="H345" s="20">
        <v>0</v>
      </c>
      <c r="I345" s="20">
        <f ca="1">((I344 + G345) - H345)</f>
        <v>0</v>
      </c>
      <c r="J345" s="20">
        <v>0</v>
      </c>
      <c r="K345" s="21">
        <v>0</v>
      </c>
      <c r="L345" s="19" t="s">
        <v>22</v>
      </c>
    </row>
    <row r="346" ht="10.95" customHeight="true" customFormat="true" s="9">
      <c r="A346" s="16" t="s">
        <v>231</v>
      </c>
      <c r="B346" s="16"/>
      <c r="C346" s="16"/>
      <c r="D346" s="16"/>
      <c r="E346" s="16"/>
      <c r="F346" s="16"/>
      <c r="G346" s="17">
        <f ca="1">SUM(G344:G345)</f>
        <v>0</v>
      </c>
      <c r="H346" s="17">
        <f ca="1">SUM(H344:H345)</f>
        <v>0</v>
      </c>
      <c r="I346" s="17">
        <f ca="1">I345</f>
        <v>0</v>
      </c>
      <c r="J346" s="17">
        <f ca="1">SUM(J344:J345)</f>
        <v>0</v>
      </c>
      <c r="K346" s="16"/>
      <c r="L346" s="16"/>
    </row>
    <row r="347" ht="10.95" customHeight="true" customFormat="true" s="9">
      <c r="A347" s="16" t="s">
        <v>24</v>
      </c>
      <c r="B347" s="16"/>
      <c r="C347" s="16"/>
      <c r="D347" s="16"/>
      <c r="E347" s="16"/>
      <c r="F347" s="16"/>
      <c r="G347" s="17">
        <v>17829.3100</v>
      </c>
      <c r="H347" s="17">
        <v>0</v>
      </c>
      <c r="I347" s="17">
        <v>0</v>
      </c>
      <c r="J347" s="17">
        <v>0</v>
      </c>
      <c r="K347" s="16"/>
      <c r="L347" s="16"/>
    </row>
    <row r="348" ht="10.95" customHeight="true" customFormat="true" s="9">
      <c r="A348" s="10" t="s">
        <v>25</v>
      </c>
      <c r="B348" s="10"/>
      <c r="C348" s="10"/>
      <c r="D348" s="10"/>
      <c r="E348" s="10"/>
      <c r="F348" s="10"/>
      <c r="G348" s="11">
        <v>17829.3100</v>
      </c>
      <c r="H348" s="11">
        <v>0</v>
      </c>
      <c r="I348" s="11">
        <f ca="1">I345</f>
        <v>0</v>
      </c>
      <c r="J348" s="11">
        <v>0</v>
      </c>
      <c r="K348" s="10"/>
      <c r="L348" s="10"/>
    </row>
    <row r="349" ht="13.35" customHeight="true"/>
    <row r="350" ht="12.1" customHeight="true" customFormat="true" s="5">
      <c r="A350" s="8" t="s">
        <v>232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ht="10.95" customHeight="true" customFormat="true" s="9">
      <c r="A351" s="10" t="s">
        <v>16</v>
      </c>
      <c r="B351" s="10"/>
      <c r="C351" s="10"/>
      <c r="D351" s="10"/>
      <c r="E351" s="10"/>
      <c r="F351" s="10"/>
      <c r="G351" s="11">
        <v>0</v>
      </c>
      <c r="H351" s="11">
        <v>0</v>
      </c>
      <c r="I351" s="11">
        <f ca="1">(G351 - H351)</f>
        <v>0</v>
      </c>
      <c r="J351" s="11">
        <v>0</v>
      </c>
      <c r="K351" s="10"/>
      <c r="L351" s="10"/>
    </row>
    <row r="352" ht="10.95" customHeight="true" customFormat="true" s="9">
      <c r="A352" s="12">
        <v>45473</v>
      </c>
      <c r="B352" s="13" t="s">
        <v>233</v>
      </c>
      <c r="C352" s="13" t="s">
        <v>75</v>
      </c>
      <c r="D352" s="13" t="s">
        <v>19</v>
      </c>
      <c r="E352" s="13" t="s">
        <v>234</v>
      </c>
      <c r="F352" s="13" t="s">
        <v>21</v>
      </c>
      <c r="G352" s="14">
        <v>0</v>
      </c>
      <c r="H352" s="14">
        <v>5124.3600</v>
      </c>
      <c r="I352" s="14">
        <f ca="1">((I351 + G352) - H352)</f>
        <v>0</v>
      </c>
      <c r="J352" s="14">
        <v>0</v>
      </c>
      <c r="K352" s="15">
        <v>0</v>
      </c>
      <c r="L352" s="13" t="s">
        <v>22</v>
      </c>
    </row>
    <row r="353" ht="10.95" customHeight="true" customFormat="true" s="9">
      <c r="A353" s="16" t="s">
        <v>235</v>
      </c>
      <c r="B353" s="16"/>
      <c r="C353" s="16"/>
      <c r="D353" s="16"/>
      <c r="E353" s="16"/>
      <c r="F353" s="16"/>
      <c r="G353" s="17">
        <f ca="1">G352</f>
        <v>0</v>
      </c>
      <c r="H353" s="17">
        <f ca="1">H352</f>
        <v>0</v>
      </c>
      <c r="I353" s="17">
        <f ca="1">I352</f>
        <v>0</v>
      </c>
      <c r="J353" s="17">
        <f ca="1">J352</f>
        <v>0</v>
      </c>
      <c r="K353" s="16"/>
      <c r="L353" s="16"/>
    </row>
    <row r="354" ht="10.95" customHeight="true" customFormat="true" s="9">
      <c r="A354" s="16" t="s">
        <v>24</v>
      </c>
      <c r="B354" s="16"/>
      <c r="C354" s="16"/>
      <c r="D354" s="16"/>
      <c r="E354" s="16"/>
      <c r="F354" s="16"/>
      <c r="G354" s="17">
        <v>0</v>
      </c>
      <c r="H354" s="17">
        <v>5124.3600</v>
      </c>
      <c r="I354" s="17">
        <v>0</v>
      </c>
      <c r="J354" s="17">
        <v>0</v>
      </c>
      <c r="K354" s="16"/>
      <c r="L354" s="16"/>
    </row>
    <row r="355" ht="10.95" customHeight="true" customFormat="true" s="9">
      <c r="A355" s="10" t="s">
        <v>25</v>
      </c>
      <c r="B355" s="10"/>
      <c r="C355" s="10"/>
      <c r="D355" s="10"/>
      <c r="E355" s="10"/>
      <c r="F355" s="10"/>
      <c r="G355" s="11">
        <v>0</v>
      </c>
      <c r="H355" s="11">
        <v>5124.3600</v>
      </c>
      <c r="I355" s="11">
        <f ca="1">I352</f>
        <v>0</v>
      </c>
      <c r="J355" s="11">
        <v>0</v>
      </c>
      <c r="K355" s="10"/>
      <c r="L355" s="10"/>
    </row>
    <row r="356" ht="13.35" customHeight="true"/>
    <row r="357" ht="12.1" customHeight="true" customFormat="true" s="5">
      <c r="A357" s="8" t="s">
        <v>236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ht="10.95" customHeight="true" customFormat="true" s="9">
      <c r="A358" s="10" t="s">
        <v>16</v>
      </c>
      <c r="B358" s="10"/>
      <c r="C358" s="10"/>
      <c r="D358" s="10"/>
      <c r="E358" s="10"/>
      <c r="F358" s="10"/>
      <c r="G358" s="11">
        <v>0</v>
      </c>
      <c r="H358" s="11">
        <v>0</v>
      </c>
      <c r="I358" s="11">
        <f ca="1">(G358 - H358)</f>
        <v>0</v>
      </c>
      <c r="J358" s="11">
        <v>0</v>
      </c>
      <c r="K358" s="10"/>
      <c r="L358" s="10"/>
    </row>
    <row r="359" ht="10.95" customHeight="true" customFormat="true" s="9">
      <c r="A359" s="12">
        <v>45473</v>
      </c>
      <c r="B359" s="13" t="s">
        <v>237</v>
      </c>
      <c r="C359" s="13" t="s">
        <v>102</v>
      </c>
      <c r="D359" s="13" t="s">
        <v>19</v>
      </c>
      <c r="E359" s="13" t="s">
        <v>238</v>
      </c>
      <c r="F359" s="13" t="s">
        <v>21</v>
      </c>
      <c r="G359" s="14">
        <v>6272.6100</v>
      </c>
      <c r="H359" s="14">
        <v>0</v>
      </c>
      <c r="I359" s="14">
        <f ca="1">((I358 + G359) - H359)</f>
        <v>0</v>
      </c>
      <c r="J359" s="14">
        <v>0</v>
      </c>
      <c r="K359" s="15">
        <v>0</v>
      </c>
      <c r="L359" s="13" t="s">
        <v>22</v>
      </c>
    </row>
    <row r="360" ht="10.95" customHeight="true" customFormat="true" s="9">
      <c r="A360" s="16" t="s">
        <v>239</v>
      </c>
      <c r="B360" s="16"/>
      <c r="C360" s="16"/>
      <c r="D360" s="16"/>
      <c r="E360" s="16"/>
      <c r="F360" s="16"/>
      <c r="G360" s="17">
        <f ca="1">G359</f>
        <v>0</v>
      </c>
      <c r="H360" s="17">
        <f ca="1">H359</f>
        <v>0</v>
      </c>
      <c r="I360" s="17">
        <f ca="1">I359</f>
        <v>0</v>
      </c>
      <c r="J360" s="17">
        <f ca="1">J359</f>
        <v>0</v>
      </c>
      <c r="K360" s="16"/>
      <c r="L360" s="16"/>
    </row>
    <row r="361" ht="10.95" customHeight="true" customFormat="true" s="9">
      <c r="A361" s="16" t="s">
        <v>24</v>
      </c>
      <c r="B361" s="16"/>
      <c r="C361" s="16"/>
      <c r="D361" s="16"/>
      <c r="E361" s="16"/>
      <c r="F361" s="16"/>
      <c r="G361" s="17">
        <v>6272.6100</v>
      </c>
      <c r="H361" s="17">
        <v>0</v>
      </c>
      <c r="I361" s="17">
        <v>0</v>
      </c>
      <c r="J361" s="17">
        <v>0</v>
      </c>
      <c r="K361" s="16"/>
      <c r="L361" s="16"/>
    </row>
    <row r="362" ht="10.95" customHeight="true" customFormat="true" s="9">
      <c r="A362" s="10" t="s">
        <v>25</v>
      </c>
      <c r="B362" s="10"/>
      <c r="C362" s="10"/>
      <c r="D362" s="10"/>
      <c r="E362" s="10"/>
      <c r="F362" s="10"/>
      <c r="G362" s="11">
        <v>6272.6100</v>
      </c>
      <c r="H362" s="11">
        <v>0</v>
      </c>
      <c r="I362" s="11">
        <f ca="1">I359</f>
        <v>0</v>
      </c>
      <c r="J362" s="11">
        <v>0</v>
      </c>
      <c r="K362" s="10"/>
      <c r="L362" s="10"/>
    </row>
    <row r="363" ht="13.35" customHeight="true"/>
    <row r="364" ht="12.1" customHeight="true" customFormat="true" s="5">
      <c r="A364" s="8" t="s">
        <v>240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ht="10.95" customHeight="true" customFormat="true" s="9">
      <c r="A365" s="10" t="s">
        <v>16</v>
      </c>
      <c r="B365" s="10"/>
      <c r="C365" s="10"/>
      <c r="D365" s="10"/>
      <c r="E365" s="10"/>
      <c r="F365" s="10"/>
      <c r="G365" s="11">
        <v>0</v>
      </c>
      <c r="H365" s="11">
        <v>0</v>
      </c>
      <c r="I365" s="11">
        <f ca="1">(G365 - H365)</f>
        <v>0</v>
      </c>
      <c r="J365" s="11">
        <v>0</v>
      </c>
      <c r="K365" s="10"/>
      <c r="L365" s="10"/>
    </row>
    <row r="366" ht="10.95" customHeight="true" customFormat="true" s="9">
      <c r="A366" s="12">
        <v>45473</v>
      </c>
      <c r="B366" s="13" t="s">
        <v>241</v>
      </c>
      <c r="C366" s="13" t="s">
        <v>102</v>
      </c>
      <c r="D366" s="13" t="s">
        <v>19</v>
      </c>
      <c r="E366" s="13" t="s">
        <v>242</v>
      </c>
      <c r="F366" s="13" t="s">
        <v>21</v>
      </c>
      <c r="G366" s="14">
        <v>61158.5400</v>
      </c>
      <c r="H366" s="14">
        <v>0</v>
      </c>
      <c r="I366" s="14">
        <f ca="1">((I365 + G366) - H366)</f>
        <v>0</v>
      </c>
      <c r="J366" s="14">
        <v>0</v>
      </c>
      <c r="K366" s="15">
        <v>0</v>
      </c>
      <c r="L366" s="13" t="s">
        <v>22</v>
      </c>
    </row>
    <row r="367" ht="10.95" customHeight="true" customFormat="true" s="9">
      <c r="A367" s="16" t="s">
        <v>243</v>
      </c>
      <c r="B367" s="16"/>
      <c r="C367" s="16"/>
      <c r="D367" s="16"/>
      <c r="E367" s="16"/>
      <c r="F367" s="16"/>
      <c r="G367" s="17">
        <f ca="1">G366</f>
        <v>0</v>
      </c>
      <c r="H367" s="17">
        <f ca="1">H366</f>
        <v>0</v>
      </c>
      <c r="I367" s="17">
        <f ca="1">I366</f>
        <v>0</v>
      </c>
      <c r="J367" s="17">
        <f ca="1">J366</f>
        <v>0</v>
      </c>
      <c r="K367" s="16"/>
      <c r="L367" s="16"/>
    </row>
    <row r="368" ht="10.95" customHeight="true" customFormat="true" s="9">
      <c r="A368" s="16" t="s">
        <v>24</v>
      </c>
      <c r="B368" s="16"/>
      <c r="C368" s="16"/>
      <c r="D368" s="16"/>
      <c r="E368" s="16"/>
      <c r="F368" s="16"/>
      <c r="G368" s="17">
        <v>61158.5400</v>
      </c>
      <c r="H368" s="17">
        <v>0</v>
      </c>
      <c r="I368" s="17">
        <v>0</v>
      </c>
      <c r="J368" s="17">
        <v>0</v>
      </c>
      <c r="K368" s="16"/>
      <c r="L368" s="16"/>
    </row>
    <row r="369" ht="10.95" customHeight="true" customFormat="true" s="9">
      <c r="A369" s="10" t="s">
        <v>25</v>
      </c>
      <c r="B369" s="10"/>
      <c r="C369" s="10"/>
      <c r="D369" s="10"/>
      <c r="E369" s="10"/>
      <c r="F369" s="10"/>
      <c r="G369" s="11">
        <v>61158.5400</v>
      </c>
      <c r="H369" s="11">
        <v>0</v>
      </c>
      <c r="I369" s="11">
        <f ca="1">I366</f>
        <v>0</v>
      </c>
      <c r="J369" s="11">
        <v>0</v>
      </c>
      <c r="K369" s="10"/>
      <c r="L369" s="10"/>
    </row>
    <row r="370" ht="13.35" customHeight="true"/>
    <row r="371" ht="12.1" customHeight="true" customFormat="true" s="5">
      <c r="A371" s="8" t="s">
        <v>244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ht="10.95" customHeight="true" customFormat="true" s="9">
      <c r="A372" s="10" t="s">
        <v>16</v>
      </c>
      <c r="B372" s="10"/>
      <c r="C372" s="10"/>
      <c r="D372" s="10"/>
      <c r="E372" s="10"/>
      <c r="F372" s="10"/>
      <c r="G372" s="11">
        <v>0</v>
      </c>
      <c r="H372" s="11">
        <v>0</v>
      </c>
      <c r="I372" s="11">
        <f ca="1">(G372 - H372)</f>
        <v>0</v>
      </c>
      <c r="J372" s="11">
        <v>0</v>
      </c>
      <c r="K372" s="10"/>
      <c r="L372" s="10"/>
    </row>
    <row r="373" ht="10.95" customHeight="true" customFormat="true" s="9">
      <c r="A373" s="12">
        <v>45473</v>
      </c>
      <c r="B373" s="13" t="s">
        <v>245</v>
      </c>
      <c r="C373" s="13" t="s">
        <v>102</v>
      </c>
      <c r="D373" s="13" t="s">
        <v>19</v>
      </c>
      <c r="E373" s="13" t="s">
        <v>246</v>
      </c>
      <c r="F373" s="13" t="s">
        <v>21</v>
      </c>
      <c r="G373" s="14">
        <v>2300.0000</v>
      </c>
      <c r="H373" s="14">
        <v>0</v>
      </c>
      <c r="I373" s="14">
        <f ca="1">((I372 + G373) - H373)</f>
        <v>0</v>
      </c>
      <c r="J373" s="14">
        <v>0</v>
      </c>
      <c r="K373" s="15">
        <v>0</v>
      </c>
      <c r="L373" s="13" t="s">
        <v>22</v>
      </c>
    </row>
    <row r="374" ht="10.95" customHeight="true" customFormat="true" s="9">
      <c r="A374" s="16" t="s">
        <v>247</v>
      </c>
      <c r="B374" s="16"/>
      <c r="C374" s="16"/>
      <c r="D374" s="16"/>
      <c r="E374" s="16"/>
      <c r="F374" s="16"/>
      <c r="G374" s="17">
        <f ca="1">G373</f>
        <v>0</v>
      </c>
      <c r="H374" s="17">
        <f ca="1">H373</f>
        <v>0</v>
      </c>
      <c r="I374" s="17">
        <f ca="1">I373</f>
        <v>0</v>
      </c>
      <c r="J374" s="17">
        <f ca="1">J373</f>
        <v>0</v>
      </c>
      <c r="K374" s="16"/>
      <c r="L374" s="16"/>
    </row>
    <row r="375" ht="10.95" customHeight="true" customFormat="true" s="9">
      <c r="A375" s="16" t="s">
        <v>24</v>
      </c>
      <c r="B375" s="16"/>
      <c r="C375" s="16"/>
      <c r="D375" s="16"/>
      <c r="E375" s="16"/>
      <c r="F375" s="16"/>
      <c r="G375" s="17">
        <v>2300.0000</v>
      </c>
      <c r="H375" s="17">
        <v>0</v>
      </c>
      <c r="I375" s="17">
        <v>0</v>
      </c>
      <c r="J375" s="17">
        <v>0</v>
      </c>
      <c r="K375" s="16"/>
      <c r="L375" s="16"/>
    </row>
    <row r="376" ht="10.95" customHeight="true" customFormat="true" s="9">
      <c r="A376" s="10" t="s">
        <v>25</v>
      </c>
      <c r="B376" s="10"/>
      <c r="C376" s="10"/>
      <c r="D376" s="10"/>
      <c r="E376" s="10"/>
      <c r="F376" s="10"/>
      <c r="G376" s="11">
        <v>2300.0000</v>
      </c>
      <c r="H376" s="11">
        <v>0</v>
      </c>
      <c r="I376" s="11">
        <f ca="1">I373</f>
        <v>0</v>
      </c>
      <c r="J376" s="11">
        <v>0</v>
      </c>
      <c r="K376" s="10"/>
      <c r="L376" s="10"/>
    </row>
    <row r="377" ht="13.35" customHeight="true"/>
    <row r="378" ht="12.1" customHeight="true" customFormat="true" s="5">
      <c r="A378" s="8" t="s">
        <v>248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ht="10.95" customHeight="true" customFormat="true" s="9">
      <c r="A379" s="10" t="s">
        <v>16</v>
      </c>
      <c r="B379" s="10"/>
      <c r="C379" s="10"/>
      <c r="D379" s="10"/>
      <c r="E379" s="10"/>
      <c r="F379" s="10"/>
      <c r="G379" s="11">
        <v>0</v>
      </c>
      <c r="H379" s="11">
        <v>0</v>
      </c>
      <c r="I379" s="11">
        <f ca="1">(G379 - H379)</f>
        <v>0</v>
      </c>
      <c r="J379" s="11">
        <v>0</v>
      </c>
      <c r="K379" s="10"/>
      <c r="L379" s="10"/>
    </row>
    <row r="380" ht="10.95" customHeight="true" customFormat="true" s="9">
      <c r="A380" s="12">
        <v>45473</v>
      </c>
      <c r="B380" s="13" t="s">
        <v>249</v>
      </c>
      <c r="C380" s="13" t="s">
        <v>102</v>
      </c>
      <c r="D380" s="13" t="s">
        <v>19</v>
      </c>
      <c r="E380" s="13" t="s">
        <v>250</v>
      </c>
      <c r="F380" s="13" t="s">
        <v>21</v>
      </c>
      <c r="G380" s="14">
        <v>3406.2000</v>
      </c>
      <c r="H380" s="14">
        <v>0</v>
      </c>
      <c r="I380" s="14">
        <f ca="1">((I379 + G380) - H380)</f>
        <v>0</v>
      </c>
      <c r="J380" s="14">
        <v>0</v>
      </c>
      <c r="K380" s="15">
        <v>0</v>
      </c>
      <c r="L380" s="13" t="s">
        <v>22</v>
      </c>
    </row>
    <row r="381" ht="10.95" customHeight="true" customFormat="true" s="9">
      <c r="A381" s="16" t="s">
        <v>251</v>
      </c>
      <c r="B381" s="16"/>
      <c r="C381" s="16"/>
      <c r="D381" s="16"/>
      <c r="E381" s="16"/>
      <c r="F381" s="16"/>
      <c r="G381" s="17">
        <f ca="1">G380</f>
        <v>0</v>
      </c>
      <c r="H381" s="17">
        <f ca="1">H380</f>
        <v>0</v>
      </c>
      <c r="I381" s="17">
        <f ca="1">I380</f>
        <v>0</v>
      </c>
      <c r="J381" s="17">
        <f ca="1">J380</f>
        <v>0</v>
      </c>
      <c r="K381" s="16"/>
      <c r="L381" s="16"/>
    </row>
    <row r="382" ht="10.95" customHeight="true" customFormat="true" s="9">
      <c r="A382" s="16" t="s">
        <v>24</v>
      </c>
      <c r="B382" s="16"/>
      <c r="C382" s="16"/>
      <c r="D382" s="16"/>
      <c r="E382" s="16"/>
      <c r="F382" s="16"/>
      <c r="G382" s="17">
        <v>3406.2000</v>
      </c>
      <c r="H382" s="17">
        <v>0</v>
      </c>
      <c r="I382" s="17">
        <v>0</v>
      </c>
      <c r="J382" s="17">
        <v>0</v>
      </c>
      <c r="K382" s="16"/>
      <c r="L382" s="16"/>
    </row>
    <row r="383" ht="10.95" customHeight="true" customFormat="true" s="9">
      <c r="A383" s="10" t="s">
        <v>25</v>
      </c>
      <c r="B383" s="10"/>
      <c r="C383" s="10"/>
      <c r="D383" s="10"/>
      <c r="E383" s="10"/>
      <c r="F383" s="10"/>
      <c r="G383" s="11">
        <v>3406.2000</v>
      </c>
      <c r="H383" s="11">
        <v>0</v>
      </c>
      <c r="I383" s="11">
        <f ca="1">I380</f>
        <v>0</v>
      </c>
      <c r="J383" s="11">
        <v>0</v>
      </c>
      <c r="K383" s="10"/>
      <c r="L383" s="10"/>
    </row>
    <row r="384" ht="13.35" customHeight="true"/>
    <row r="385" ht="12.1" customHeight="true" customFormat="true" s="5">
      <c r="A385" s="8" t="s">
        <v>252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ht="10.95" customHeight="true" customFormat="true" s="9">
      <c r="A386" s="10" t="s">
        <v>16</v>
      </c>
      <c r="B386" s="10"/>
      <c r="C386" s="10"/>
      <c r="D386" s="10"/>
      <c r="E386" s="10"/>
      <c r="F386" s="10"/>
      <c r="G386" s="11">
        <v>0</v>
      </c>
      <c r="H386" s="11">
        <v>0</v>
      </c>
      <c r="I386" s="11">
        <f ca="1">(G386 - H386)</f>
        <v>0</v>
      </c>
      <c r="J386" s="11">
        <v>0</v>
      </c>
      <c r="K386" s="10"/>
      <c r="L386" s="10"/>
    </row>
    <row r="387" ht="10.95" customHeight="true" customFormat="true" s="9">
      <c r="A387" s="12">
        <v>45473</v>
      </c>
      <c r="B387" s="13" t="s">
        <v>253</v>
      </c>
      <c r="C387" s="13" t="s">
        <v>102</v>
      </c>
      <c r="D387" s="13" t="s">
        <v>19</v>
      </c>
      <c r="E387" s="13" t="s">
        <v>254</v>
      </c>
      <c r="F387" s="13" t="s">
        <v>21</v>
      </c>
      <c r="G387" s="14">
        <v>414.8500</v>
      </c>
      <c r="H387" s="14">
        <v>0</v>
      </c>
      <c r="I387" s="14">
        <f ca="1">((I386 + G387) - H387)</f>
        <v>0</v>
      </c>
      <c r="J387" s="14">
        <v>0</v>
      </c>
      <c r="K387" s="15">
        <v>0</v>
      </c>
      <c r="L387" s="13" t="s">
        <v>22</v>
      </c>
    </row>
    <row r="388" ht="10.95" customHeight="true" customFormat="true" s="9">
      <c r="A388" s="16" t="s">
        <v>255</v>
      </c>
      <c r="B388" s="16"/>
      <c r="C388" s="16"/>
      <c r="D388" s="16"/>
      <c r="E388" s="16"/>
      <c r="F388" s="16"/>
      <c r="G388" s="17">
        <f ca="1">G387</f>
        <v>0</v>
      </c>
      <c r="H388" s="17">
        <f ca="1">H387</f>
        <v>0</v>
      </c>
      <c r="I388" s="17">
        <f ca="1">I387</f>
        <v>0</v>
      </c>
      <c r="J388" s="17">
        <f ca="1">J387</f>
        <v>0</v>
      </c>
      <c r="K388" s="16"/>
      <c r="L388" s="16"/>
    </row>
    <row r="389" ht="10.95" customHeight="true" customFormat="true" s="9">
      <c r="A389" s="16" t="s">
        <v>24</v>
      </c>
      <c r="B389" s="16"/>
      <c r="C389" s="16"/>
      <c r="D389" s="16"/>
      <c r="E389" s="16"/>
      <c r="F389" s="16"/>
      <c r="G389" s="17">
        <v>414.8500</v>
      </c>
      <c r="H389" s="17">
        <v>0</v>
      </c>
      <c r="I389" s="17">
        <v>0</v>
      </c>
      <c r="J389" s="17">
        <v>0</v>
      </c>
      <c r="K389" s="16"/>
      <c r="L389" s="16"/>
    </row>
    <row r="390" ht="10.95" customHeight="true" customFormat="true" s="9">
      <c r="A390" s="10" t="s">
        <v>25</v>
      </c>
      <c r="B390" s="10"/>
      <c r="C390" s="10"/>
      <c r="D390" s="10"/>
      <c r="E390" s="10"/>
      <c r="F390" s="10"/>
      <c r="G390" s="11">
        <v>414.8500</v>
      </c>
      <c r="H390" s="11">
        <v>0</v>
      </c>
      <c r="I390" s="11">
        <f ca="1">I387</f>
        <v>0</v>
      </c>
      <c r="J390" s="11">
        <v>0</v>
      </c>
      <c r="K390" s="10"/>
      <c r="L390" s="10"/>
    </row>
    <row r="391" ht="13.35" customHeight="true"/>
    <row r="392" ht="12.1" customHeight="true" customFormat="true" s="5">
      <c r="A392" s="8" t="s">
        <v>256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ht="10.95" customHeight="true" customFormat="true" s="9">
      <c r="A393" s="10" t="s">
        <v>16</v>
      </c>
      <c r="B393" s="10"/>
      <c r="C393" s="10"/>
      <c r="D393" s="10"/>
      <c r="E393" s="10"/>
      <c r="F393" s="10"/>
      <c r="G393" s="11">
        <v>0</v>
      </c>
      <c r="H393" s="11">
        <v>0</v>
      </c>
      <c r="I393" s="11">
        <f ca="1">(G393 - H393)</f>
        <v>0</v>
      </c>
      <c r="J393" s="11">
        <v>0</v>
      </c>
      <c r="K393" s="10"/>
      <c r="L393" s="10"/>
    </row>
    <row r="394" ht="10.95" customHeight="true" customFormat="true" s="9">
      <c r="A394" s="12">
        <v>45473</v>
      </c>
      <c r="B394" s="13" t="s">
        <v>257</v>
      </c>
      <c r="C394" s="13" t="s">
        <v>102</v>
      </c>
      <c r="D394" s="13" t="s">
        <v>19</v>
      </c>
      <c r="E394" s="13" t="s">
        <v>258</v>
      </c>
      <c r="F394" s="13" t="s">
        <v>21</v>
      </c>
      <c r="G394" s="14">
        <v>45.4500</v>
      </c>
      <c r="H394" s="14">
        <v>0</v>
      </c>
      <c r="I394" s="14">
        <f ca="1">((I393 + G394) - H394)</f>
        <v>0</v>
      </c>
      <c r="J394" s="14">
        <v>0</v>
      </c>
      <c r="K394" s="15">
        <v>0</v>
      </c>
      <c r="L394" s="13" t="s">
        <v>22</v>
      </c>
    </row>
    <row r="395" ht="10.95" customHeight="true" customFormat="true" s="9">
      <c r="A395" s="18">
        <v>45473</v>
      </c>
      <c r="B395" s="19" t="s">
        <v>257</v>
      </c>
      <c r="C395" s="19" t="s">
        <v>102</v>
      </c>
      <c r="D395" s="19" t="s">
        <v>19</v>
      </c>
      <c r="E395" s="19" t="s">
        <v>259</v>
      </c>
      <c r="F395" s="19" t="s">
        <v>21</v>
      </c>
      <c r="G395" s="20">
        <v>879.5500</v>
      </c>
      <c r="H395" s="20">
        <v>0</v>
      </c>
      <c r="I395" s="20">
        <f ca="1">((I394 + G395) - H395)</f>
        <v>0</v>
      </c>
      <c r="J395" s="20">
        <v>0</v>
      </c>
      <c r="K395" s="21">
        <v>0</v>
      </c>
      <c r="L395" s="19" t="s">
        <v>22</v>
      </c>
    </row>
    <row r="396" ht="10.95" customHeight="true" customFormat="true" s="9">
      <c r="A396" s="18">
        <v>45473</v>
      </c>
      <c r="B396" s="19" t="s">
        <v>257</v>
      </c>
      <c r="C396" s="19" t="s">
        <v>102</v>
      </c>
      <c r="D396" s="19" t="s">
        <v>19</v>
      </c>
      <c r="E396" s="19" t="s">
        <v>260</v>
      </c>
      <c r="F396" s="19" t="s">
        <v>21</v>
      </c>
      <c r="G396" s="20">
        <v>425.4500</v>
      </c>
      <c r="H396" s="20">
        <v>0</v>
      </c>
      <c r="I396" s="20">
        <f ca="1">((I395 + G396) - H396)</f>
        <v>0</v>
      </c>
      <c r="J396" s="20">
        <v>0</v>
      </c>
      <c r="K396" s="21">
        <v>0</v>
      </c>
      <c r="L396" s="19" t="s">
        <v>22</v>
      </c>
    </row>
    <row r="397" ht="10.95" customHeight="true" customFormat="true" s="9">
      <c r="A397" s="18">
        <v>45473</v>
      </c>
      <c r="B397" s="19" t="s">
        <v>257</v>
      </c>
      <c r="C397" s="19" t="s">
        <v>102</v>
      </c>
      <c r="D397" s="19" t="s">
        <v>19</v>
      </c>
      <c r="E397" s="19" t="s">
        <v>261</v>
      </c>
      <c r="F397" s="19" t="s">
        <v>21</v>
      </c>
      <c r="G397" s="20">
        <v>1152.5900</v>
      </c>
      <c r="H397" s="20">
        <v>0</v>
      </c>
      <c r="I397" s="20">
        <f ca="1">((I396 + G397) - H397)</f>
        <v>0</v>
      </c>
      <c r="J397" s="20">
        <v>0</v>
      </c>
      <c r="K397" s="21">
        <v>0</v>
      </c>
      <c r="L397" s="19" t="s">
        <v>22</v>
      </c>
    </row>
    <row r="398" ht="10.95" customHeight="true" customFormat="true" s="9">
      <c r="A398" s="16" t="s">
        <v>262</v>
      </c>
      <c r="B398" s="16"/>
      <c r="C398" s="16"/>
      <c r="D398" s="16"/>
      <c r="E398" s="16"/>
      <c r="F398" s="16"/>
      <c r="G398" s="17">
        <f ca="1">SUM(G394:G397)</f>
        <v>0</v>
      </c>
      <c r="H398" s="17">
        <f ca="1">SUM(H394:H397)</f>
        <v>0</v>
      </c>
      <c r="I398" s="17">
        <f ca="1">I397</f>
        <v>0</v>
      </c>
      <c r="J398" s="17">
        <f ca="1">SUM(J394:J397)</f>
        <v>0</v>
      </c>
      <c r="K398" s="16"/>
      <c r="L398" s="16"/>
    </row>
    <row r="399" ht="10.95" customHeight="true" customFormat="true" s="9">
      <c r="A399" s="16" t="s">
        <v>24</v>
      </c>
      <c r="B399" s="16"/>
      <c r="C399" s="16"/>
      <c r="D399" s="16"/>
      <c r="E399" s="16"/>
      <c r="F399" s="16"/>
      <c r="G399" s="17">
        <v>2503.0400</v>
      </c>
      <c r="H399" s="17">
        <v>0</v>
      </c>
      <c r="I399" s="17">
        <v>0</v>
      </c>
      <c r="J399" s="17">
        <v>0</v>
      </c>
      <c r="K399" s="16"/>
      <c r="L399" s="16"/>
    </row>
    <row r="400" ht="10.95" customHeight="true" customFormat="true" s="9">
      <c r="A400" s="10" t="s">
        <v>25</v>
      </c>
      <c r="B400" s="10"/>
      <c r="C400" s="10"/>
      <c r="D400" s="10"/>
      <c r="E400" s="10"/>
      <c r="F400" s="10"/>
      <c r="G400" s="11">
        <v>2503.0400</v>
      </c>
      <c r="H400" s="11">
        <v>0</v>
      </c>
      <c r="I400" s="11">
        <f ca="1">I397</f>
        <v>0</v>
      </c>
      <c r="J400" s="11">
        <v>0</v>
      </c>
      <c r="K400" s="10"/>
      <c r="L400" s="10"/>
    </row>
    <row r="401" ht="13.35" customHeight="true"/>
    <row r="402" ht="12.1" customHeight="true" customFormat="true" s="5">
      <c r="A402" s="8" t="s">
        <v>263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ht="10.95" customHeight="true" customFormat="true" s="9">
      <c r="A403" s="10" t="s">
        <v>16</v>
      </c>
      <c r="B403" s="10"/>
      <c r="C403" s="10"/>
      <c r="D403" s="10"/>
      <c r="E403" s="10"/>
      <c r="F403" s="10"/>
      <c r="G403" s="11">
        <v>0</v>
      </c>
      <c r="H403" s="11">
        <v>0</v>
      </c>
      <c r="I403" s="11">
        <f ca="1">(G403 - H403)</f>
        <v>0</v>
      </c>
      <c r="J403" s="11">
        <v>0</v>
      </c>
      <c r="K403" s="10"/>
      <c r="L403" s="10"/>
    </row>
    <row r="404" ht="10.95" customHeight="true" customFormat="true" s="9">
      <c r="A404" s="12">
        <v>45473</v>
      </c>
      <c r="B404" s="13" t="s">
        <v>264</v>
      </c>
      <c r="C404" s="13" t="s">
        <v>102</v>
      </c>
      <c r="D404" s="13" t="s">
        <v>19</v>
      </c>
      <c r="E404" s="13" t="s">
        <v>265</v>
      </c>
      <c r="F404" s="13" t="s">
        <v>21</v>
      </c>
      <c r="G404" s="14">
        <v>145.4400</v>
      </c>
      <c r="H404" s="14">
        <v>0</v>
      </c>
      <c r="I404" s="14">
        <f ca="1">((I403 + G404) - H404)</f>
        <v>0</v>
      </c>
      <c r="J404" s="14">
        <v>0</v>
      </c>
      <c r="K404" s="15">
        <v>0</v>
      </c>
      <c r="L404" s="13" t="s">
        <v>22</v>
      </c>
    </row>
    <row r="405" ht="10.95" customHeight="true" customFormat="true" s="9">
      <c r="A405" s="16" t="s">
        <v>266</v>
      </c>
      <c r="B405" s="16"/>
      <c r="C405" s="16"/>
      <c r="D405" s="16"/>
      <c r="E405" s="16"/>
      <c r="F405" s="16"/>
      <c r="G405" s="17">
        <f ca="1">G404</f>
        <v>0</v>
      </c>
      <c r="H405" s="17">
        <f ca="1">H404</f>
        <v>0</v>
      </c>
      <c r="I405" s="17">
        <f ca="1">I404</f>
        <v>0</v>
      </c>
      <c r="J405" s="17">
        <f ca="1">J404</f>
        <v>0</v>
      </c>
      <c r="K405" s="16"/>
      <c r="L405" s="16"/>
    </row>
    <row r="406" ht="10.95" customHeight="true" customFormat="true" s="9">
      <c r="A406" s="16" t="s">
        <v>24</v>
      </c>
      <c r="B406" s="16"/>
      <c r="C406" s="16"/>
      <c r="D406" s="16"/>
      <c r="E406" s="16"/>
      <c r="F406" s="16"/>
      <c r="G406" s="17">
        <v>145.4400</v>
      </c>
      <c r="H406" s="17">
        <v>0</v>
      </c>
      <c r="I406" s="17">
        <v>0</v>
      </c>
      <c r="J406" s="17">
        <v>0</v>
      </c>
      <c r="K406" s="16"/>
      <c r="L406" s="16"/>
    </row>
    <row r="407" ht="10.95" customHeight="true" customFormat="true" s="9">
      <c r="A407" s="10" t="s">
        <v>25</v>
      </c>
      <c r="B407" s="10"/>
      <c r="C407" s="10"/>
      <c r="D407" s="10"/>
      <c r="E407" s="10"/>
      <c r="F407" s="10"/>
      <c r="G407" s="11">
        <v>145.4400</v>
      </c>
      <c r="H407" s="11">
        <v>0</v>
      </c>
      <c r="I407" s="11">
        <f ca="1">I404</f>
        <v>0</v>
      </c>
      <c r="J407" s="11">
        <v>0</v>
      </c>
      <c r="K407" s="10"/>
      <c r="L407" s="10"/>
    </row>
    <row r="408" ht="13.35" customHeight="true"/>
    <row r="409" ht="12.1" customHeight="true" customFormat="true" s="5">
      <c r="A409" s="8" t="s">
        <v>267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ht="10.95" customHeight="true" customFormat="true" s="9">
      <c r="A410" s="10" t="s">
        <v>16</v>
      </c>
      <c r="B410" s="10"/>
      <c r="C410" s="10"/>
      <c r="D410" s="10"/>
      <c r="E410" s="10"/>
      <c r="F410" s="10"/>
      <c r="G410" s="11">
        <v>0</v>
      </c>
      <c r="H410" s="11">
        <v>0</v>
      </c>
      <c r="I410" s="11">
        <f ca="1">(G410 - H410)</f>
        <v>0</v>
      </c>
      <c r="J410" s="11">
        <v>0</v>
      </c>
      <c r="K410" s="10"/>
      <c r="L410" s="10"/>
    </row>
    <row r="411" ht="10.95" customHeight="true" customFormat="true" s="9">
      <c r="A411" s="12">
        <v>45473</v>
      </c>
      <c r="B411" s="13" t="s">
        <v>268</v>
      </c>
      <c r="C411" s="13" t="s">
        <v>102</v>
      </c>
      <c r="D411" s="13" t="s">
        <v>19</v>
      </c>
      <c r="E411" s="13" t="s">
        <v>269</v>
      </c>
      <c r="F411" s="13" t="s">
        <v>21</v>
      </c>
      <c r="G411" s="14">
        <v>1345.9500</v>
      </c>
      <c r="H411" s="14">
        <v>0</v>
      </c>
      <c r="I411" s="14">
        <f ca="1">((I410 + G411) - H411)</f>
        <v>0</v>
      </c>
      <c r="J411" s="14">
        <v>0</v>
      </c>
      <c r="K411" s="15">
        <v>0</v>
      </c>
      <c r="L411" s="13" t="s">
        <v>22</v>
      </c>
    </row>
    <row r="412" ht="10.95" customHeight="true" customFormat="true" s="9">
      <c r="A412" s="16" t="s">
        <v>270</v>
      </c>
      <c r="B412" s="16"/>
      <c r="C412" s="16"/>
      <c r="D412" s="16"/>
      <c r="E412" s="16"/>
      <c r="F412" s="16"/>
      <c r="G412" s="17">
        <f ca="1">G411</f>
        <v>0</v>
      </c>
      <c r="H412" s="17">
        <f ca="1">H411</f>
        <v>0</v>
      </c>
      <c r="I412" s="17">
        <f ca="1">I411</f>
        <v>0</v>
      </c>
      <c r="J412" s="17">
        <f ca="1">J411</f>
        <v>0</v>
      </c>
      <c r="K412" s="16"/>
      <c r="L412" s="16"/>
    </row>
    <row r="413" ht="10.95" customHeight="true" customFormat="true" s="9">
      <c r="A413" s="16" t="s">
        <v>24</v>
      </c>
      <c r="B413" s="16"/>
      <c r="C413" s="16"/>
      <c r="D413" s="16"/>
      <c r="E413" s="16"/>
      <c r="F413" s="16"/>
      <c r="G413" s="17">
        <v>1345.9500</v>
      </c>
      <c r="H413" s="17">
        <v>0</v>
      </c>
      <c r="I413" s="17">
        <v>0</v>
      </c>
      <c r="J413" s="17">
        <v>0</v>
      </c>
      <c r="K413" s="16"/>
      <c r="L413" s="16"/>
    </row>
    <row r="414" ht="10.95" customHeight="true" customFormat="true" s="9">
      <c r="A414" s="10" t="s">
        <v>25</v>
      </c>
      <c r="B414" s="10"/>
      <c r="C414" s="10"/>
      <c r="D414" s="10"/>
      <c r="E414" s="10"/>
      <c r="F414" s="10"/>
      <c r="G414" s="11">
        <v>1345.9500</v>
      </c>
      <c r="H414" s="11">
        <v>0</v>
      </c>
      <c r="I414" s="11">
        <f ca="1">I411</f>
        <v>0</v>
      </c>
      <c r="J414" s="11">
        <v>0</v>
      </c>
      <c r="K414" s="10"/>
      <c r="L414" s="10"/>
    </row>
    <row r="415" ht="13.35" customHeight="true"/>
    <row r="416" ht="12.1" customHeight="true" customFormat="true" s="5">
      <c r="A416" s="8" t="s">
        <v>271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ht="10.95" customHeight="true" customFormat="true" s="9">
      <c r="A417" s="10" t="s">
        <v>16</v>
      </c>
      <c r="B417" s="10"/>
      <c r="C417" s="10"/>
      <c r="D417" s="10"/>
      <c r="E417" s="10"/>
      <c r="F417" s="10"/>
      <c r="G417" s="11">
        <v>0</v>
      </c>
      <c r="H417" s="11">
        <v>0</v>
      </c>
      <c r="I417" s="11">
        <f ca="1">(G417 - H417)</f>
        <v>0</v>
      </c>
      <c r="J417" s="11">
        <v>0</v>
      </c>
      <c r="K417" s="10"/>
      <c r="L417" s="10"/>
    </row>
    <row r="418" ht="10.95" customHeight="true" customFormat="true" s="9">
      <c r="A418" s="12">
        <v>45473</v>
      </c>
      <c r="B418" s="13" t="s">
        <v>272</v>
      </c>
      <c r="C418" s="13" t="s">
        <v>102</v>
      </c>
      <c r="D418" s="13" t="s">
        <v>19</v>
      </c>
      <c r="E418" s="13" t="s">
        <v>273</v>
      </c>
      <c r="F418" s="13" t="s">
        <v>21</v>
      </c>
      <c r="G418" s="14">
        <v>965.2000</v>
      </c>
      <c r="H418" s="14">
        <v>0</v>
      </c>
      <c r="I418" s="14">
        <f ca="1">((I417 + G418) - H418)</f>
        <v>0</v>
      </c>
      <c r="J418" s="14">
        <v>0</v>
      </c>
      <c r="K418" s="15">
        <v>0</v>
      </c>
      <c r="L418" s="13" t="s">
        <v>22</v>
      </c>
    </row>
    <row r="419" ht="10.95" customHeight="true" customFormat="true" s="9">
      <c r="A419" s="16" t="s">
        <v>274</v>
      </c>
      <c r="B419" s="16"/>
      <c r="C419" s="16"/>
      <c r="D419" s="16"/>
      <c r="E419" s="16"/>
      <c r="F419" s="16"/>
      <c r="G419" s="17">
        <f ca="1">G418</f>
        <v>0</v>
      </c>
      <c r="H419" s="17">
        <f ca="1">H418</f>
        <v>0</v>
      </c>
      <c r="I419" s="17">
        <f ca="1">I418</f>
        <v>0</v>
      </c>
      <c r="J419" s="17">
        <f ca="1">J418</f>
        <v>0</v>
      </c>
      <c r="K419" s="16"/>
      <c r="L419" s="16"/>
    </row>
    <row r="420" ht="10.95" customHeight="true" customFormat="true" s="9">
      <c r="A420" s="16" t="s">
        <v>24</v>
      </c>
      <c r="B420" s="16"/>
      <c r="C420" s="16"/>
      <c r="D420" s="16"/>
      <c r="E420" s="16"/>
      <c r="F420" s="16"/>
      <c r="G420" s="17">
        <v>965.2000</v>
      </c>
      <c r="H420" s="17">
        <v>0</v>
      </c>
      <c r="I420" s="17">
        <v>0</v>
      </c>
      <c r="J420" s="17">
        <v>0</v>
      </c>
      <c r="K420" s="16"/>
      <c r="L420" s="16"/>
    </row>
    <row r="421" ht="10.95" customHeight="true" customFormat="true" s="9">
      <c r="A421" s="10" t="s">
        <v>25</v>
      </c>
      <c r="B421" s="10"/>
      <c r="C421" s="10"/>
      <c r="D421" s="10"/>
      <c r="E421" s="10"/>
      <c r="F421" s="10"/>
      <c r="G421" s="11">
        <v>965.2000</v>
      </c>
      <c r="H421" s="11">
        <v>0</v>
      </c>
      <c r="I421" s="11">
        <f ca="1">I418</f>
        <v>0</v>
      </c>
      <c r="J421" s="11">
        <v>0</v>
      </c>
      <c r="K421" s="10"/>
      <c r="L421" s="10"/>
    </row>
    <row r="422" ht="13.35" customHeight="true"/>
    <row r="423" ht="12.1" customHeight="true" customFormat="true" s="5">
      <c r="A423" s="8" t="s">
        <v>275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ht="10.95" customHeight="true" customFormat="true" s="9">
      <c r="A424" s="10" t="s">
        <v>16</v>
      </c>
      <c r="B424" s="10"/>
      <c r="C424" s="10"/>
      <c r="D424" s="10"/>
      <c r="E424" s="10"/>
      <c r="F424" s="10"/>
      <c r="G424" s="11">
        <v>0</v>
      </c>
      <c r="H424" s="11">
        <v>0</v>
      </c>
      <c r="I424" s="11">
        <f ca="1">(G424 - H424)</f>
        <v>0</v>
      </c>
      <c r="J424" s="11">
        <v>0</v>
      </c>
      <c r="K424" s="10"/>
      <c r="L424" s="10"/>
    </row>
    <row r="425" ht="10.95" customHeight="true" customFormat="true" s="9">
      <c r="A425" s="12">
        <v>45473</v>
      </c>
      <c r="B425" s="13" t="s">
        <v>276</v>
      </c>
      <c r="C425" s="13" t="s">
        <v>102</v>
      </c>
      <c r="D425" s="13" t="s">
        <v>19</v>
      </c>
      <c r="E425" s="13" t="s">
        <v>277</v>
      </c>
      <c r="F425" s="13" t="s">
        <v>21</v>
      </c>
      <c r="G425" s="14">
        <v>1425.0000</v>
      </c>
      <c r="H425" s="14">
        <v>0</v>
      </c>
      <c r="I425" s="14">
        <f ca="1">((I424 + G425) - H425)</f>
        <v>0</v>
      </c>
      <c r="J425" s="14">
        <v>0</v>
      </c>
      <c r="K425" s="15">
        <v>0</v>
      </c>
      <c r="L425" s="13" t="s">
        <v>22</v>
      </c>
    </row>
    <row r="426" ht="10.95" customHeight="true" customFormat="true" s="9">
      <c r="A426" s="16" t="s">
        <v>278</v>
      </c>
      <c r="B426" s="16"/>
      <c r="C426" s="16"/>
      <c r="D426" s="16"/>
      <c r="E426" s="16"/>
      <c r="F426" s="16"/>
      <c r="G426" s="17">
        <f ca="1">G425</f>
        <v>0</v>
      </c>
      <c r="H426" s="17">
        <f ca="1">H425</f>
        <v>0</v>
      </c>
      <c r="I426" s="17">
        <f ca="1">I425</f>
        <v>0</v>
      </c>
      <c r="J426" s="17">
        <f ca="1">J425</f>
        <v>0</v>
      </c>
      <c r="K426" s="16"/>
      <c r="L426" s="16"/>
    </row>
    <row r="427" ht="10.95" customHeight="true" customFormat="true" s="9">
      <c r="A427" s="16" t="s">
        <v>24</v>
      </c>
      <c r="B427" s="16"/>
      <c r="C427" s="16"/>
      <c r="D427" s="16"/>
      <c r="E427" s="16"/>
      <c r="F427" s="16"/>
      <c r="G427" s="17">
        <v>1425.0000</v>
      </c>
      <c r="H427" s="17">
        <v>0</v>
      </c>
      <c r="I427" s="17">
        <v>0</v>
      </c>
      <c r="J427" s="17">
        <v>0</v>
      </c>
      <c r="K427" s="16"/>
      <c r="L427" s="16"/>
    </row>
    <row r="428" ht="10.95" customHeight="true" customFormat="true" s="9">
      <c r="A428" s="10" t="s">
        <v>25</v>
      </c>
      <c r="B428" s="10"/>
      <c r="C428" s="10"/>
      <c r="D428" s="10"/>
      <c r="E428" s="10"/>
      <c r="F428" s="10"/>
      <c r="G428" s="11">
        <v>1425.0000</v>
      </c>
      <c r="H428" s="11">
        <v>0</v>
      </c>
      <c r="I428" s="11">
        <f ca="1">I425</f>
        <v>0</v>
      </c>
      <c r="J428" s="11">
        <v>0</v>
      </c>
      <c r="K428" s="10"/>
      <c r="L428" s="10"/>
    </row>
    <row r="429" ht="13.35" customHeight="true"/>
    <row r="430" ht="12.1" customHeight="true" customFormat="true" s="5">
      <c r="A430" s="8" t="s">
        <v>279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ht="10.95" customHeight="true" customFormat="true" s="9">
      <c r="A431" s="10" t="s">
        <v>16</v>
      </c>
      <c r="B431" s="10"/>
      <c r="C431" s="10"/>
      <c r="D431" s="10"/>
      <c r="E431" s="10"/>
      <c r="F431" s="10"/>
      <c r="G431" s="11">
        <v>0</v>
      </c>
      <c r="H431" s="11">
        <v>0</v>
      </c>
      <c r="I431" s="11">
        <f ca="1">(G431 - H431)</f>
        <v>0</v>
      </c>
      <c r="J431" s="11">
        <v>0</v>
      </c>
      <c r="K431" s="10"/>
      <c r="L431" s="10"/>
    </row>
    <row r="432" ht="10.95" customHeight="true" customFormat="true" s="9">
      <c r="A432" s="12">
        <v>45473</v>
      </c>
      <c r="B432" s="13" t="s">
        <v>280</v>
      </c>
      <c r="C432" s="13" t="s">
        <v>102</v>
      </c>
      <c r="D432" s="13" t="s">
        <v>19</v>
      </c>
      <c r="E432" s="13" t="s">
        <v>281</v>
      </c>
      <c r="F432" s="13" t="s">
        <v>21</v>
      </c>
      <c r="G432" s="14">
        <v>727.2900</v>
      </c>
      <c r="H432" s="14">
        <v>0</v>
      </c>
      <c r="I432" s="14">
        <f ca="1">((I431 + G432) - H432)</f>
        <v>0</v>
      </c>
      <c r="J432" s="14">
        <v>0</v>
      </c>
      <c r="K432" s="15">
        <v>0</v>
      </c>
      <c r="L432" s="13" t="s">
        <v>22</v>
      </c>
    </row>
    <row r="433" ht="10.95" customHeight="true" customFormat="true" s="9">
      <c r="A433" s="16" t="s">
        <v>282</v>
      </c>
      <c r="B433" s="16"/>
      <c r="C433" s="16"/>
      <c r="D433" s="16"/>
      <c r="E433" s="16"/>
      <c r="F433" s="16"/>
      <c r="G433" s="17">
        <f ca="1">G432</f>
        <v>0</v>
      </c>
      <c r="H433" s="17">
        <f ca="1">H432</f>
        <v>0</v>
      </c>
      <c r="I433" s="17">
        <f ca="1">I432</f>
        <v>0</v>
      </c>
      <c r="J433" s="17">
        <f ca="1">J432</f>
        <v>0</v>
      </c>
      <c r="K433" s="16"/>
      <c r="L433" s="16"/>
    </row>
    <row r="434" ht="10.95" customHeight="true" customFormat="true" s="9">
      <c r="A434" s="16" t="s">
        <v>24</v>
      </c>
      <c r="B434" s="16"/>
      <c r="C434" s="16"/>
      <c r="D434" s="16"/>
      <c r="E434" s="16"/>
      <c r="F434" s="16"/>
      <c r="G434" s="17">
        <v>727.2900</v>
      </c>
      <c r="H434" s="17">
        <v>0</v>
      </c>
      <c r="I434" s="17">
        <v>0</v>
      </c>
      <c r="J434" s="17">
        <v>0</v>
      </c>
      <c r="K434" s="16"/>
      <c r="L434" s="16"/>
    </row>
    <row r="435" ht="10.95" customHeight="true" customFormat="true" s="9">
      <c r="A435" s="10" t="s">
        <v>25</v>
      </c>
      <c r="B435" s="10"/>
      <c r="C435" s="10"/>
      <c r="D435" s="10"/>
      <c r="E435" s="10"/>
      <c r="F435" s="10"/>
      <c r="G435" s="11">
        <v>727.2900</v>
      </c>
      <c r="H435" s="11">
        <v>0</v>
      </c>
      <c r="I435" s="11">
        <f ca="1">I432</f>
        <v>0</v>
      </c>
      <c r="J435" s="11">
        <v>0</v>
      </c>
      <c r="K435" s="10"/>
      <c r="L435" s="10"/>
    </row>
    <row r="436" ht="13.35" customHeight="true"/>
    <row r="437" ht="12.1" customHeight="true" customFormat="true" s="5">
      <c r="A437" s="8" t="s">
        <v>283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ht="10.95" customHeight="true" customFormat="true" s="9">
      <c r="A438" s="10" t="s">
        <v>16</v>
      </c>
      <c r="B438" s="10"/>
      <c r="C438" s="10"/>
      <c r="D438" s="10"/>
      <c r="E438" s="10"/>
      <c r="F438" s="10"/>
      <c r="G438" s="11">
        <v>0</v>
      </c>
      <c r="H438" s="11">
        <v>0</v>
      </c>
      <c r="I438" s="11">
        <f ca="1">(G438 - H438)</f>
        <v>0</v>
      </c>
      <c r="J438" s="11">
        <v>0</v>
      </c>
      <c r="K438" s="10"/>
      <c r="L438" s="10"/>
    </row>
    <row r="439" ht="10.95" customHeight="true" customFormat="true" s="9">
      <c r="A439" s="12">
        <v>45473</v>
      </c>
      <c r="B439" s="13" t="s">
        <v>284</v>
      </c>
      <c r="C439" s="13" t="s">
        <v>102</v>
      </c>
      <c r="D439" s="13" t="s">
        <v>19</v>
      </c>
      <c r="E439" s="13" t="s">
        <v>285</v>
      </c>
      <c r="F439" s="13" t="s">
        <v>21</v>
      </c>
      <c r="G439" s="14">
        <v>423.9600</v>
      </c>
      <c r="H439" s="14">
        <v>0</v>
      </c>
      <c r="I439" s="14">
        <f ca="1">((I438 + G439) - H439)</f>
        <v>0</v>
      </c>
      <c r="J439" s="14">
        <v>0</v>
      </c>
      <c r="K439" s="15">
        <v>0</v>
      </c>
      <c r="L439" s="13" t="s">
        <v>22</v>
      </c>
    </row>
    <row r="440" ht="10.95" customHeight="true" customFormat="true" s="9">
      <c r="A440" s="16" t="s">
        <v>286</v>
      </c>
      <c r="B440" s="16"/>
      <c r="C440" s="16"/>
      <c r="D440" s="16"/>
      <c r="E440" s="16"/>
      <c r="F440" s="16"/>
      <c r="G440" s="17">
        <f ca="1">G439</f>
        <v>0</v>
      </c>
      <c r="H440" s="17">
        <f ca="1">H439</f>
        <v>0</v>
      </c>
      <c r="I440" s="17">
        <f ca="1">I439</f>
        <v>0</v>
      </c>
      <c r="J440" s="17">
        <f ca="1">J439</f>
        <v>0</v>
      </c>
      <c r="K440" s="16"/>
      <c r="L440" s="16"/>
    </row>
    <row r="441" ht="10.95" customHeight="true" customFormat="true" s="9">
      <c r="A441" s="16" t="s">
        <v>24</v>
      </c>
      <c r="B441" s="16"/>
      <c r="C441" s="16"/>
      <c r="D441" s="16"/>
      <c r="E441" s="16"/>
      <c r="F441" s="16"/>
      <c r="G441" s="17">
        <v>423.9600</v>
      </c>
      <c r="H441" s="17">
        <v>0</v>
      </c>
      <c r="I441" s="17">
        <v>0</v>
      </c>
      <c r="J441" s="17">
        <v>0</v>
      </c>
      <c r="K441" s="16"/>
      <c r="L441" s="16"/>
    </row>
    <row r="442" ht="10.95" customHeight="true" customFormat="true" s="9">
      <c r="A442" s="10" t="s">
        <v>25</v>
      </c>
      <c r="B442" s="10"/>
      <c r="C442" s="10"/>
      <c r="D442" s="10"/>
      <c r="E442" s="10"/>
      <c r="F442" s="10"/>
      <c r="G442" s="11">
        <v>423.9600</v>
      </c>
      <c r="H442" s="11">
        <v>0</v>
      </c>
      <c r="I442" s="11">
        <f ca="1">I439</f>
        <v>0</v>
      </c>
      <c r="J442" s="11">
        <v>0</v>
      </c>
      <c r="K442" s="10"/>
      <c r="L442" s="10"/>
    </row>
    <row r="443" ht="13.35" customHeight="true"/>
    <row r="444" ht="12.1" customHeight="true" customFormat="true" s="5">
      <c r="A444" s="8" t="s">
        <v>287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ht="10.95" customHeight="true" customFormat="true" s="9">
      <c r="A445" s="10" t="s">
        <v>16</v>
      </c>
      <c r="B445" s="10"/>
      <c r="C445" s="10"/>
      <c r="D445" s="10"/>
      <c r="E445" s="10"/>
      <c r="F445" s="10"/>
      <c r="G445" s="11">
        <v>0</v>
      </c>
      <c r="H445" s="11">
        <v>0</v>
      </c>
      <c r="I445" s="11">
        <f ca="1">(G445 - H445)</f>
        <v>0</v>
      </c>
      <c r="J445" s="11">
        <v>0</v>
      </c>
      <c r="K445" s="10"/>
      <c r="L445" s="10"/>
    </row>
    <row r="446" ht="10.95" customHeight="true" customFormat="true" s="9">
      <c r="A446" s="12">
        <v>45473</v>
      </c>
      <c r="B446" s="13" t="s">
        <v>288</v>
      </c>
      <c r="C446" s="13" t="s">
        <v>102</v>
      </c>
      <c r="D446" s="13" t="s">
        <v>19</v>
      </c>
      <c r="E446" s="13" t="s">
        <v>289</v>
      </c>
      <c r="F446" s="13" t="s">
        <v>21</v>
      </c>
      <c r="G446" s="14">
        <v>162.2700</v>
      </c>
      <c r="H446" s="14">
        <v>0</v>
      </c>
      <c r="I446" s="14">
        <f ca="1">((I445 + G446) - H446)</f>
        <v>0</v>
      </c>
      <c r="J446" s="14">
        <v>0</v>
      </c>
      <c r="K446" s="15">
        <v>0</v>
      </c>
      <c r="L446" s="13" t="s">
        <v>22</v>
      </c>
    </row>
    <row r="447" ht="10.95" customHeight="true" customFormat="true" s="9">
      <c r="A447" s="18">
        <v>45473</v>
      </c>
      <c r="B447" s="19" t="s">
        <v>288</v>
      </c>
      <c r="C447" s="19" t="s">
        <v>102</v>
      </c>
      <c r="D447" s="19" t="s">
        <v>19</v>
      </c>
      <c r="E447" s="19" t="s">
        <v>290</v>
      </c>
      <c r="F447" s="19" t="s">
        <v>291</v>
      </c>
      <c r="G447" s="20">
        <v>16.2300</v>
      </c>
      <c r="H447" s="20">
        <v>0</v>
      </c>
      <c r="I447" s="20">
        <f ca="1">((I446 + G447) - H447)</f>
        <v>0</v>
      </c>
      <c r="J447" s="20">
        <v>0</v>
      </c>
      <c r="K447" s="21">
        <v>0</v>
      </c>
      <c r="L447" s="19" t="s">
        <v>22</v>
      </c>
    </row>
    <row r="448" ht="10.95" customHeight="true" customFormat="true" s="9">
      <c r="A448" s="16" t="s">
        <v>292</v>
      </c>
      <c r="B448" s="16"/>
      <c r="C448" s="16"/>
      <c r="D448" s="16"/>
      <c r="E448" s="16"/>
      <c r="F448" s="16"/>
      <c r="G448" s="17">
        <f ca="1">SUM(G446:G447)</f>
        <v>0</v>
      </c>
      <c r="H448" s="17">
        <f ca="1">SUM(H446:H447)</f>
        <v>0</v>
      </c>
      <c r="I448" s="17">
        <f ca="1">I447</f>
        <v>0</v>
      </c>
      <c r="J448" s="17">
        <f ca="1">SUM(J446:J447)</f>
        <v>0</v>
      </c>
      <c r="K448" s="16"/>
      <c r="L448" s="16"/>
    </row>
    <row r="449" ht="10.95" customHeight="true" customFormat="true" s="9">
      <c r="A449" s="16" t="s">
        <v>24</v>
      </c>
      <c r="B449" s="16"/>
      <c r="C449" s="16"/>
      <c r="D449" s="16"/>
      <c r="E449" s="16"/>
      <c r="F449" s="16"/>
      <c r="G449" s="17">
        <v>178.5000</v>
      </c>
      <c r="H449" s="17">
        <v>0</v>
      </c>
      <c r="I449" s="17">
        <v>0</v>
      </c>
      <c r="J449" s="17">
        <v>0</v>
      </c>
      <c r="K449" s="16"/>
      <c r="L449" s="16"/>
    </row>
    <row r="450" ht="10.95" customHeight="true" customFormat="true" s="9">
      <c r="A450" s="10" t="s">
        <v>25</v>
      </c>
      <c r="B450" s="10"/>
      <c r="C450" s="10"/>
      <c r="D450" s="10"/>
      <c r="E450" s="10"/>
      <c r="F450" s="10"/>
      <c r="G450" s="11">
        <v>178.5000</v>
      </c>
      <c r="H450" s="11">
        <v>0</v>
      </c>
      <c r="I450" s="11">
        <f ca="1">I447</f>
        <v>0</v>
      </c>
      <c r="J450" s="11">
        <v>0</v>
      </c>
      <c r="K450" s="10"/>
      <c r="L450" s="10"/>
    </row>
    <row r="451" ht="13.35" customHeight="true"/>
    <row r="452" ht="12.1" customHeight="true" customFormat="true" s="5">
      <c r="A452" s="8" t="s">
        <v>293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ht="10.95" customHeight="true" customFormat="true" s="9">
      <c r="A453" s="10" t="s">
        <v>16</v>
      </c>
      <c r="B453" s="10"/>
      <c r="C453" s="10"/>
      <c r="D453" s="10"/>
      <c r="E453" s="10"/>
      <c r="F453" s="10"/>
      <c r="G453" s="11">
        <v>0</v>
      </c>
      <c r="H453" s="11">
        <v>0</v>
      </c>
      <c r="I453" s="11">
        <f ca="1">(G453 - H453)</f>
        <v>0</v>
      </c>
      <c r="J453" s="11">
        <v>0</v>
      </c>
      <c r="K453" s="10"/>
      <c r="L453" s="10"/>
    </row>
    <row r="454" ht="10.95" customHeight="true" customFormat="true" s="9">
      <c r="A454" s="12">
        <v>45473</v>
      </c>
      <c r="B454" s="13" t="s">
        <v>294</v>
      </c>
      <c r="C454" s="13" t="s">
        <v>102</v>
      </c>
      <c r="D454" s="13" t="s">
        <v>19</v>
      </c>
      <c r="E454" s="13" t="s">
        <v>295</v>
      </c>
      <c r="F454" s="13" t="s">
        <v>21</v>
      </c>
      <c r="G454" s="14">
        <v>710.6300</v>
      </c>
      <c r="H454" s="14">
        <v>0</v>
      </c>
      <c r="I454" s="14">
        <f ca="1">((I453 + G454) - H454)</f>
        <v>0</v>
      </c>
      <c r="J454" s="14">
        <v>0</v>
      </c>
      <c r="K454" s="15">
        <v>0</v>
      </c>
      <c r="L454" s="13" t="s">
        <v>22</v>
      </c>
    </row>
    <row r="455" ht="10.95" customHeight="true" customFormat="true" s="9">
      <c r="A455" s="16" t="s">
        <v>296</v>
      </c>
      <c r="B455" s="16"/>
      <c r="C455" s="16"/>
      <c r="D455" s="16"/>
      <c r="E455" s="16"/>
      <c r="F455" s="16"/>
      <c r="G455" s="17">
        <f ca="1">G454</f>
        <v>0</v>
      </c>
      <c r="H455" s="17">
        <f ca="1">H454</f>
        <v>0</v>
      </c>
      <c r="I455" s="17">
        <f ca="1">I454</f>
        <v>0</v>
      </c>
      <c r="J455" s="17">
        <f ca="1">J454</f>
        <v>0</v>
      </c>
      <c r="K455" s="16"/>
      <c r="L455" s="16"/>
    </row>
    <row r="456" ht="10.95" customHeight="true" customFormat="true" s="9">
      <c r="A456" s="16" t="s">
        <v>24</v>
      </c>
      <c r="B456" s="16"/>
      <c r="C456" s="16"/>
      <c r="D456" s="16"/>
      <c r="E456" s="16"/>
      <c r="F456" s="16"/>
      <c r="G456" s="17">
        <v>710.6300</v>
      </c>
      <c r="H456" s="17">
        <v>0</v>
      </c>
      <c r="I456" s="17">
        <v>0</v>
      </c>
      <c r="J456" s="17">
        <v>0</v>
      </c>
      <c r="K456" s="16"/>
      <c r="L456" s="16"/>
    </row>
    <row r="457" ht="10.95" customHeight="true" customFormat="true" s="9">
      <c r="A457" s="10" t="s">
        <v>25</v>
      </c>
      <c r="B457" s="10"/>
      <c r="C457" s="10"/>
      <c r="D457" s="10"/>
      <c r="E457" s="10"/>
      <c r="F457" s="10"/>
      <c r="G457" s="11">
        <v>710.6300</v>
      </c>
      <c r="H457" s="11">
        <v>0</v>
      </c>
      <c r="I457" s="11">
        <f ca="1">I454</f>
        <v>0</v>
      </c>
      <c r="J457" s="11">
        <v>0</v>
      </c>
      <c r="K457" s="10"/>
      <c r="L457" s="10"/>
    </row>
    <row r="458" ht="13.35" customHeight="true"/>
    <row r="459" ht="12.1" customHeight="true" customFormat="true" s="5">
      <c r="A459" s="8" t="s">
        <v>297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ht="10.95" customHeight="true" customFormat="true" s="9">
      <c r="A460" s="10" t="s">
        <v>16</v>
      </c>
      <c r="B460" s="10"/>
      <c r="C460" s="10"/>
      <c r="D460" s="10"/>
      <c r="E460" s="10"/>
      <c r="F460" s="10"/>
      <c r="G460" s="11">
        <v>0</v>
      </c>
      <c r="H460" s="11">
        <v>0</v>
      </c>
      <c r="I460" s="11">
        <f ca="1">(G460 - H460)</f>
        <v>0</v>
      </c>
      <c r="J460" s="11">
        <v>0</v>
      </c>
      <c r="K460" s="10"/>
      <c r="L460" s="10"/>
    </row>
    <row r="461" ht="10.95" customHeight="true" customFormat="true" s="9">
      <c r="A461" s="12">
        <v>45473</v>
      </c>
      <c r="B461" s="13" t="s">
        <v>298</v>
      </c>
      <c r="C461" s="13" t="s">
        <v>102</v>
      </c>
      <c r="D461" s="13" t="s">
        <v>19</v>
      </c>
      <c r="E461" s="13" t="s">
        <v>299</v>
      </c>
      <c r="F461" s="13" t="s">
        <v>21</v>
      </c>
      <c r="G461" s="14">
        <v>0</v>
      </c>
      <c r="H461" s="14">
        <v>79.9900</v>
      </c>
      <c r="I461" s="14">
        <f ca="1">((I460 + G461) - H461)</f>
        <v>0</v>
      </c>
      <c r="J461" s="14">
        <v>0</v>
      </c>
      <c r="K461" s="15">
        <v>0</v>
      </c>
      <c r="L461" s="13" t="s">
        <v>22</v>
      </c>
    </row>
    <row r="462" ht="10.95" customHeight="true" customFormat="true" s="9">
      <c r="A462" s="16" t="s">
        <v>300</v>
      </c>
      <c r="B462" s="16"/>
      <c r="C462" s="16"/>
      <c r="D462" s="16"/>
      <c r="E462" s="16"/>
      <c r="F462" s="16"/>
      <c r="G462" s="17">
        <f ca="1">G461</f>
        <v>0</v>
      </c>
      <c r="H462" s="17">
        <f ca="1">H461</f>
        <v>0</v>
      </c>
      <c r="I462" s="17">
        <f ca="1">I461</f>
        <v>0</v>
      </c>
      <c r="J462" s="17">
        <f ca="1">J461</f>
        <v>0</v>
      </c>
      <c r="K462" s="16"/>
      <c r="L462" s="16"/>
    </row>
    <row r="463" ht="10.95" customHeight="true" customFormat="true" s="9">
      <c r="A463" s="16" t="s">
        <v>24</v>
      </c>
      <c r="B463" s="16"/>
      <c r="C463" s="16"/>
      <c r="D463" s="16"/>
      <c r="E463" s="16"/>
      <c r="F463" s="16"/>
      <c r="G463" s="17">
        <v>0</v>
      </c>
      <c r="H463" s="17">
        <v>79.9900</v>
      </c>
      <c r="I463" s="17">
        <v>0</v>
      </c>
      <c r="J463" s="17">
        <v>0</v>
      </c>
      <c r="K463" s="16"/>
      <c r="L463" s="16"/>
    </row>
    <row r="464" ht="10.95" customHeight="true" customFormat="true" s="9">
      <c r="A464" s="10" t="s">
        <v>25</v>
      </c>
      <c r="B464" s="10"/>
      <c r="C464" s="10"/>
      <c r="D464" s="10"/>
      <c r="E464" s="10"/>
      <c r="F464" s="10"/>
      <c r="G464" s="11">
        <v>0</v>
      </c>
      <c r="H464" s="11">
        <v>79.9900</v>
      </c>
      <c r="I464" s="11">
        <f ca="1">I461</f>
        <v>0</v>
      </c>
      <c r="J464" s="11">
        <v>0</v>
      </c>
      <c r="K464" s="10"/>
      <c r="L464" s="10"/>
    </row>
    <row r="465" ht="13.35" customHeight="true"/>
    <row r="466" ht="12.1" customHeight="true" customFormat="true" s="5">
      <c r="A466" s="8" t="s">
        <v>301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ht="10.95" customHeight="true" customFormat="true" s="9">
      <c r="A467" s="10" t="s">
        <v>16</v>
      </c>
      <c r="B467" s="10"/>
      <c r="C467" s="10"/>
      <c r="D467" s="10"/>
      <c r="E467" s="10"/>
      <c r="F467" s="10"/>
      <c r="G467" s="11">
        <v>0</v>
      </c>
      <c r="H467" s="11">
        <v>0</v>
      </c>
      <c r="I467" s="11">
        <f ca="1">(G467 - H467)</f>
        <v>0</v>
      </c>
      <c r="J467" s="11">
        <v>0</v>
      </c>
      <c r="K467" s="10"/>
      <c r="L467" s="10"/>
    </row>
    <row r="468" ht="10.95" customHeight="true" customFormat="true" s="9">
      <c r="A468" s="12">
        <v>45473</v>
      </c>
      <c r="B468" s="13" t="s">
        <v>302</v>
      </c>
      <c r="C468" s="13" t="s">
        <v>102</v>
      </c>
      <c r="D468" s="13" t="s">
        <v>19</v>
      </c>
      <c r="E468" s="13" t="s">
        <v>303</v>
      </c>
      <c r="F468" s="13" t="s">
        <v>21</v>
      </c>
      <c r="G468" s="14">
        <v>646.6700</v>
      </c>
      <c r="H468" s="14">
        <v>0</v>
      </c>
      <c r="I468" s="14">
        <f ca="1">((I467 + G468) - H468)</f>
        <v>0</v>
      </c>
      <c r="J468" s="14">
        <v>0</v>
      </c>
      <c r="K468" s="15">
        <v>0</v>
      </c>
      <c r="L468" s="13" t="s">
        <v>22</v>
      </c>
    </row>
    <row r="469" ht="10.95" customHeight="true" customFormat="true" s="9">
      <c r="A469" s="16" t="s">
        <v>304</v>
      </c>
      <c r="B469" s="16"/>
      <c r="C469" s="16"/>
      <c r="D469" s="16"/>
      <c r="E469" s="16"/>
      <c r="F469" s="16"/>
      <c r="G469" s="17">
        <f ca="1">G468</f>
        <v>0</v>
      </c>
      <c r="H469" s="17">
        <f ca="1">H468</f>
        <v>0</v>
      </c>
      <c r="I469" s="17">
        <f ca="1">I468</f>
        <v>0</v>
      </c>
      <c r="J469" s="17">
        <f ca="1">J468</f>
        <v>0</v>
      </c>
      <c r="K469" s="16"/>
      <c r="L469" s="16"/>
    </row>
    <row r="470" ht="10.95" customHeight="true" customFormat="true" s="9">
      <c r="A470" s="16" t="s">
        <v>24</v>
      </c>
      <c r="B470" s="16"/>
      <c r="C470" s="16"/>
      <c r="D470" s="16"/>
      <c r="E470" s="16"/>
      <c r="F470" s="16"/>
      <c r="G470" s="17">
        <v>646.6700</v>
      </c>
      <c r="H470" s="17">
        <v>0</v>
      </c>
      <c r="I470" s="17">
        <v>0</v>
      </c>
      <c r="J470" s="17">
        <v>0</v>
      </c>
      <c r="K470" s="16"/>
      <c r="L470" s="16"/>
    </row>
    <row r="471" ht="10.95" customHeight="true" customFormat="true" s="9">
      <c r="A471" s="10" t="s">
        <v>25</v>
      </c>
      <c r="B471" s="10"/>
      <c r="C471" s="10"/>
      <c r="D471" s="10"/>
      <c r="E471" s="10"/>
      <c r="F471" s="10"/>
      <c r="G471" s="11">
        <v>646.6700</v>
      </c>
      <c r="H471" s="11">
        <v>0</v>
      </c>
      <c r="I471" s="11">
        <f ca="1">I468</f>
        <v>0</v>
      </c>
      <c r="J471" s="11">
        <v>0</v>
      </c>
      <c r="K471" s="10"/>
      <c r="L471" s="10"/>
    </row>
    <row r="472" ht="13.35" customHeight="true"/>
    <row r="473" ht="12.1" customHeight="true" customFormat="true" s="5">
      <c r="A473" s="8" t="s">
        <v>305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ht="10.95" customHeight="true" customFormat="true" s="9">
      <c r="A474" s="10" t="s">
        <v>16</v>
      </c>
      <c r="B474" s="10"/>
      <c r="C474" s="10"/>
      <c r="D474" s="10"/>
      <c r="E474" s="10"/>
      <c r="F474" s="10"/>
      <c r="G474" s="11">
        <v>0</v>
      </c>
      <c r="H474" s="11">
        <v>0</v>
      </c>
      <c r="I474" s="11">
        <f ca="1">(G474 - H474)</f>
        <v>0</v>
      </c>
      <c r="J474" s="11">
        <v>0</v>
      </c>
      <c r="K474" s="10"/>
      <c r="L474" s="10"/>
    </row>
    <row r="475" ht="10.95" customHeight="true" customFormat="true" s="9">
      <c r="A475" s="12">
        <v>45473</v>
      </c>
      <c r="B475" s="13" t="s">
        <v>306</v>
      </c>
      <c r="C475" s="13" t="s">
        <v>102</v>
      </c>
      <c r="D475" s="13" t="s">
        <v>19</v>
      </c>
      <c r="E475" s="13" t="s">
        <v>307</v>
      </c>
      <c r="F475" s="13" t="s">
        <v>21</v>
      </c>
      <c r="G475" s="14">
        <v>10972.4000</v>
      </c>
      <c r="H475" s="14">
        <v>0</v>
      </c>
      <c r="I475" s="14">
        <f ca="1">((I474 + G475) - H475)</f>
        <v>0</v>
      </c>
      <c r="J475" s="14">
        <v>0</v>
      </c>
      <c r="K475" s="15">
        <v>0</v>
      </c>
      <c r="L475" s="13" t="s">
        <v>22</v>
      </c>
    </row>
    <row r="476" ht="10.95" customHeight="true" customFormat="true" s="9">
      <c r="A476" s="16" t="s">
        <v>308</v>
      </c>
      <c r="B476" s="16"/>
      <c r="C476" s="16"/>
      <c r="D476" s="16"/>
      <c r="E476" s="16"/>
      <c r="F476" s="16"/>
      <c r="G476" s="17">
        <f ca="1">G475</f>
        <v>0</v>
      </c>
      <c r="H476" s="17">
        <f ca="1">H475</f>
        <v>0</v>
      </c>
      <c r="I476" s="17">
        <f ca="1">I475</f>
        <v>0</v>
      </c>
      <c r="J476" s="17">
        <f ca="1">J475</f>
        <v>0</v>
      </c>
      <c r="K476" s="16"/>
      <c r="L476" s="16"/>
    </row>
    <row r="477" ht="10.95" customHeight="true" customFormat="true" s="9">
      <c r="A477" s="16" t="s">
        <v>24</v>
      </c>
      <c r="B477" s="16"/>
      <c r="C477" s="16"/>
      <c r="D477" s="16"/>
      <c r="E477" s="16"/>
      <c r="F477" s="16"/>
      <c r="G477" s="17">
        <v>10972.4000</v>
      </c>
      <c r="H477" s="17">
        <v>0</v>
      </c>
      <c r="I477" s="17">
        <v>0</v>
      </c>
      <c r="J477" s="17">
        <v>0</v>
      </c>
      <c r="K477" s="16"/>
      <c r="L477" s="16"/>
    </row>
    <row r="478" ht="10.95" customHeight="true" customFormat="true" s="9">
      <c r="A478" s="10" t="s">
        <v>25</v>
      </c>
      <c r="B478" s="10"/>
      <c r="C478" s="10"/>
      <c r="D478" s="10"/>
      <c r="E478" s="10"/>
      <c r="F478" s="10"/>
      <c r="G478" s="11">
        <v>10972.4000</v>
      </c>
      <c r="H478" s="11">
        <v>0</v>
      </c>
      <c r="I478" s="11">
        <f ca="1">I475</f>
        <v>0</v>
      </c>
      <c r="J478" s="11">
        <v>0</v>
      </c>
      <c r="K478" s="10"/>
      <c r="L478" s="10"/>
    </row>
    <row r="479" ht="13.35" customHeight="true"/>
    <row r="480" ht="12.1" customHeight="true" customFormat="true" s="5">
      <c r="A480" s="8" t="s">
        <v>309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ht="10.95" customHeight="true" customFormat="true" s="9">
      <c r="A481" s="10" t="s">
        <v>16</v>
      </c>
      <c r="B481" s="10"/>
      <c r="C481" s="10"/>
      <c r="D481" s="10"/>
      <c r="E481" s="10"/>
      <c r="F481" s="10"/>
      <c r="G481" s="11">
        <v>0</v>
      </c>
      <c r="H481" s="11">
        <v>0</v>
      </c>
      <c r="I481" s="11">
        <f ca="1">(G481 - H481)</f>
        <v>0</v>
      </c>
      <c r="J481" s="11">
        <v>0</v>
      </c>
      <c r="K481" s="10"/>
      <c r="L481" s="10"/>
    </row>
    <row r="482" ht="10.95" customHeight="true" customFormat="true" s="9">
      <c r="A482" s="12">
        <v>45473</v>
      </c>
      <c r="B482" s="13" t="s">
        <v>310</v>
      </c>
      <c r="C482" s="13" t="s">
        <v>102</v>
      </c>
      <c r="D482" s="13" t="s">
        <v>19</v>
      </c>
      <c r="E482" s="13" t="s">
        <v>311</v>
      </c>
      <c r="F482" s="13" t="s">
        <v>21</v>
      </c>
      <c r="G482" s="14">
        <v>1874.3900</v>
      </c>
      <c r="H482" s="14">
        <v>0</v>
      </c>
      <c r="I482" s="14">
        <f ca="1">((I481 + G482) - H482)</f>
        <v>0</v>
      </c>
      <c r="J482" s="14">
        <v>0</v>
      </c>
      <c r="K482" s="15">
        <v>0</v>
      </c>
      <c r="L482" s="13" t="s">
        <v>22</v>
      </c>
    </row>
    <row r="483" ht="10.95" customHeight="true" customFormat="true" s="9">
      <c r="A483" s="16" t="s">
        <v>312</v>
      </c>
      <c r="B483" s="16"/>
      <c r="C483" s="16"/>
      <c r="D483" s="16"/>
      <c r="E483" s="16"/>
      <c r="F483" s="16"/>
      <c r="G483" s="17">
        <f ca="1">G482</f>
        <v>0</v>
      </c>
      <c r="H483" s="17">
        <f ca="1">H482</f>
        <v>0</v>
      </c>
      <c r="I483" s="17">
        <f ca="1">I482</f>
        <v>0</v>
      </c>
      <c r="J483" s="17">
        <f ca="1">J482</f>
        <v>0</v>
      </c>
      <c r="K483" s="16"/>
      <c r="L483" s="16"/>
    </row>
    <row r="484" ht="10.95" customHeight="true" customFormat="true" s="9">
      <c r="A484" s="16" t="s">
        <v>24</v>
      </c>
      <c r="B484" s="16"/>
      <c r="C484" s="16"/>
      <c r="D484" s="16"/>
      <c r="E484" s="16"/>
      <c r="F484" s="16"/>
      <c r="G484" s="17">
        <v>1874.3900</v>
      </c>
      <c r="H484" s="17">
        <v>0</v>
      </c>
      <c r="I484" s="17">
        <v>0</v>
      </c>
      <c r="J484" s="17">
        <v>0</v>
      </c>
      <c r="K484" s="16"/>
      <c r="L484" s="16"/>
    </row>
    <row r="485" ht="10.95" customHeight="true" customFormat="true" s="9">
      <c r="A485" s="10" t="s">
        <v>25</v>
      </c>
      <c r="B485" s="10"/>
      <c r="C485" s="10"/>
      <c r="D485" s="10"/>
      <c r="E485" s="10"/>
      <c r="F485" s="10"/>
      <c r="G485" s="11">
        <v>1874.3900</v>
      </c>
      <c r="H485" s="11">
        <v>0</v>
      </c>
      <c r="I485" s="11">
        <f ca="1">I482</f>
        <v>0</v>
      </c>
      <c r="J485" s="11">
        <v>0</v>
      </c>
      <c r="K485" s="10"/>
      <c r="L485" s="10"/>
    </row>
    <row r="486" ht="13.35" customHeight="true"/>
    <row r="487" ht="12.1" customHeight="true" customFormat="true" s="5">
      <c r="A487" s="8" t="s">
        <v>313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ht="10.95" customHeight="true" customFormat="true" s="9">
      <c r="A488" s="10" t="s">
        <v>16</v>
      </c>
      <c r="B488" s="10"/>
      <c r="C488" s="10"/>
      <c r="D488" s="10"/>
      <c r="E488" s="10"/>
      <c r="F488" s="10"/>
      <c r="G488" s="11">
        <v>0</v>
      </c>
      <c r="H488" s="11">
        <v>0</v>
      </c>
      <c r="I488" s="11">
        <f ca="1">(G488 - H488)</f>
        <v>0</v>
      </c>
      <c r="J488" s="11">
        <v>0</v>
      </c>
      <c r="K488" s="10"/>
      <c r="L488" s="10"/>
    </row>
    <row r="489" ht="10.95" customHeight="true" customFormat="true" s="9">
      <c r="A489" s="12">
        <v>45473</v>
      </c>
      <c r="B489" s="13" t="s">
        <v>314</v>
      </c>
      <c r="C489" s="13" t="s">
        <v>102</v>
      </c>
      <c r="D489" s="13" t="s">
        <v>19</v>
      </c>
      <c r="E489" s="13" t="s">
        <v>315</v>
      </c>
      <c r="F489" s="13" t="s">
        <v>21</v>
      </c>
      <c r="G489" s="14">
        <v>8220.9300</v>
      </c>
      <c r="H489" s="14">
        <v>0</v>
      </c>
      <c r="I489" s="14">
        <f ca="1">((I488 + G489) - H489)</f>
        <v>0</v>
      </c>
      <c r="J489" s="14">
        <v>0</v>
      </c>
      <c r="K489" s="15">
        <v>0</v>
      </c>
      <c r="L489" s="13" t="s">
        <v>22</v>
      </c>
    </row>
    <row r="490" ht="10.95" customHeight="true" customFormat="true" s="9">
      <c r="A490" s="18">
        <v>45473</v>
      </c>
      <c r="B490" s="19" t="s">
        <v>314</v>
      </c>
      <c r="C490" s="19" t="s">
        <v>102</v>
      </c>
      <c r="D490" s="19" t="s">
        <v>19</v>
      </c>
      <c r="E490" s="19" t="s">
        <v>316</v>
      </c>
      <c r="F490" s="19" t="s">
        <v>21</v>
      </c>
      <c r="G490" s="20">
        <v>126.3600</v>
      </c>
      <c r="H490" s="20">
        <v>0</v>
      </c>
      <c r="I490" s="20">
        <f ca="1">((I489 + G490) - H490)</f>
        <v>0</v>
      </c>
      <c r="J490" s="20">
        <v>0</v>
      </c>
      <c r="K490" s="21">
        <v>0</v>
      </c>
      <c r="L490" s="19" t="s">
        <v>22</v>
      </c>
    </row>
    <row r="491" ht="10.95" customHeight="true" customFormat="true" s="9">
      <c r="A491" s="16" t="s">
        <v>317</v>
      </c>
      <c r="B491" s="16"/>
      <c r="C491" s="16"/>
      <c r="D491" s="16"/>
      <c r="E491" s="16"/>
      <c r="F491" s="16"/>
      <c r="G491" s="17">
        <f ca="1">SUM(G489:G490)</f>
        <v>0</v>
      </c>
      <c r="H491" s="17">
        <f ca="1">SUM(H489:H490)</f>
        <v>0</v>
      </c>
      <c r="I491" s="17">
        <f ca="1">I490</f>
        <v>0</v>
      </c>
      <c r="J491" s="17">
        <f ca="1">SUM(J489:J490)</f>
        <v>0</v>
      </c>
      <c r="K491" s="16"/>
      <c r="L491" s="16"/>
    </row>
    <row r="492" ht="10.95" customHeight="true" customFormat="true" s="9">
      <c r="A492" s="16" t="s">
        <v>24</v>
      </c>
      <c r="B492" s="16"/>
      <c r="C492" s="16"/>
      <c r="D492" s="16"/>
      <c r="E492" s="16"/>
      <c r="F492" s="16"/>
      <c r="G492" s="17">
        <v>8347.2900</v>
      </c>
      <c r="H492" s="17">
        <v>0</v>
      </c>
      <c r="I492" s="17">
        <v>0</v>
      </c>
      <c r="J492" s="17">
        <v>0</v>
      </c>
      <c r="K492" s="16"/>
      <c r="L492" s="16"/>
    </row>
    <row r="493" ht="10.95" customHeight="true" customFormat="true" s="9">
      <c r="A493" s="10" t="s">
        <v>25</v>
      </c>
      <c r="B493" s="10"/>
      <c r="C493" s="10"/>
      <c r="D493" s="10"/>
      <c r="E493" s="10"/>
      <c r="F493" s="10"/>
      <c r="G493" s="11">
        <v>8347.2900</v>
      </c>
      <c r="H493" s="11">
        <v>0</v>
      </c>
      <c r="I493" s="11">
        <f ca="1">I490</f>
        <v>0</v>
      </c>
      <c r="J493" s="11">
        <v>0</v>
      </c>
      <c r="K493" s="10"/>
      <c r="L493" s="10"/>
    </row>
    <row r="494" ht="13.35" customHeight="true"/>
    <row r="495" ht="12.1" customHeight="true" customFormat="true" s="5">
      <c r="A495" s="8" t="s">
        <v>318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ht="10.95" customHeight="true" customFormat="true" s="9">
      <c r="A496" s="10" t="s">
        <v>16</v>
      </c>
      <c r="B496" s="10"/>
      <c r="C496" s="10"/>
      <c r="D496" s="10"/>
      <c r="E496" s="10"/>
      <c r="F496" s="10"/>
      <c r="G496" s="11">
        <v>53065.4700</v>
      </c>
      <c r="H496" s="11">
        <v>0</v>
      </c>
      <c r="I496" s="11">
        <f ca="1">(G496 - H496)</f>
        <v>0</v>
      </c>
      <c r="J496" s="11">
        <v>0</v>
      </c>
      <c r="K496" s="10"/>
      <c r="L496" s="10"/>
    </row>
    <row r="497" ht="10.95" customHeight="true" customFormat="true" s="9">
      <c r="A497" s="12">
        <v>45473</v>
      </c>
      <c r="B497" s="13" t="s">
        <v>319</v>
      </c>
      <c r="C497" s="13" t="s">
        <v>28</v>
      </c>
      <c r="D497" s="13" t="s">
        <v>19</v>
      </c>
      <c r="E497" s="13" t="s">
        <v>320</v>
      </c>
      <c r="F497" s="13" t="s">
        <v>21</v>
      </c>
      <c r="G497" s="14">
        <v>0</v>
      </c>
      <c r="H497" s="14">
        <v>15185.1800</v>
      </c>
      <c r="I497" s="14">
        <f ca="1">((I496 + G497) - H497)</f>
        <v>0</v>
      </c>
      <c r="J497" s="14">
        <v>0</v>
      </c>
      <c r="K497" s="15">
        <v>0</v>
      </c>
      <c r="L497" s="13" t="s">
        <v>22</v>
      </c>
    </row>
    <row r="498" ht="10.95" customHeight="true" customFormat="true" s="9">
      <c r="A498" s="16" t="s">
        <v>321</v>
      </c>
      <c r="B498" s="16"/>
      <c r="C498" s="16"/>
      <c r="D498" s="16"/>
      <c r="E498" s="16"/>
      <c r="F498" s="16"/>
      <c r="G498" s="17">
        <f ca="1">G497</f>
        <v>0</v>
      </c>
      <c r="H498" s="17">
        <f ca="1">H497</f>
        <v>0</v>
      </c>
      <c r="I498" s="17">
        <f ca="1">I497</f>
        <v>0</v>
      </c>
      <c r="J498" s="17">
        <f ca="1">J497</f>
        <v>0</v>
      </c>
      <c r="K498" s="16"/>
      <c r="L498" s="16"/>
    </row>
    <row r="499" ht="10.95" customHeight="true" customFormat="true" s="9">
      <c r="A499" s="16" t="s">
        <v>24</v>
      </c>
      <c r="B499" s="16"/>
      <c r="C499" s="16"/>
      <c r="D499" s="16"/>
      <c r="E499" s="16"/>
      <c r="F499" s="16"/>
      <c r="G499" s="17">
        <v>0</v>
      </c>
      <c r="H499" s="17">
        <v>15185.1800</v>
      </c>
      <c r="I499" s="17">
        <v>0</v>
      </c>
      <c r="J499" s="17">
        <v>0</v>
      </c>
      <c r="K499" s="16"/>
      <c r="L499" s="16"/>
    </row>
    <row r="500" ht="10.95" customHeight="true" customFormat="true" s="9">
      <c r="A500" s="10" t="s">
        <v>25</v>
      </c>
      <c r="B500" s="10"/>
      <c r="C500" s="10"/>
      <c r="D500" s="10"/>
      <c r="E500" s="10"/>
      <c r="F500" s="10"/>
      <c r="G500" s="11">
        <v>37880.2900</v>
      </c>
      <c r="H500" s="11">
        <v>0</v>
      </c>
      <c r="I500" s="11">
        <f ca="1">I497</f>
        <v>0</v>
      </c>
      <c r="J500" s="11">
        <v>0</v>
      </c>
      <c r="K500" s="10"/>
      <c r="L500" s="10"/>
    </row>
    <row r="501" ht="13.35" customHeight="true"/>
    <row r="502" ht="12.1" customHeight="true" customFormat="true" s="5">
      <c r="A502" s="8" t="s">
        <v>322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ht="10.95" customHeight="true" customFormat="true" s="9">
      <c r="A503" s="10" t="s">
        <v>16</v>
      </c>
      <c r="B503" s="10"/>
      <c r="C503" s="10"/>
      <c r="D503" s="10"/>
      <c r="E503" s="10"/>
      <c r="F503" s="10"/>
      <c r="G503" s="11">
        <v>0</v>
      </c>
      <c r="H503" s="11">
        <v>0</v>
      </c>
      <c r="I503" s="11">
        <f ca="1">(G503 - H503)</f>
        <v>0</v>
      </c>
      <c r="J503" s="11">
        <v>0</v>
      </c>
      <c r="K503" s="10"/>
      <c r="L503" s="10"/>
    </row>
    <row r="504" ht="10.95" customHeight="true" customFormat="true" s="9">
      <c r="A504" s="12">
        <v>45473</v>
      </c>
      <c r="B504" s="13" t="s">
        <v>323</v>
      </c>
      <c r="C504" s="13" t="s">
        <v>45</v>
      </c>
      <c r="D504" s="13" t="s">
        <v>19</v>
      </c>
      <c r="E504" s="13" t="s">
        <v>324</v>
      </c>
      <c r="F504" s="13" t="s">
        <v>21</v>
      </c>
      <c r="G504" s="14">
        <v>49289.0000</v>
      </c>
      <c r="H504" s="14">
        <v>0</v>
      </c>
      <c r="I504" s="14">
        <f ca="1">((I503 + G504) - H504)</f>
        <v>0</v>
      </c>
      <c r="J504" s="14">
        <v>0</v>
      </c>
      <c r="K504" s="15">
        <v>0</v>
      </c>
      <c r="L504" s="13" t="s">
        <v>22</v>
      </c>
    </row>
    <row r="505" ht="10.95" customHeight="true" customFormat="true" s="9">
      <c r="A505" s="18">
        <v>45473</v>
      </c>
      <c r="B505" s="19" t="s">
        <v>323</v>
      </c>
      <c r="C505" s="19" t="s">
        <v>45</v>
      </c>
      <c r="D505" s="19" t="s">
        <v>19</v>
      </c>
      <c r="E505" s="19" t="s">
        <v>325</v>
      </c>
      <c r="F505" s="19" t="s">
        <v>326</v>
      </c>
      <c r="G505" s="20">
        <v>0</v>
      </c>
      <c r="H505" s="20">
        <v>49289.0000</v>
      </c>
      <c r="I505" s="20">
        <f ca="1">((I504 + G505) - H505)</f>
        <v>0</v>
      </c>
      <c r="J505" s="20">
        <v>0</v>
      </c>
      <c r="K505" s="21">
        <v>0</v>
      </c>
      <c r="L505" s="19" t="s">
        <v>22</v>
      </c>
    </row>
    <row r="506" ht="10.95" customHeight="true" customFormat="true" s="9">
      <c r="A506" s="16" t="s">
        <v>327</v>
      </c>
      <c r="B506" s="16"/>
      <c r="C506" s="16"/>
      <c r="D506" s="16"/>
      <c r="E506" s="16"/>
      <c r="F506" s="16"/>
      <c r="G506" s="17">
        <f ca="1">SUM(G504:G505)</f>
        <v>0</v>
      </c>
      <c r="H506" s="17">
        <f ca="1">SUM(H504:H505)</f>
        <v>0</v>
      </c>
      <c r="I506" s="17">
        <f ca="1">I505</f>
        <v>0</v>
      </c>
      <c r="J506" s="17">
        <f ca="1">SUM(J504:J505)</f>
        <v>0</v>
      </c>
      <c r="K506" s="16"/>
      <c r="L506" s="16"/>
    </row>
    <row r="507" ht="10.95" customHeight="true" customFormat="true" s="9">
      <c r="A507" s="16" t="s">
        <v>24</v>
      </c>
      <c r="B507" s="16"/>
      <c r="C507" s="16"/>
      <c r="D507" s="16"/>
      <c r="E507" s="16"/>
      <c r="F507" s="16"/>
      <c r="G507" s="17">
        <v>0</v>
      </c>
      <c r="H507" s="17">
        <v>0</v>
      </c>
      <c r="I507" s="17">
        <v>0</v>
      </c>
      <c r="J507" s="17">
        <v>0</v>
      </c>
      <c r="K507" s="16"/>
      <c r="L507" s="16"/>
    </row>
    <row r="508" ht="10.95" customHeight="true" customFormat="true" s="9">
      <c r="A508" s="10" t="s">
        <v>25</v>
      </c>
      <c r="B508" s="10"/>
      <c r="C508" s="10"/>
      <c r="D508" s="10"/>
      <c r="E508" s="10"/>
      <c r="F508" s="10"/>
      <c r="G508" s="11">
        <v>0</v>
      </c>
      <c r="H508" s="11">
        <v>0</v>
      </c>
      <c r="I508" s="11">
        <f ca="1">I505</f>
        <v>0</v>
      </c>
      <c r="J508" s="11">
        <v>0</v>
      </c>
      <c r="K508" s="10"/>
      <c r="L508" s="10"/>
    </row>
    <row r="509" ht="13.35" customHeight="true"/>
    <row r="510" ht="12.1" customHeight="true" customFormat="true" s="5">
      <c r="A510" s="8" t="s">
        <v>328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ht="10.95" customHeight="true" customFormat="true" s="9">
      <c r="A511" s="10" t="s">
        <v>16</v>
      </c>
      <c r="B511" s="10"/>
      <c r="C511" s="10"/>
      <c r="D511" s="10"/>
      <c r="E511" s="10"/>
      <c r="F511" s="10"/>
      <c r="G511" s="11">
        <v>0</v>
      </c>
      <c r="H511" s="11">
        <v>0</v>
      </c>
      <c r="I511" s="11">
        <f ca="1">(G511 - H511)</f>
        <v>0</v>
      </c>
      <c r="J511" s="11">
        <v>0</v>
      </c>
      <c r="K511" s="10"/>
      <c r="L511" s="10"/>
    </row>
    <row r="512" ht="10.95" customHeight="true" customFormat="true" s="9">
      <c r="A512" s="12">
        <v>45473</v>
      </c>
      <c r="B512" s="13" t="s">
        <v>329</v>
      </c>
      <c r="C512" s="13" t="s">
        <v>330</v>
      </c>
      <c r="D512" s="13" t="s">
        <v>19</v>
      </c>
      <c r="E512" s="13" t="s">
        <v>331</v>
      </c>
      <c r="F512" s="13" t="s">
        <v>54</v>
      </c>
      <c r="G512" s="14">
        <v>824.2700</v>
      </c>
      <c r="H512" s="14">
        <v>0</v>
      </c>
      <c r="I512" s="14">
        <f ca="1">((I511 + G512) - H512)</f>
        <v>0</v>
      </c>
      <c r="J512" s="14">
        <v>0</v>
      </c>
      <c r="K512" s="15">
        <v>0</v>
      </c>
      <c r="L512" s="13" t="s">
        <v>22</v>
      </c>
    </row>
    <row r="513" ht="10.95" customHeight="true" customFormat="true" s="9">
      <c r="A513" s="16" t="s">
        <v>332</v>
      </c>
      <c r="B513" s="16"/>
      <c r="C513" s="16"/>
      <c r="D513" s="16"/>
      <c r="E513" s="16"/>
      <c r="F513" s="16"/>
      <c r="G513" s="17">
        <f ca="1">G512</f>
        <v>0</v>
      </c>
      <c r="H513" s="17">
        <f ca="1">H512</f>
        <v>0</v>
      </c>
      <c r="I513" s="17">
        <f ca="1">I512</f>
        <v>0</v>
      </c>
      <c r="J513" s="17">
        <f ca="1">J512</f>
        <v>0</v>
      </c>
      <c r="K513" s="16"/>
      <c r="L513" s="16"/>
    </row>
    <row r="514" ht="10.95" customHeight="true" customFormat="true" s="9">
      <c r="A514" s="16" t="s">
        <v>24</v>
      </c>
      <c r="B514" s="16"/>
      <c r="C514" s="16"/>
      <c r="D514" s="16"/>
      <c r="E514" s="16"/>
      <c r="F514" s="16"/>
      <c r="G514" s="17">
        <v>824.2700</v>
      </c>
      <c r="H514" s="17">
        <v>0</v>
      </c>
      <c r="I514" s="17">
        <v>0</v>
      </c>
      <c r="J514" s="17">
        <v>0</v>
      </c>
      <c r="K514" s="16"/>
      <c r="L514" s="16"/>
    </row>
    <row r="515" ht="10.95" customHeight="true" customFormat="true" s="9">
      <c r="A515" s="10" t="s">
        <v>25</v>
      </c>
      <c r="B515" s="10"/>
      <c r="C515" s="10"/>
      <c r="D515" s="10"/>
      <c r="E515" s="10"/>
      <c r="F515" s="10"/>
      <c r="G515" s="11">
        <v>824.2700</v>
      </c>
      <c r="H515" s="11">
        <v>0</v>
      </c>
      <c r="I515" s="11">
        <f ca="1">I512</f>
        <v>0</v>
      </c>
      <c r="J515" s="11">
        <v>0</v>
      </c>
      <c r="K515" s="10"/>
      <c r="L515" s="10"/>
    </row>
    <row r="516" ht="13.35" customHeight="true"/>
    <row r="517" ht="12.1" customHeight="true" customFormat="true" s="5">
      <c r="A517" s="8" t="s">
        <v>333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ht="10.95" customHeight="true" customFormat="true" s="9">
      <c r="A518" s="10" t="s">
        <v>16</v>
      </c>
      <c r="B518" s="10"/>
      <c r="C518" s="10"/>
      <c r="D518" s="10"/>
      <c r="E518" s="10"/>
      <c r="F518" s="10"/>
      <c r="G518" s="11">
        <v>0</v>
      </c>
      <c r="H518" s="11">
        <v>0</v>
      </c>
      <c r="I518" s="11">
        <f ca="1">(G518 - H518)</f>
        <v>0</v>
      </c>
      <c r="J518" s="11">
        <v>0</v>
      </c>
      <c r="K518" s="10"/>
      <c r="L518" s="10"/>
    </row>
    <row r="519" ht="10.95" customHeight="true" customFormat="true" s="9">
      <c r="A519" s="12">
        <v>45473</v>
      </c>
      <c r="B519" s="13" t="s">
        <v>334</v>
      </c>
      <c r="C519" s="13" t="s">
        <v>330</v>
      </c>
      <c r="D519" s="13" t="s">
        <v>19</v>
      </c>
      <c r="E519" s="13" t="s">
        <v>215</v>
      </c>
      <c r="F519" s="13" t="s">
        <v>216</v>
      </c>
      <c r="G519" s="14">
        <v>0</v>
      </c>
      <c r="H519" s="14">
        <v>252.2400</v>
      </c>
      <c r="I519" s="14">
        <f ca="1">((I518 + G519) - H519)</f>
        <v>0</v>
      </c>
      <c r="J519" s="14">
        <v>0</v>
      </c>
      <c r="K519" s="15">
        <v>0</v>
      </c>
      <c r="L519" s="13" t="s">
        <v>22</v>
      </c>
    </row>
    <row r="520" ht="10.95" customHeight="true" customFormat="true" s="9">
      <c r="A520" s="16" t="s">
        <v>335</v>
      </c>
      <c r="B520" s="16"/>
      <c r="C520" s="16"/>
      <c r="D520" s="16"/>
      <c r="E520" s="16"/>
      <c r="F520" s="16"/>
      <c r="G520" s="17">
        <f ca="1">G519</f>
        <v>0</v>
      </c>
      <c r="H520" s="17">
        <f ca="1">H519</f>
        <v>0</v>
      </c>
      <c r="I520" s="17">
        <f ca="1">I519</f>
        <v>0</v>
      </c>
      <c r="J520" s="17">
        <f ca="1">J519</f>
        <v>0</v>
      </c>
      <c r="K520" s="16"/>
      <c r="L520" s="16"/>
    </row>
    <row r="521" ht="10.95" customHeight="true" customFormat="true" s="9">
      <c r="A521" s="16" t="s">
        <v>24</v>
      </c>
      <c r="B521" s="16"/>
      <c r="C521" s="16"/>
      <c r="D521" s="16"/>
      <c r="E521" s="16"/>
      <c r="F521" s="16"/>
      <c r="G521" s="17">
        <v>0</v>
      </c>
      <c r="H521" s="17">
        <v>252.2400</v>
      </c>
      <c r="I521" s="17">
        <v>0</v>
      </c>
      <c r="J521" s="17">
        <v>0</v>
      </c>
      <c r="K521" s="16"/>
      <c r="L521" s="16"/>
    </row>
    <row r="522" ht="10.95" customHeight="true" customFormat="true" s="9">
      <c r="A522" s="10" t="s">
        <v>25</v>
      </c>
      <c r="B522" s="10"/>
      <c r="C522" s="10"/>
      <c r="D522" s="10"/>
      <c r="E522" s="10"/>
      <c r="F522" s="10"/>
      <c r="G522" s="11">
        <v>0</v>
      </c>
      <c r="H522" s="11">
        <v>252.2400</v>
      </c>
      <c r="I522" s="11">
        <f ca="1">I519</f>
        <v>0</v>
      </c>
      <c r="J522" s="11">
        <v>0</v>
      </c>
      <c r="K522" s="10"/>
      <c r="L522" s="10"/>
    </row>
    <row r="523" ht="13.35" customHeight="true"/>
    <row r="524" ht="12.1" customHeight="true" customFormat="true" s="5">
      <c r="A524" s="8" t="s">
        <v>336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ht="10.95" customHeight="true" customFormat="true" s="9">
      <c r="A525" s="10" t="s">
        <v>16</v>
      </c>
      <c r="B525" s="10"/>
      <c r="C525" s="10"/>
      <c r="D525" s="10"/>
      <c r="E525" s="10"/>
      <c r="F525" s="10"/>
      <c r="G525" s="11">
        <v>0</v>
      </c>
      <c r="H525" s="11">
        <v>0</v>
      </c>
      <c r="I525" s="11">
        <f ca="1">(G525 - H525)</f>
        <v>0</v>
      </c>
      <c r="J525" s="11">
        <v>0</v>
      </c>
      <c r="K525" s="10"/>
      <c r="L525" s="10"/>
    </row>
    <row r="526" ht="10.95" customHeight="true" customFormat="true" s="9">
      <c r="A526" s="12">
        <v>45473</v>
      </c>
      <c r="B526" s="13" t="s">
        <v>337</v>
      </c>
      <c r="C526" s="13" t="s">
        <v>330</v>
      </c>
      <c r="D526" s="13" t="s">
        <v>19</v>
      </c>
      <c r="E526" s="13" t="s">
        <v>338</v>
      </c>
      <c r="F526" s="13" t="s">
        <v>54</v>
      </c>
      <c r="G526" s="14">
        <v>38828.1000</v>
      </c>
      <c r="H526" s="14">
        <v>0</v>
      </c>
      <c r="I526" s="14">
        <f ca="1">((I525 + G526) - H526)</f>
        <v>0</v>
      </c>
      <c r="J526" s="14">
        <v>0</v>
      </c>
      <c r="K526" s="15">
        <v>0</v>
      </c>
      <c r="L526" s="13" t="s">
        <v>22</v>
      </c>
    </row>
    <row r="527" ht="10.95" customHeight="true" customFormat="true" s="9">
      <c r="A527" s="16" t="s">
        <v>339</v>
      </c>
      <c r="B527" s="16"/>
      <c r="C527" s="16"/>
      <c r="D527" s="16"/>
      <c r="E527" s="16"/>
      <c r="F527" s="16"/>
      <c r="G527" s="17">
        <f ca="1">G526</f>
        <v>0</v>
      </c>
      <c r="H527" s="17">
        <f ca="1">H526</f>
        <v>0</v>
      </c>
      <c r="I527" s="17">
        <f ca="1">I526</f>
        <v>0</v>
      </c>
      <c r="J527" s="17">
        <f ca="1">J526</f>
        <v>0</v>
      </c>
      <c r="K527" s="16"/>
      <c r="L527" s="16"/>
    </row>
    <row r="528" ht="10.95" customHeight="true" customFormat="true" s="9">
      <c r="A528" s="16" t="s">
        <v>24</v>
      </c>
      <c r="B528" s="16"/>
      <c r="C528" s="16"/>
      <c r="D528" s="16"/>
      <c r="E528" s="16"/>
      <c r="F528" s="16"/>
      <c r="G528" s="17">
        <v>38828.1000</v>
      </c>
      <c r="H528" s="17">
        <v>0</v>
      </c>
      <c r="I528" s="17">
        <v>0</v>
      </c>
      <c r="J528" s="17">
        <v>0</v>
      </c>
      <c r="K528" s="16"/>
      <c r="L528" s="16"/>
    </row>
    <row r="529" ht="10.95" customHeight="true" customFormat="true" s="9">
      <c r="A529" s="10" t="s">
        <v>25</v>
      </c>
      <c r="B529" s="10"/>
      <c r="C529" s="10"/>
      <c r="D529" s="10"/>
      <c r="E529" s="10"/>
      <c r="F529" s="10"/>
      <c r="G529" s="11">
        <v>38828.1000</v>
      </c>
      <c r="H529" s="11">
        <v>0</v>
      </c>
      <c r="I529" s="11">
        <f ca="1">I526</f>
        <v>0</v>
      </c>
      <c r="J529" s="11">
        <v>0</v>
      </c>
      <c r="K529" s="10"/>
      <c r="L529" s="10"/>
    </row>
    <row r="530" ht="13.35" customHeight="true"/>
    <row r="531" ht="12.1" customHeight="true" customFormat="true" s="5">
      <c r="A531" s="8" t="s">
        <v>340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ht="10.95" customHeight="true" customFormat="true" s="9">
      <c r="A532" s="10" t="s">
        <v>16</v>
      </c>
      <c r="B532" s="10"/>
      <c r="C532" s="10"/>
      <c r="D532" s="10"/>
      <c r="E532" s="10"/>
      <c r="F532" s="10"/>
      <c r="G532" s="11">
        <v>0</v>
      </c>
      <c r="H532" s="11">
        <v>0</v>
      </c>
      <c r="I532" s="11">
        <f ca="1">(G532 - H532)</f>
        <v>0</v>
      </c>
      <c r="J532" s="11">
        <v>0</v>
      </c>
      <c r="K532" s="10"/>
      <c r="L532" s="10"/>
    </row>
    <row r="533" ht="10.95" customHeight="true" customFormat="true" s="9">
      <c r="A533" s="12">
        <v>45473</v>
      </c>
      <c r="B533" s="13" t="s">
        <v>341</v>
      </c>
      <c r="C533" s="13" t="s">
        <v>330</v>
      </c>
      <c r="D533" s="13" t="s">
        <v>19</v>
      </c>
      <c r="E533" s="13" t="s">
        <v>215</v>
      </c>
      <c r="F533" s="13" t="s">
        <v>216</v>
      </c>
      <c r="G533" s="14">
        <v>0</v>
      </c>
      <c r="H533" s="14">
        <v>7001.7900</v>
      </c>
      <c r="I533" s="14">
        <f ca="1">((I532 + G533) - H533)</f>
        <v>0</v>
      </c>
      <c r="J533" s="14">
        <v>0</v>
      </c>
      <c r="K533" s="15">
        <v>0</v>
      </c>
      <c r="L533" s="13" t="s">
        <v>22</v>
      </c>
    </row>
    <row r="534" ht="10.95" customHeight="true" customFormat="true" s="9">
      <c r="A534" s="16" t="s">
        <v>342</v>
      </c>
      <c r="B534" s="16"/>
      <c r="C534" s="16"/>
      <c r="D534" s="16"/>
      <c r="E534" s="16"/>
      <c r="F534" s="16"/>
      <c r="G534" s="17">
        <f ca="1">G533</f>
        <v>0</v>
      </c>
      <c r="H534" s="17">
        <f ca="1">H533</f>
        <v>0</v>
      </c>
      <c r="I534" s="17">
        <f ca="1">I533</f>
        <v>0</v>
      </c>
      <c r="J534" s="17">
        <f ca="1">J533</f>
        <v>0</v>
      </c>
      <c r="K534" s="16"/>
      <c r="L534" s="16"/>
    </row>
    <row r="535" ht="10.95" customHeight="true" customFormat="true" s="9">
      <c r="A535" s="16" t="s">
        <v>24</v>
      </c>
      <c r="B535" s="16"/>
      <c r="C535" s="16"/>
      <c r="D535" s="16"/>
      <c r="E535" s="16"/>
      <c r="F535" s="16"/>
      <c r="G535" s="17">
        <v>0</v>
      </c>
      <c r="H535" s="17">
        <v>7001.7900</v>
      </c>
      <c r="I535" s="17">
        <v>0</v>
      </c>
      <c r="J535" s="17">
        <v>0</v>
      </c>
      <c r="K535" s="16"/>
      <c r="L535" s="16"/>
    </row>
    <row r="536" ht="10.95" customHeight="true" customFormat="true" s="9">
      <c r="A536" s="10" t="s">
        <v>25</v>
      </c>
      <c r="B536" s="10"/>
      <c r="C536" s="10"/>
      <c r="D536" s="10"/>
      <c r="E536" s="10"/>
      <c r="F536" s="10"/>
      <c r="G536" s="11">
        <v>0</v>
      </c>
      <c r="H536" s="11">
        <v>7001.7900</v>
      </c>
      <c r="I536" s="11">
        <f ca="1">I533</f>
        <v>0</v>
      </c>
      <c r="J536" s="11">
        <v>0</v>
      </c>
      <c r="K536" s="10"/>
      <c r="L536" s="10"/>
    </row>
    <row r="537" ht="13.35" customHeight="true"/>
    <row r="538" ht="12.1" customHeight="true" customFormat="true" s="5">
      <c r="A538" s="8" t="s">
        <v>343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ht="10.95" customHeight="true" customFormat="true" s="9">
      <c r="A539" s="10" t="s">
        <v>16</v>
      </c>
      <c r="B539" s="10"/>
      <c r="C539" s="10"/>
      <c r="D539" s="10"/>
      <c r="E539" s="10"/>
      <c r="F539" s="10"/>
      <c r="G539" s="11">
        <v>0</v>
      </c>
      <c r="H539" s="11">
        <v>0</v>
      </c>
      <c r="I539" s="11">
        <f ca="1">(G539 - H539)</f>
        <v>0</v>
      </c>
      <c r="J539" s="11">
        <v>0</v>
      </c>
      <c r="K539" s="10"/>
      <c r="L539" s="10"/>
    </row>
    <row r="540" ht="10.95" customHeight="true" customFormat="true" s="9">
      <c r="A540" s="12">
        <v>45473</v>
      </c>
      <c r="B540" s="13" t="s">
        <v>344</v>
      </c>
      <c r="C540" s="13" t="s">
        <v>330</v>
      </c>
      <c r="D540" s="13" t="s">
        <v>19</v>
      </c>
      <c r="E540" s="13" t="s">
        <v>345</v>
      </c>
      <c r="F540" s="13" t="s">
        <v>54</v>
      </c>
      <c r="G540" s="14">
        <v>24322.0000</v>
      </c>
      <c r="H540" s="14">
        <v>0</v>
      </c>
      <c r="I540" s="14">
        <f ca="1">((I539 + G540) - H540)</f>
        <v>0</v>
      </c>
      <c r="J540" s="14">
        <v>0</v>
      </c>
      <c r="K540" s="15">
        <v>0</v>
      </c>
      <c r="L540" s="13" t="s">
        <v>22</v>
      </c>
    </row>
    <row r="541" ht="10.95" customHeight="true" customFormat="true" s="9">
      <c r="A541" s="16" t="s">
        <v>346</v>
      </c>
      <c r="B541" s="16"/>
      <c r="C541" s="16"/>
      <c r="D541" s="16"/>
      <c r="E541" s="16"/>
      <c r="F541" s="16"/>
      <c r="G541" s="17">
        <f ca="1">G540</f>
        <v>0</v>
      </c>
      <c r="H541" s="17">
        <f ca="1">H540</f>
        <v>0</v>
      </c>
      <c r="I541" s="17">
        <f ca="1">I540</f>
        <v>0</v>
      </c>
      <c r="J541" s="17">
        <f ca="1">J540</f>
        <v>0</v>
      </c>
      <c r="K541" s="16"/>
      <c r="L541" s="16"/>
    </row>
    <row r="542" ht="10.95" customHeight="true" customFormat="true" s="9">
      <c r="A542" s="16" t="s">
        <v>24</v>
      </c>
      <c r="B542" s="16"/>
      <c r="C542" s="16"/>
      <c r="D542" s="16"/>
      <c r="E542" s="16"/>
      <c r="F542" s="16"/>
      <c r="G542" s="17">
        <v>24322.0000</v>
      </c>
      <c r="H542" s="17">
        <v>0</v>
      </c>
      <c r="I542" s="17">
        <v>0</v>
      </c>
      <c r="J542" s="17">
        <v>0</v>
      </c>
      <c r="K542" s="16"/>
      <c r="L542" s="16"/>
    </row>
    <row r="543" ht="10.95" customHeight="true" customFormat="true" s="9">
      <c r="A543" s="10" t="s">
        <v>25</v>
      </c>
      <c r="B543" s="10"/>
      <c r="C543" s="10"/>
      <c r="D543" s="10"/>
      <c r="E543" s="10"/>
      <c r="F543" s="10"/>
      <c r="G543" s="11">
        <v>24322.0000</v>
      </c>
      <c r="H543" s="11">
        <v>0</v>
      </c>
      <c r="I543" s="11">
        <f ca="1">I540</f>
        <v>0</v>
      </c>
      <c r="J543" s="11">
        <v>0</v>
      </c>
      <c r="K543" s="10"/>
      <c r="L543" s="10"/>
    </row>
    <row r="544" ht="13.35" customHeight="true"/>
    <row r="545" ht="12.1" customHeight="true" customFormat="true" s="5">
      <c r="A545" s="8" t="s">
        <v>347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ht="10.95" customHeight="true" customFormat="true" s="9">
      <c r="A546" s="10" t="s">
        <v>16</v>
      </c>
      <c r="B546" s="10"/>
      <c r="C546" s="10"/>
      <c r="D546" s="10"/>
      <c r="E546" s="10"/>
      <c r="F546" s="10"/>
      <c r="G546" s="11">
        <v>0</v>
      </c>
      <c r="H546" s="11">
        <v>0</v>
      </c>
      <c r="I546" s="11">
        <f ca="1">(G546 - H546)</f>
        <v>0</v>
      </c>
      <c r="J546" s="11">
        <v>0</v>
      </c>
      <c r="K546" s="10"/>
      <c r="L546" s="10"/>
    </row>
    <row r="547" ht="10.95" customHeight="true" customFormat="true" s="9">
      <c r="A547" s="12">
        <v>45473</v>
      </c>
      <c r="B547" s="13" t="s">
        <v>348</v>
      </c>
      <c r="C547" s="13" t="s">
        <v>330</v>
      </c>
      <c r="D547" s="13" t="s">
        <v>19</v>
      </c>
      <c r="E547" s="13" t="s">
        <v>215</v>
      </c>
      <c r="F547" s="13" t="s">
        <v>216</v>
      </c>
      <c r="G547" s="14">
        <v>0</v>
      </c>
      <c r="H547" s="14">
        <v>232.5900</v>
      </c>
      <c r="I547" s="14">
        <f ca="1">((I546 + G547) - H547)</f>
        <v>0</v>
      </c>
      <c r="J547" s="14">
        <v>0</v>
      </c>
      <c r="K547" s="15">
        <v>0</v>
      </c>
      <c r="L547" s="13" t="s">
        <v>22</v>
      </c>
    </row>
    <row r="548" ht="10.95" customHeight="true" customFormat="true" s="9">
      <c r="A548" s="16" t="s">
        <v>349</v>
      </c>
      <c r="B548" s="16"/>
      <c r="C548" s="16"/>
      <c r="D548" s="16"/>
      <c r="E548" s="16"/>
      <c r="F548" s="16"/>
      <c r="G548" s="17">
        <f ca="1">G547</f>
        <v>0</v>
      </c>
      <c r="H548" s="17">
        <f ca="1">H547</f>
        <v>0</v>
      </c>
      <c r="I548" s="17">
        <f ca="1">I547</f>
        <v>0</v>
      </c>
      <c r="J548" s="17">
        <f ca="1">J547</f>
        <v>0</v>
      </c>
      <c r="K548" s="16"/>
      <c r="L548" s="16"/>
    </row>
    <row r="549" ht="10.95" customHeight="true" customFormat="true" s="9">
      <c r="A549" s="16" t="s">
        <v>24</v>
      </c>
      <c r="B549" s="16"/>
      <c r="C549" s="16"/>
      <c r="D549" s="16"/>
      <c r="E549" s="16"/>
      <c r="F549" s="16"/>
      <c r="G549" s="17">
        <v>0</v>
      </c>
      <c r="H549" s="17">
        <v>232.5900</v>
      </c>
      <c r="I549" s="17">
        <v>0</v>
      </c>
      <c r="J549" s="17">
        <v>0</v>
      </c>
      <c r="K549" s="16"/>
      <c r="L549" s="16"/>
    </row>
    <row r="550" ht="10.95" customHeight="true" customFormat="true" s="9">
      <c r="A550" s="10" t="s">
        <v>25</v>
      </c>
      <c r="B550" s="10"/>
      <c r="C550" s="10"/>
      <c r="D550" s="10"/>
      <c r="E550" s="10"/>
      <c r="F550" s="10"/>
      <c r="G550" s="11">
        <v>0</v>
      </c>
      <c r="H550" s="11">
        <v>232.5900</v>
      </c>
      <c r="I550" s="11">
        <f ca="1">I547</f>
        <v>0</v>
      </c>
      <c r="J550" s="11">
        <v>0</v>
      </c>
      <c r="K550" s="10"/>
      <c r="L550" s="10"/>
    </row>
    <row r="551" ht="13.35" customHeight="true"/>
    <row r="552" ht="12.1" customHeight="true" customFormat="true" s="5">
      <c r="A552" s="8" t="s">
        <v>350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ht="10.95" customHeight="true" customFormat="true" s="9">
      <c r="A553" s="10" t="s">
        <v>16</v>
      </c>
      <c r="B553" s="10"/>
      <c r="C553" s="10"/>
      <c r="D553" s="10"/>
      <c r="E553" s="10"/>
      <c r="F553" s="10"/>
      <c r="G553" s="11">
        <v>0</v>
      </c>
      <c r="H553" s="11">
        <v>52160.5300</v>
      </c>
      <c r="I553" s="11">
        <f ca="1">(G553 - H553)</f>
        <v>0</v>
      </c>
      <c r="J553" s="11">
        <v>0</v>
      </c>
      <c r="K553" s="10"/>
      <c r="L553" s="10"/>
    </row>
    <row r="554" ht="10.95" customHeight="true" customFormat="true" s="9">
      <c r="A554" s="12">
        <v>45473</v>
      </c>
      <c r="B554" s="13" t="s">
        <v>351</v>
      </c>
      <c r="C554" s="13" t="s">
        <v>352</v>
      </c>
      <c r="D554" s="13" t="s">
        <v>19</v>
      </c>
      <c r="E554" s="13" t="s">
        <v>353</v>
      </c>
      <c r="F554" s="13" t="s">
        <v>21</v>
      </c>
      <c r="G554" s="14">
        <v>15604.0800</v>
      </c>
      <c r="H554" s="14">
        <v>0</v>
      </c>
      <c r="I554" s="14">
        <f ca="1">((I553 + G554) - H554)</f>
        <v>0</v>
      </c>
      <c r="J554" s="14">
        <v>0</v>
      </c>
      <c r="K554" s="15">
        <v>0</v>
      </c>
      <c r="L554" s="13" t="s">
        <v>22</v>
      </c>
    </row>
    <row r="555" ht="10.95" customHeight="true" customFormat="true" s="9">
      <c r="A555" s="16" t="s">
        <v>354</v>
      </c>
      <c r="B555" s="16"/>
      <c r="C555" s="16"/>
      <c r="D555" s="16"/>
      <c r="E555" s="16"/>
      <c r="F555" s="16"/>
      <c r="G555" s="17">
        <f ca="1">G554</f>
        <v>0</v>
      </c>
      <c r="H555" s="17">
        <f ca="1">H554</f>
        <v>0</v>
      </c>
      <c r="I555" s="17">
        <f ca="1">I554</f>
        <v>0</v>
      </c>
      <c r="J555" s="17">
        <f ca="1">J554</f>
        <v>0</v>
      </c>
      <c r="K555" s="16"/>
      <c r="L555" s="16"/>
    </row>
    <row r="556" ht="10.95" customHeight="true" customFormat="true" s="9">
      <c r="A556" s="16" t="s">
        <v>24</v>
      </c>
      <c r="B556" s="16"/>
      <c r="C556" s="16"/>
      <c r="D556" s="16"/>
      <c r="E556" s="16"/>
      <c r="F556" s="16"/>
      <c r="G556" s="17">
        <v>15604.0800</v>
      </c>
      <c r="H556" s="17">
        <v>0</v>
      </c>
      <c r="I556" s="17">
        <v>0</v>
      </c>
      <c r="J556" s="17">
        <v>0</v>
      </c>
      <c r="K556" s="16"/>
      <c r="L556" s="16"/>
    </row>
    <row r="557" ht="10.95" customHeight="true" customFormat="true" s="9">
      <c r="A557" s="10" t="s">
        <v>25</v>
      </c>
      <c r="B557" s="10"/>
      <c r="C557" s="10"/>
      <c r="D557" s="10"/>
      <c r="E557" s="10"/>
      <c r="F557" s="10"/>
      <c r="G557" s="11">
        <v>0</v>
      </c>
      <c r="H557" s="11">
        <v>36556.4500</v>
      </c>
      <c r="I557" s="11">
        <f ca="1">I554</f>
        <v>0</v>
      </c>
      <c r="J557" s="11">
        <v>0</v>
      </c>
      <c r="K557" s="10"/>
      <c r="L557" s="10"/>
    </row>
    <row r="558" ht="13.35" customHeight="true"/>
    <row r="559" ht="12.1" customHeight="true" customFormat="true" s="5">
      <c r="A559" s="8" t="s">
        <v>355</v>
      </c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ht="10.95" customHeight="true" customFormat="true" s="9">
      <c r="A560" s="10" t="s">
        <v>16</v>
      </c>
      <c r="B560" s="10"/>
      <c r="C560" s="10"/>
      <c r="D560" s="10"/>
      <c r="E560" s="10"/>
      <c r="F560" s="10"/>
      <c r="G560" s="11">
        <v>0</v>
      </c>
      <c r="H560" s="11">
        <v>1000.0000</v>
      </c>
      <c r="I560" s="11">
        <f ca="1">(G560 - H560)</f>
        <v>0</v>
      </c>
      <c r="J560" s="11">
        <v>0</v>
      </c>
      <c r="K560" s="10"/>
      <c r="L560" s="10"/>
    </row>
    <row r="561" ht="10.95" customHeight="true" customFormat="true" s="9">
      <c r="A561" s="12">
        <v>45473</v>
      </c>
      <c r="B561" s="13" t="s">
        <v>356</v>
      </c>
      <c r="C561" s="13" t="s">
        <v>352</v>
      </c>
      <c r="D561" s="13" t="s">
        <v>19</v>
      </c>
      <c r="E561" s="13" t="s">
        <v>357</v>
      </c>
      <c r="F561" s="13" t="s">
        <v>21</v>
      </c>
      <c r="G561" s="14">
        <v>0</v>
      </c>
      <c r="H561" s="14">
        <v>14508.5200</v>
      </c>
      <c r="I561" s="14">
        <f ca="1">((I560 + G561) - H561)</f>
        <v>0</v>
      </c>
      <c r="J561" s="14">
        <v>0</v>
      </c>
      <c r="K561" s="15">
        <v>0</v>
      </c>
      <c r="L561" s="13" t="s">
        <v>22</v>
      </c>
    </row>
    <row r="562" ht="10.95" customHeight="true" customFormat="true" s="9">
      <c r="A562" s="16" t="s">
        <v>358</v>
      </c>
      <c r="B562" s="16"/>
      <c r="C562" s="16"/>
      <c r="D562" s="16"/>
      <c r="E562" s="16"/>
      <c r="F562" s="16"/>
      <c r="G562" s="17">
        <f ca="1">G561</f>
        <v>0</v>
      </c>
      <c r="H562" s="17">
        <f ca="1">H561</f>
        <v>0</v>
      </c>
      <c r="I562" s="17">
        <f ca="1">I561</f>
        <v>0</v>
      </c>
      <c r="J562" s="17">
        <f ca="1">J561</f>
        <v>0</v>
      </c>
      <c r="K562" s="16"/>
      <c r="L562" s="16"/>
    </row>
    <row r="563" ht="10.95" customHeight="true" customFormat="true" s="9">
      <c r="A563" s="16" t="s">
        <v>24</v>
      </c>
      <c r="B563" s="16"/>
      <c r="C563" s="16"/>
      <c r="D563" s="16"/>
      <c r="E563" s="16"/>
      <c r="F563" s="16"/>
      <c r="G563" s="17">
        <v>0</v>
      </c>
      <c r="H563" s="17">
        <v>14508.5200</v>
      </c>
      <c r="I563" s="17">
        <v>0</v>
      </c>
      <c r="J563" s="17">
        <v>0</v>
      </c>
      <c r="K563" s="16"/>
      <c r="L563" s="16"/>
    </row>
    <row r="564" ht="10.95" customHeight="true" customFormat="true" s="9">
      <c r="A564" s="10" t="s">
        <v>25</v>
      </c>
      <c r="B564" s="10"/>
      <c r="C564" s="10"/>
      <c r="D564" s="10"/>
      <c r="E564" s="10"/>
      <c r="F564" s="10"/>
      <c r="G564" s="11">
        <v>0</v>
      </c>
      <c r="H564" s="11">
        <v>15508.5200</v>
      </c>
      <c r="I564" s="11">
        <f ca="1">I561</f>
        <v>0</v>
      </c>
      <c r="J564" s="11">
        <v>0</v>
      </c>
      <c r="K564" s="10"/>
      <c r="L564" s="10"/>
    </row>
    <row r="565" ht="13.35" customHeight="true"/>
    <row r="566" ht="12.1" customHeight="true" customFormat="true" s="5">
      <c r="A566" s="8" t="s">
        <v>359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ht="10.95" customHeight="true" customFormat="true" s="9">
      <c r="A567" s="10" t="s">
        <v>16</v>
      </c>
      <c r="B567" s="10"/>
      <c r="C567" s="10"/>
      <c r="D567" s="10"/>
      <c r="E567" s="10"/>
      <c r="F567" s="10"/>
      <c r="G567" s="11">
        <v>0</v>
      </c>
      <c r="H567" s="11">
        <v>449.0000</v>
      </c>
      <c r="I567" s="11">
        <f ca="1">(G567 - H567)</f>
        <v>0</v>
      </c>
      <c r="J567" s="11">
        <v>0</v>
      </c>
      <c r="K567" s="10"/>
      <c r="L567" s="10"/>
    </row>
    <row r="568" ht="10.95" customHeight="true" customFormat="true" s="9">
      <c r="A568" s="12">
        <v>45473</v>
      </c>
      <c r="B568" s="13" t="s">
        <v>360</v>
      </c>
      <c r="C568" s="13" t="s">
        <v>352</v>
      </c>
      <c r="D568" s="13" t="s">
        <v>19</v>
      </c>
      <c r="E568" s="13" t="s">
        <v>361</v>
      </c>
      <c r="F568" s="13" t="s">
        <v>21</v>
      </c>
      <c r="G568" s="14">
        <v>2434.2500</v>
      </c>
      <c r="H568" s="14">
        <v>0</v>
      </c>
      <c r="I568" s="14">
        <f ca="1">((I567 + G568) - H568)</f>
        <v>0</v>
      </c>
      <c r="J568" s="14">
        <v>0</v>
      </c>
      <c r="K568" s="15">
        <v>0</v>
      </c>
      <c r="L568" s="13" t="s">
        <v>22</v>
      </c>
    </row>
    <row r="569" ht="10.95" customHeight="true" customFormat="true" s="9">
      <c r="A569" s="16" t="s">
        <v>362</v>
      </c>
      <c r="B569" s="16"/>
      <c r="C569" s="16"/>
      <c r="D569" s="16"/>
      <c r="E569" s="16"/>
      <c r="F569" s="16"/>
      <c r="G569" s="17">
        <f ca="1">G568</f>
        <v>0</v>
      </c>
      <c r="H569" s="17">
        <f ca="1">H568</f>
        <v>0</v>
      </c>
      <c r="I569" s="17">
        <f ca="1">I568</f>
        <v>0</v>
      </c>
      <c r="J569" s="17">
        <f ca="1">J568</f>
        <v>0</v>
      </c>
      <c r="K569" s="16"/>
      <c r="L569" s="16"/>
    </row>
    <row r="570" ht="10.95" customHeight="true" customFormat="true" s="9">
      <c r="A570" s="16" t="s">
        <v>24</v>
      </c>
      <c r="B570" s="16"/>
      <c r="C570" s="16"/>
      <c r="D570" s="16"/>
      <c r="E570" s="16"/>
      <c r="F570" s="16"/>
      <c r="G570" s="17">
        <v>2434.2500</v>
      </c>
      <c r="H570" s="17">
        <v>0</v>
      </c>
      <c r="I570" s="17">
        <v>0</v>
      </c>
      <c r="J570" s="17">
        <v>0</v>
      </c>
      <c r="K570" s="16"/>
      <c r="L570" s="16"/>
    </row>
    <row r="571" ht="10.95" customHeight="true" customFormat="true" s="9">
      <c r="A571" s="10" t="s">
        <v>25</v>
      </c>
      <c r="B571" s="10"/>
      <c r="C571" s="10"/>
      <c r="D571" s="10"/>
      <c r="E571" s="10"/>
      <c r="F571" s="10"/>
      <c r="G571" s="11">
        <v>1985.2500</v>
      </c>
      <c r="H571" s="11">
        <v>0</v>
      </c>
      <c r="I571" s="11">
        <f ca="1">I568</f>
        <v>0</v>
      </c>
      <c r="J571" s="11">
        <v>0</v>
      </c>
      <c r="K571" s="10"/>
      <c r="L571" s="10"/>
    </row>
    <row r="572" ht="13.35" customHeight="true"/>
    <row r="573" ht="12.1" customHeight="true" customFormat="true" s="5">
      <c r="A573" s="8" t="s">
        <v>363</v>
      </c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ht="10.95" customHeight="true" customFormat="true" s="9">
      <c r="A574" s="10" t="s">
        <v>16</v>
      </c>
      <c r="B574" s="10"/>
      <c r="C574" s="10"/>
      <c r="D574" s="10"/>
      <c r="E574" s="10"/>
      <c r="F574" s="10"/>
      <c r="G574" s="11">
        <v>0</v>
      </c>
      <c r="H574" s="11">
        <v>2012.8900</v>
      </c>
      <c r="I574" s="11">
        <f ca="1">(G574 - H574)</f>
        <v>0</v>
      </c>
      <c r="J574" s="11">
        <v>0</v>
      </c>
      <c r="K574" s="10"/>
      <c r="L574" s="10"/>
    </row>
    <row r="575" ht="10.95" customHeight="true" customFormat="true" s="9">
      <c r="A575" s="12">
        <v>45473</v>
      </c>
      <c r="B575" s="13" t="s">
        <v>364</v>
      </c>
      <c r="C575" s="13" t="s">
        <v>352</v>
      </c>
      <c r="D575" s="13" t="s">
        <v>19</v>
      </c>
      <c r="E575" s="13" t="s">
        <v>365</v>
      </c>
      <c r="F575" s="13" t="s">
        <v>21</v>
      </c>
      <c r="G575" s="14">
        <v>0</v>
      </c>
      <c r="H575" s="14">
        <v>2049.7800</v>
      </c>
      <c r="I575" s="14">
        <f ca="1">((I574 + G575) - H575)</f>
        <v>0</v>
      </c>
      <c r="J575" s="14">
        <v>0</v>
      </c>
      <c r="K575" s="15">
        <v>0</v>
      </c>
      <c r="L575" s="13" t="s">
        <v>22</v>
      </c>
    </row>
    <row r="576" ht="10.95" customHeight="true" customFormat="true" s="9">
      <c r="A576" s="16" t="s">
        <v>366</v>
      </c>
      <c r="B576" s="16"/>
      <c r="C576" s="16"/>
      <c r="D576" s="16"/>
      <c r="E576" s="16"/>
      <c r="F576" s="16"/>
      <c r="G576" s="17">
        <f ca="1">G575</f>
        <v>0</v>
      </c>
      <c r="H576" s="17">
        <f ca="1">H575</f>
        <v>0</v>
      </c>
      <c r="I576" s="17">
        <f ca="1">I575</f>
        <v>0</v>
      </c>
      <c r="J576" s="17">
        <f ca="1">J575</f>
        <v>0</v>
      </c>
      <c r="K576" s="16"/>
      <c r="L576" s="16"/>
    </row>
    <row r="577" ht="10.95" customHeight="true" customFormat="true" s="9">
      <c r="A577" s="16" t="s">
        <v>24</v>
      </c>
      <c r="B577" s="16"/>
      <c r="C577" s="16"/>
      <c r="D577" s="16"/>
      <c r="E577" s="16"/>
      <c r="F577" s="16"/>
      <c r="G577" s="17">
        <v>0</v>
      </c>
      <c r="H577" s="17">
        <v>2049.7800</v>
      </c>
      <c r="I577" s="17">
        <v>0</v>
      </c>
      <c r="J577" s="17">
        <v>0</v>
      </c>
      <c r="K577" s="16"/>
      <c r="L577" s="16"/>
    </row>
    <row r="578" ht="10.95" customHeight="true" customFormat="true" s="9">
      <c r="A578" s="10" t="s">
        <v>25</v>
      </c>
      <c r="B578" s="10"/>
      <c r="C578" s="10"/>
      <c r="D578" s="10"/>
      <c r="E578" s="10"/>
      <c r="F578" s="10"/>
      <c r="G578" s="11">
        <v>0</v>
      </c>
      <c r="H578" s="11">
        <v>4062.6700</v>
      </c>
      <c r="I578" s="11">
        <f ca="1">I575</f>
        <v>0</v>
      </c>
      <c r="J578" s="11">
        <v>0</v>
      </c>
      <c r="K578" s="10"/>
      <c r="L578" s="10"/>
    </row>
    <row r="579" ht="13.35" customHeight="true"/>
    <row r="580" ht="12.1" customHeight="true" customFormat="true" s="5">
      <c r="A580" s="8" t="s">
        <v>367</v>
      </c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ht="10.95" customHeight="true" customFormat="true" s="9">
      <c r="A581" s="10" t="s">
        <v>16</v>
      </c>
      <c r="B581" s="10"/>
      <c r="C581" s="10"/>
      <c r="D581" s="10"/>
      <c r="E581" s="10"/>
      <c r="F581" s="10"/>
      <c r="G581" s="11">
        <v>0</v>
      </c>
      <c r="H581" s="11">
        <v>6824.2300</v>
      </c>
      <c r="I581" s="11">
        <f ca="1">(G581 - H581)</f>
        <v>0</v>
      </c>
      <c r="J581" s="11">
        <v>0</v>
      </c>
      <c r="K581" s="10"/>
      <c r="L581" s="10"/>
    </row>
    <row r="582" ht="10.95" customHeight="true" customFormat="true" s="9">
      <c r="A582" s="12">
        <v>45473</v>
      </c>
      <c r="B582" s="13" t="s">
        <v>368</v>
      </c>
      <c r="C582" s="13" t="s">
        <v>352</v>
      </c>
      <c r="D582" s="13" t="s">
        <v>19</v>
      </c>
      <c r="E582" s="13" t="s">
        <v>369</v>
      </c>
      <c r="F582" s="13" t="s">
        <v>21</v>
      </c>
      <c r="G582" s="14">
        <v>0</v>
      </c>
      <c r="H582" s="14">
        <v>2890.2100</v>
      </c>
      <c r="I582" s="14">
        <f ca="1">((I581 + G582) - H582)</f>
        <v>0</v>
      </c>
      <c r="J582" s="14">
        <v>0</v>
      </c>
      <c r="K582" s="15">
        <v>0</v>
      </c>
      <c r="L582" s="13" t="s">
        <v>22</v>
      </c>
    </row>
    <row r="583" ht="10.95" customHeight="true" customFormat="true" s="9">
      <c r="A583" s="16" t="s">
        <v>370</v>
      </c>
      <c r="B583" s="16"/>
      <c r="C583" s="16"/>
      <c r="D583" s="16"/>
      <c r="E583" s="16"/>
      <c r="F583" s="16"/>
      <c r="G583" s="17">
        <f ca="1">G582</f>
        <v>0</v>
      </c>
      <c r="H583" s="17">
        <f ca="1">H582</f>
        <v>0</v>
      </c>
      <c r="I583" s="17">
        <f ca="1">I582</f>
        <v>0</v>
      </c>
      <c r="J583" s="17">
        <f ca="1">J582</f>
        <v>0</v>
      </c>
      <c r="K583" s="16"/>
      <c r="L583" s="16"/>
    </row>
    <row r="584" ht="10.95" customHeight="true" customFormat="true" s="9">
      <c r="A584" s="16" t="s">
        <v>24</v>
      </c>
      <c r="B584" s="16"/>
      <c r="C584" s="16"/>
      <c r="D584" s="16"/>
      <c r="E584" s="16"/>
      <c r="F584" s="16"/>
      <c r="G584" s="17">
        <v>0</v>
      </c>
      <c r="H584" s="17">
        <v>2890.2100</v>
      </c>
      <c r="I584" s="17">
        <v>0</v>
      </c>
      <c r="J584" s="17">
        <v>0</v>
      </c>
      <c r="K584" s="16"/>
      <c r="L584" s="16"/>
    </row>
    <row r="585" ht="10.95" customHeight="true" customFormat="true" s="9">
      <c r="A585" s="10" t="s">
        <v>25</v>
      </c>
      <c r="B585" s="10"/>
      <c r="C585" s="10"/>
      <c r="D585" s="10"/>
      <c r="E585" s="10"/>
      <c r="F585" s="10"/>
      <c r="G585" s="11">
        <v>0</v>
      </c>
      <c r="H585" s="11">
        <v>9714.4400</v>
      </c>
      <c r="I585" s="11">
        <f ca="1">I582</f>
        <v>0</v>
      </c>
      <c r="J585" s="11">
        <v>0</v>
      </c>
      <c r="K585" s="10"/>
      <c r="L585" s="10"/>
    </row>
    <row r="586" ht="13.35" customHeight="true"/>
    <row r="587" ht="12.1" customHeight="true" customFormat="true" s="5">
      <c r="A587" s="8" t="s">
        <v>371</v>
      </c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ht="10.95" customHeight="true" customFormat="true" s="9">
      <c r="A588" s="10" t="s">
        <v>16</v>
      </c>
      <c r="B588" s="10"/>
      <c r="C588" s="10"/>
      <c r="D588" s="10"/>
      <c r="E588" s="10"/>
      <c r="F588" s="10"/>
      <c r="G588" s="11">
        <v>0</v>
      </c>
      <c r="H588" s="11">
        <v>65.8500</v>
      </c>
      <c r="I588" s="11">
        <f ca="1">(G588 - H588)</f>
        <v>0</v>
      </c>
      <c r="J588" s="11">
        <v>0</v>
      </c>
      <c r="K588" s="10"/>
      <c r="L588" s="10"/>
    </row>
    <row r="589" ht="10.95" customHeight="true" customFormat="true" s="9">
      <c r="A589" s="12">
        <v>45473</v>
      </c>
      <c r="B589" s="13" t="s">
        <v>372</v>
      </c>
      <c r="C589" s="13" t="s">
        <v>352</v>
      </c>
      <c r="D589" s="13" t="s">
        <v>19</v>
      </c>
      <c r="E589" s="13" t="s">
        <v>373</v>
      </c>
      <c r="F589" s="13" t="s">
        <v>21</v>
      </c>
      <c r="G589" s="14">
        <v>76.6800</v>
      </c>
      <c r="H589" s="14">
        <v>0</v>
      </c>
      <c r="I589" s="14">
        <f ca="1">((I588 + G589) - H589)</f>
        <v>0</v>
      </c>
      <c r="J589" s="14">
        <v>0</v>
      </c>
      <c r="K589" s="15">
        <v>0</v>
      </c>
      <c r="L589" s="13" t="s">
        <v>22</v>
      </c>
    </row>
    <row r="590" ht="10.95" customHeight="true" customFormat="true" s="9">
      <c r="A590" s="16" t="s">
        <v>374</v>
      </c>
      <c r="B590" s="16"/>
      <c r="C590" s="16"/>
      <c r="D590" s="16"/>
      <c r="E590" s="16"/>
      <c r="F590" s="16"/>
      <c r="G590" s="17">
        <f ca="1">G589</f>
        <v>0</v>
      </c>
      <c r="H590" s="17">
        <f ca="1">H589</f>
        <v>0</v>
      </c>
      <c r="I590" s="17">
        <f ca="1">I589</f>
        <v>0</v>
      </c>
      <c r="J590" s="17">
        <f ca="1">J589</f>
        <v>0</v>
      </c>
      <c r="K590" s="16"/>
      <c r="L590" s="16"/>
    </row>
    <row r="591" ht="10.95" customHeight="true" customFormat="true" s="9">
      <c r="A591" s="16" t="s">
        <v>24</v>
      </c>
      <c r="B591" s="16"/>
      <c r="C591" s="16"/>
      <c r="D591" s="16"/>
      <c r="E591" s="16"/>
      <c r="F591" s="16"/>
      <c r="G591" s="17">
        <v>76.6800</v>
      </c>
      <c r="H591" s="17">
        <v>0</v>
      </c>
      <c r="I591" s="17">
        <v>0</v>
      </c>
      <c r="J591" s="17">
        <v>0</v>
      </c>
      <c r="K591" s="16"/>
      <c r="L591" s="16"/>
    </row>
    <row r="592" ht="10.95" customHeight="true" customFormat="true" s="9">
      <c r="A592" s="10" t="s">
        <v>25</v>
      </c>
      <c r="B592" s="10"/>
      <c r="C592" s="10"/>
      <c r="D592" s="10"/>
      <c r="E592" s="10"/>
      <c r="F592" s="10"/>
      <c r="G592" s="11">
        <v>10.8300</v>
      </c>
      <c r="H592" s="11">
        <v>0</v>
      </c>
      <c r="I592" s="11">
        <f ca="1">I589</f>
        <v>0</v>
      </c>
      <c r="J592" s="11">
        <v>0</v>
      </c>
      <c r="K592" s="10"/>
      <c r="L592" s="10"/>
    </row>
    <row r="593" ht="13.35" customHeight="true"/>
    <row r="594" ht="12.1" customHeight="true" customFormat="true" s="5">
      <c r="A594" s="8" t="s">
        <v>375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ht="10.95" customHeight="true" customFormat="true" s="9">
      <c r="A595" s="10" t="s">
        <v>16</v>
      </c>
      <c r="B595" s="10"/>
      <c r="C595" s="10"/>
      <c r="D595" s="10"/>
      <c r="E595" s="10"/>
      <c r="F595" s="10"/>
      <c r="G595" s="11">
        <v>4570.7900</v>
      </c>
      <c r="H595" s="11">
        <v>0</v>
      </c>
      <c r="I595" s="11">
        <f ca="1">(G595 - H595)</f>
        <v>0</v>
      </c>
      <c r="J595" s="11">
        <v>0</v>
      </c>
      <c r="K595" s="10"/>
      <c r="L595" s="10"/>
    </row>
    <row r="596" ht="10.95" customHeight="true" customFormat="true" s="9">
      <c r="A596" s="12">
        <v>45473</v>
      </c>
      <c r="B596" s="13" t="s">
        <v>376</v>
      </c>
      <c r="C596" s="13" t="s">
        <v>352</v>
      </c>
      <c r="D596" s="13" t="s">
        <v>19</v>
      </c>
      <c r="E596" s="13" t="s">
        <v>377</v>
      </c>
      <c r="F596" s="13" t="s">
        <v>21</v>
      </c>
      <c r="G596" s="14">
        <v>7234.1300</v>
      </c>
      <c r="H596" s="14">
        <v>0</v>
      </c>
      <c r="I596" s="14">
        <f ca="1">((I595 + G596) - H596)</f>
        <v>0</v>
      </c>
      <c r="J596" s="14">
        <v>0</v>
      </c>
      <c r="K596" s="15">
        <v>0</v>
      </c>
      <c r="L596" s="13" t="s">
        <v>22</v>
      </c>
    </row>
    <row r="597" ht="10.95" customHeight="true" customFormat="true" s="9">
      <c r="A597" s="16" t="s">
        <v>378</v>
      </c>
      <c r="B597" s="16"/>
      <c r="C597" s="16"/>
      <c r="D597" s="16"/>
      <c r="E597" s="16"/>
      <c r="F597" s="16"/>
      <c r="G597" s="17">
        <f ca="1">G596</f>
        <v>0</v>
      </c>
      <c r="H597" s="17">
        <f ca="1">H596</f>
        <v>0</v>
      </c>
      <c r="I597" s="17">
        <f ca="1">I596</f>
        <v>0</v>
      </c>
      <c r="J597" s="17">
        <f ca="1">J596</f>
        <v>0</v>
      </c>
      <c r="K597" s="16"/>
      <c r="L597" s="16"/>
    </row>
    <row r="598" ht="10.95" customHeight="true" customFormat="true" s="9">
      <c r="A598" s="16" t="s">
        <v>24</v>
      </c>
      <c r="B598" s="16"/>
      <c r="C598" s="16"/>
      <c r="D598" s="16"/>
      <c r="E598" s="16"/>
      <c r="F598" s="16"/>
      <c r="G598" s="17">
        <v>7234.1300</v>
      </c>
      <c r="H598" s="17">
        <v>0</v>
      </c>
      <c r="I598" s="17">
        <v>0</v>
      </c>
      <c r="J598" s="17">
        <v>0</v>
      </c>
      <c r="K598" s="16"/>
      <c r="L598" s="16"/>
    </row>
    <row r="599" ht="10.95" customHeight="true" customFormat="true" s="9">
      <c r="A599" s="10" t="s">
        <v>25</v>
      </c>
      <c r="B599" s="10"/>
      <c r="C599" s="10"/>
      <c r="D599" s="10"/>
      <c r="E599" s="10"/>
      <c r="F599" s="10"/>
      <c r="G599" s="11">
        <v>11804.9200</v>
      </c>
      <c r="H599" s="11">
        <v>0</v>
      </c>
      <c r="I599" s="11">
        <f ca="1">I596</f>
        <v>0</v>
      </c>
      <c r="J599" s="11">
        <v>0</v>
      </c>
      <c r="K599" s="10"/>
      <c r="L599" s="10"/>
    </row>
    <row r="600" ht="13.35" customHeight="true"/>
    <row r="601" ht="12.1" customHeight="true" customFormat="true" s="5">
      <c r="A601" s="8" t="s">
        <v>379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ht="10.95" customHeight="true" customFormat="true" s="9">
      <c r="A602" s="10" t="s">
        <v>16</v>
      </c>
      <c r="B602" s="10"/>
      <c r="C602" s="10"/>
      <c r="D602" s="10"/>
      <c r="E602" s="10"/>
      <c r="F602" s="10"/>
      <c r="G602" s="11">
        <v>0</v>
      </c>
      <c r="H602" s="11">
        <v>8653.4900</v>
      </c>
      <c r="I602" s="11">
        <f ca="1">(G602 - H602)</f>
        <v>0</v>
      </c>
      <c r="J602" s="11">
        <v>0</v>
      </c>
      <c r="K602" s="10"/>
      <c r="L602" s="10"/>
    </row>
    <row r="603" ht="10.95" customHeight="true" customFormat="true" s="9">
      <c r="A603" s="12">
        <v>45473</v>
      </c>
      <c r="B603" s="13" t="s">
        <v>380</v>
      </c>
      <c r="C603" s="13" t="s">
        <v>352</v>
      </c>
      <c r="D603" s="13" t="s">
        <v>19</v>
      </c>
      <c r="E603" s="13" t="s">
        <v>381</v>
      </c>
      <c r="F603" s="13" t="s">
        <v>21</v>
      </c>
      <c r="G603" s="14">
        <v>0</v>
      </c>
      <c r="H603" s="14">
        <v>31528.4100</v>
      </c>
      <c r="I603" s="14">
        <f ca="1">((I602 + G603) - H603)</f>
        <v>0</v>
      </c>
      <c r="J603" s="14">
        <v>0</v>
      </c>
      <c r="K603" s="15">
        <v>0</v>
      </c>
      <c r="L603" s="13" t="s">
        <v>22</v>
      </c>
    </row>
    <row r="604" ht="10.95" customHeight="true" customFormat="true" s="9">
      <c r="A604" s="16" t="s">
        <v>382</v>
      </c>
      <c r="B604" s="16"/>
      <c r="C604" s="16"/>
      <c r="D604" s="16"/>
      <c r="E604" s="16"/>
      <c r="F604" s="16"/>
      <c r="G604" s="17">
        <f ca="1">G603</f>
        <v>0</v>
      </c>
      <c r="H604" s="17">
        <f ca="1">H603</f>
        <v>0</v>
      </c>
      <c r="I604" s="17">
        <f ca="1">I603</f>
        <v>0</v>
      </c>
      <c r="J604" s="17">
        <f ca="1">J603</f>
        <v>0</v>
      </c>
      <c r="K604" s="16"/>
      <c r="L604" s="16"/>
    </row>
    <row r="605" ht="10.95" customHeight="true" customFormat="true" s="9">
      <c r="A605" s="16" t="s">
        <v>24</v>
      </c>
      <c r="B605" s="16"/>
      <c r="C605" s="16"/>
      <c r="D605" s="16"/>
      <c r="E605" s="16"/>
      <c r="F605" s="16"/>
      <c r="G605" s="17">
        <v>0</v>
      </c>
      <c r="H605" s="17">
        <v>31528.4100</v>
      </c>
      <c r="I605" s="17">
        <v>0</v>
      </c>
      <c r="J605" s="17">
        <v>0</v>
      </c>
      <c r="K605" s="16"/>
      <c r="L605" s="16"/>
    </row>
    <row r="606" ht="10.95" customHeight="true" customFormat="true" s="9">
      <c r="A606" s="10" t="s">
        <v>25</v>
      </c>
      <c r="B606" s="10"/>
      <c r="C606" s="10"/>
      <c r="D606" s="10"/>
      <c r="E606" s="10"/>
      <c r="F606" s="10"/>
      <c r="G606" s="11">
        <v>0</v>
      </c>
      <c r="H606" s="11">
        <v>40181.9000</v>
      </c>
      <c r="I606" s="11">
        <f ca="1">I603</f>
        <v>0</v>
      </c>
      <c r="J606" s="11">
        <v>0</v>
      </c>
      <c r="K606" s="10"/>
      <c r="L606" s="10"/>
    </row>
    <row r="607" ht="13.35" customHeight="true"/>
    <row r="608" ht="12.1" customHeight="true" customFormat="true" s="5">
      <c r="A608" s="8" t="s">
        <v>383</v>
      </c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ht="10.95" customHeight="true" customFormat="true" s="9">
      <c r="A609" s="10" t="s">
        <v>16</v>
      </c>
      <c r="B609" s="10"/>
      <c r="C609" s="10"/>
      <c r="D609" s="10"/>
      <c r="E609" s="10"/>
      <c r="F609" s="10"/>
      <c r="G609" s="11">
        <v>0</v>
      </c>
      <c r="H609" s="11">
        <v>3117.0000</v>
      </c>
      <c r="I609" s="11">
        <f ca="1">(G609 - H609)</f>
        <v>0</v>
      </c>
      <c r="J609" s="11">
        <v>0</v>
      </c>
      <c r="K609" s="10"/>
      <c r="L609" s="10"/>
    </row>
    <row r="610" ht="10.95" customHeight="true" customFormat="true" s="9">
      <c r="A610" s="12">
        <v>45473</v>
      </c>
      <c r="B610" s="13" t="s">
        <v>384</v>
      </c>
      <c r="C610" s="13" t="s">
        <v>352</v>
      </c>
      <c r="D610" s="13" t="s">
        <v>19</v>
      </c>
      <c r="E610" s="13" t="s">
        <v>385</v>
      </c>
      <c r="F610" s="13" t="s">
        <v>21</v>
      </c>
      <c r="G610" s="14">
        <v>0</v>
      </c>
      <c r="H610" s="14">
        <v>1274.0000</v>
      </c>
      <c r="I610" s="14">
        <f ca="1">((I609 + G610) - H610)</f>
        <v>0</v>
      </c>
      <c r="J610" s="14">
        <v>0</v>
      </c>
      <c r="K610" s="15">
        <v>0</v>
      </c>
      <c r="L610" s="13" t="s">
        <v>22</v>
      </c>
    </row>
    <row r="611" ht="10.95" customHeight="true" customFormat="true" s="9">
      <c r="A611" s="16" t="s">
        <v>386</v>
      </c>
      <c r="B611" s="16"/>
      <c r="C611" s="16"/>
      <c r="D611" s="16"/>
      <c r="E611" s="16"/>
      <c r="F611" s="16"/>
      <c r="G611" s="17">
        <f ca="1">G610</f>
        <v>0</v>
      </c>
      <c r="H611" s="17">
        <f ca="1">H610</f>
        <v>0</v>
      </c>
      <c r="I611" s="17">
        <f ca="1">I610</f>
        <v>0</v>
      </c>
      <c r="J611" s="17">
        <f ca="1">J610</f>
        <v>0</v>
      </c>
      <c r="K611" s="16"/>
      <c r="L611" s="16"/>
    </row>
    <row r="612" ht="10.95" customHeight="true" customFormat="true" s="9">
      <c r="A612" s="16" t="s">
        <v>24</v>
      </c>
      <c r="B612" s="16"/>
      <c r="C612" s="16"/>
      <c r="D612" s="16"/>
      <c r="E612" s="16"/>
      <c r="F612" s="16"/>
      <c r="G612" s="17">
        <v>0</v>
      </c>
      <c r="H612" s="17">
        <v>1274.0000</v>
      </c>
      <c r="I612" s="17">
        <v>0</v>
      </c>
      <c r="J612" s="17">
        <v>0</v>
      </c>
      <c r="K612" s="16"/>
      <c r="L612" s="16"/>
    </row>
    <row r="613" ht="10.95" customHeight="true" customFormat="true" s="9">
      <c r="A613" s="10" t="s">
        <v>25</v>
      </c>
      <c r="B613" s="10"/>
      <c r="C613" s="10"/>
      <c r="D613" s="10"/>
      <c r="E613" s="10"/>
      <c r="F613" s="10"/>
      <c r="G613" s="11">
        <v>0</v>
      </c>
      <c r="H613" s="11">
        <v>4391.0000</v>
      </c>
      <c r="I613" s="11">
        <f ca="1">I610</f>
        <v>0</v>
      </c>
      <c r="J613" s="11">
        <v>0</v>
      </c>
      <c r="K613" s="10"/>
      <c r="L613" s="10"/>
    </row>
    <row r="614" ht="13.35" customHeight="true"/>
    <row r="615" ht="12.1" customHeight="true" customFormat="true" s="5">
      <c r="A615" s="8" t="s">
        <v>387</v>
      </c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ht="10.95" customHeight="true" customFormat="true" s="9">
      <c r="A616" s="10" t="s">
        <v>16</v>
      </c>
      <c r="B616" s="10"/>
      <c r="C616" s="10"/>
      <c r="D616" s="10"/>
      <c r="E616" s="10"/>
      <c r="F616" s="10"/>
      <c r="G616" s="11">
        <v>0</v>
      </c>
      <c r="H616" s="11">
        <v>0</v>
      </c>
      <c r="I616" s="11">
        <f ca="1">(G616 - H616)</f>
        <v>0</v>
      </c>
      <c r="J616" s="11">
        <v>0</v>
      </c>
      <c r="K616" s="10"/>
      <c r="L616" s="10"/>
    </row>
    <row r="617" ht="10.95" customHeight="true" customFormat="true" s="9">
      <c r="A617" s="12">
        <v>45473</v>
      </c>
      <c r="B617" s="13" t="s">
        <v>388</v>
      </c>
      <c r="C617" s="13" t="s">
        <v>352</v>
      </c>
      <c r="D617" s="13" t="s">
        <v>19</v>
      </c>
      <c r="E617" s="13" t="s">
        <v>389</v>
      </c>
      <c r="F617" s="13" t="s">
        <v>21</v>
      </c>
      <c r="G617" s="14">
        <v>0</v>
      </c>
      <c r="H617" s="14">
        <v>3668.1200</v>
      </c>
      <c r="I617" s="14">
        <f ca="1">((I616 + G617) - H617)</f>
        <v>0</v>
      </c>
      <c r="J617" s="14">
        <v>0</v>
      </c>
      <c r="K617" s="15">
        <v>0</v>
      </c>
      <c r="L617" s="13" t="s">
        <v>22</v>
      </c>
    </row>
    <row r="618" ht="10.95" customHeight="true" customFormat="true" s="9">
      <c r="A618" s="16" t="s">
        <v>390</v>
      </c>
      <c r="B618" s="16"/>
      <c r="C618" s="16"/>
      <c r="D618" s="16"/>
      <c r="E618" s="16"/>
      <c r="F618" s="16"/>
      <c r="G618" s="17">
        <f ca="1">G617</f>
        <v>0</v>
      </c>
      <c r="H618" s="17">
        <f ca="1">H617</f>
        <v>0</v>
      </c>
      <c r="I618" s="17">
        <f ca="1">I617</f>
        <v>0</v>
      </c>
      <c r="J618" s="17">
        <f ca="1">J617</f>
        <v>0</v>
      </c>
      <c r="K618" s="16"/>
      <c r="L618" s="16"/>
    </row>
    <row r="619" ht="10.95" customHeight="true" customFormat="true" s="9">
      <c r="A619" s="16" t="s">
        <v>24</v>
      </c>
      <c r="B619" s="16"/>
      <c r="C619" s="16"/>
      <c r="D619" s="16"/>
      <c r="E619" s="16"/>
      <c r="F619" s="16"/>
      <c r="G619" s="17">
        <v>0</v>
      </c>
      <c r="H619" s="17">
        <v>3668.1200</v>
      </c>
      <c r="I619" s="17">
        <v>0</v>
      </c>
      <c r="J619" s="17">
        <v>0</v>
      </c>
      <c r="K619" s="16"/>
      <c r="L619" s="16"/>
    </row>
    <row r="620" ht="10.95" customHeight="true" customFormat="true" s="9">
      <c r="A620" s="10" t="s">
        <v>25</v>
      </c>
      <c r="B620" s="10"/>
      <c r="C620" s="10"/>
      <c r="D620" s="10"/>
      <c r="E620" s="10"/>
      <c r="F620" s="10"/>
      <c r="G620" s="11">
        <v>0</v>
      </c>
      <c r="H620" s="11">
        <v>3668.1200</v>
      </c>
      <c r="I620" s="11">
        <f ca="1">I617</f>
        <v>0</v>
      </c>
      <c r="J620" s="11">
        <v>0</v>
      </c>
      <c r="K620" s="10"/>
      <c r="L620" s="10"/>
    </row>
    <row r="621" ht="13.35" customHeight="true"/>
    <row r="622" ht="12.1" customHeight="true" customFormat="true" s="5">
      <c r="A622" s="8" t="s">
        <v>391</v>
      </c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ht="10.95" customHeight="true" customFormat="true" s="9">
      <c r="A623" s="10" t="s">
        <v>16</v>
      </c>
      <c r="B623" s="10"/>
      <c r="C623" s="10"/>
      <c r="D623" s="10"/>
      <c r="E623" s="10"/>
      <c r="F623" s="10"/>
      <c r="G623" s="11">
        <v>0</v>
      </c>
      <c r="H623" s="11">
        <v>0</v>
      </c>
      <c r="I623" s="11">
        <f ca="1">(G623 - H623)</f>
        <v>0</v>
      </c>
      <c r="J623" s="11">
        <v>0</v>
      </c>
      <c r="K623" s="10"/>
      <c r="L623" s="10"/>
    </row>
    <row r="624" ht="10.95" customHeight="true" customFormat="true" s="9">
      <c r="A624" s="12">
        <v>45473</v>
      </c>
      <c r="B624" s="13" t="s">
        <v>392</v>
      </c>
      <c r="C624" s="13" t="s">
        <v>352</v>
      </c>
      <c r="D624" s="13" t="s">
        <v>19</v>
      </c>
      <c r="E624" s="13" t="s">
        <v>290</v>
      </c>
      <c r="F624" s="13" t="s">
        <v>291</v>
      </c>
      <c r="G624" s="14">
        <v>0</v>
      </c>
      <c r="H624" s="14">
        <v>16.2300</v>
      </c>
      <c r="I624" s="14">
        <f ca="1">((I623 + G624) - H624)</f>
        <v>0</v>
      </c>
      <c r="J624" s="14">
        <v>0</v>
      </c>
      <c r="K624" s="15">
        <v>0</v>
      </c>
      <c r="L624" s="13" t="s">
        <v>22</v>
      </c>
    </row>
    <row r="625" ht="10.95" customHeight="true" customFormat="true" s="9">
      <c r="A625" s="18">
        <v>45473</v>
      </c>
      <c r="B625" s="19" t="s">
        <v>392</v>
      </c>
      <c r="C625" s="19" t="s">
        <v>352</v>
      </c>
      <c r="D625" s="19" t="s">
        <v>19</v>
      </c>
      <c r="E625" s="19" t="s">
        <v>70</v>
      </c>
      <c r="F625" s="19" t="s">
        <v>71</v>
      </c>
      <c r="G625" s="20">
        <v>0</v>
      </c>
      <c r="H625" s="20">
        <v>358.5500</v>
      </c>
      <c r="I625" s="20">
        <f ca="1">((I624 + G625) - H625)</f>
        <v>0</v>
      </c>
      <c r="J625" s="20">
        <v>0</v>
      </c>
      <c r="K625" s="21">
        <v>0</v>
      </c>
      <c r="L625" s="19" t="s">
        <v>22</v>
      </c>
    </row>
    <row r="626" ht="10.95" customHeight="true" customFormat="true" s="9">
      <c r="A626" s="16" t="s">
        <v>393</v>
      </c>
      <c r="B626" s="16"/>
      <c r="C626" s="16"/>
      <c r="D626" s="16"/>
      <c r="E626" s="16"/>
      <c r="F626" s="16"/>
      <c r="G626" s="17">
        <f ca="1">SUM(G624:G625)</f>
        <v>0</v>
      </c>
      <c r="H626" s="17">
        <f ca="1">SUM(H624:H625)</f>
        <v>0</v>
      </c>
      <c r="I626" s="17">
        <f ca="1">I625</f>
        <v>0</v>
      </c>
      <c r="J626" s="17">
        <f ca="1">SUM(J624:J625)</f>
        <v>0</v>
      </c>
      <c r="K626" s="16"/>
      <c r="L626" s="16"/>
    </row>
    <row r="627" ht="10.95" customHeight="true" customFormat="true" s="9">
      <c r="A627" s="16" t="s">
        <v>24</v>
      </c>
      <c r="B627" s="16"/>
      <c r="C627" s="16"/>
      <c r="D627" s="16"/>
      <c r="E627" s="16"/>
      <c r="F627" s="16"/>
      <c r="G627" s="17">
        <v>0</v>
      </c>
      <c r="H627" s="17">
        <v>374.7800</v>
      </c>
      <c r="I627" s="17">
        <v>0</v>
      </c>
      <c r="J627" s="17">
        <v>0</v>
      </c>
      <c r="K627" s="16"/>
      <c r="L627" s="16"/>
    </row>
    <row r="628" ht="10.95" customHeight="true" customFormat="true" s="9">
      <c r="A628" s="10" t="s">
        <v>25</v>
      </c>
      <c r="B628" s="10"/>
      <c r="C628" s="10"/>
      <c r="D628" s="10"/>
      <c r="E628" s="10"/>
      <c r="F628" s="10"/>
      <c r="G628" s="11">
        <v>0</v>
      </c>
      <c r="H628" s="11">
        <v>374.7800</v>
      </c>
      <c r="I628" s="11">
        <f ca="1">I625</f>
        <v>0</v>
      </c>
      <c r="J628" s="11">
        <v>0</v>
      </c>
      <c r="K628" s="10"/>
      <c r="L628" s="10"/>
    </row>
    <row r="629" ht="13.35" customHeight="true"/>
    <row r="630" ht="12.1" customHeight="true" customFormat="true" s="5">
      <c r="A630" s="8" t="s">
        <v>394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ht="10.95" customHeight="true" customFormat="true" s="9">
      <c r="A631" s="10" t="s">
        <v>16</v>
      </c>
      <c r="B631" s="10"/>
      <c r="C631" s="10"/>
      <c r="D631" s="10"/>
      <c r="E631" s="10"/>
      <c r="F631" s="10"/>
      <c r="G631" s="11">
        <v>0</v>
      </c>
      <c r="H631" s="11">
        <v>0</v>
      </c>
      <c r="I631" s="11">
        <f ca="1">(G631 - H631)</f>
        <v>0</v>
      </c>
      <c r="J631" s="11">
        <v>0</v>
      </c>
      <c r="K631" s="10"/>
      <c r="L631" s="10"/>
    </row>
    <row r="632" ht="10.95" customHeight="true" customFormat="true" s="9">
      <c r="A632" s="12">
        <v>45473</v>
      </c>
      <c r="B632" s="13" t="s">
        <v>395</v>
      </c>
      <c r="C632" s="13" t="s">
        <v>352</v>
      </c>
      <c r="D632" s="13" t="s">
        <v>19</v>
      </c>
      <c r="E632" s="13" t="s">
        <v>396</v>
      </c>
      <c r="F632" s="13" t="s">
        <v>397</v>
      </c>
      <c r="G632" s="14">
        <v>0.0100</v>
      </c>
      <c r="H632" s="14">
        <v>0</v>
      </c>
      <c r="I632" s="14">
        <f ca="1">((I631 + G632) - H632)</f>
        <v>0</v>
      </c>
      <c r="J632" s="14">
        <v>0</v>
      </c>
      <c r="K632" s="15">
        <v>0</v>
      </c>
      <c r="L632" s="13" t="s">
        <v>22</v>
      </c>
    </row>
    <row r="633" ht="10.95" customHeight="true" customFormat="true" s="9">
      <c r="A633" s="18">
        <v>45473</v>
      </c>
      <c r="B633" s="19" t="s">
        <v>395</v>
      </c>
      <c r="C633" s="19" t="s">
        <v>352</v>
      </c>
      <c r="D633" s="19" t="s">
        <v>19</v>
      </c>
      <c r="E633" s="19" t="s">
        <v>396</v>
      </c>
      <c r="F633" s="19" t="s">
        <v>397</v>
      </c>
      <c r="G633" s="20">
        <v>0</v>
      </c>
      <c r="H633" s="20">
        <v>0.0100</v>
      </c>
      <c r="I633" s="20">
        <f ca="1">((I632 + G633) - H633)</f>
        <v>0</v>
      </c>
      <c r="J633" s="20">
        <v>0</v>
      </c>
      <c r="K633" s="21">
        <v>0</v>
      </c>
      <c r="L633" s="19" t="s">
        <v>22</v>
      </c>
    </row>
    <row r="634" ht="10.95" customHeight="true" customFormat="true" s="9">
      <c r="A634" s="16" t="s">
        <v>398</v>
      </c>
      <c r="B634" s="16"/>
      <c r="C634" s="16"/>
      <c r="D634" s="16"/>
      <c r="E634" s="16"/>
      <c r="F634" s="16"/>
      <c r="G634" s="17">
        <f ca="1">SUM(G632:G633)</f>
        <v>0</v>
      </c>
      <c r="H634" s="17">
        <f ca="1">SUM(H632:H633)</f>
        <v>0</v>
      </c>
      <c r="I634" s="17">
        <f ca="1">I633</f>
        <v>0</v>
      </c>
      <c r="J634" s="17">
        <f ca="1">SUM(J632:J633)</f>
        <v>0</v>
      </c>
      <c r="K634" s="16"/>
      <c r="L634" s="16"/>
    </row>
    <row r="635" ht="10.95" customHeight="true" customFormat="true" s="9">
      <c r="A635" s="16" t="s">
        <v>24</v>
      </c>
      <c r="B635" s="16"/>
      <c r="C635" s="16"/>
      <c r="D635" s="16"/>
      <c r="E635" s="16"/>
      <c r="F635" s="16"/>
      <c r="G635" s="17">
        <v>0</v>
      </c>
      <c r="H635" s="17">
        <v>0</v>
      </c>
      <c r="I635" s="17">
        <v>0</v>
      </c>
      <c r="J635" s="17">
        <v>0</v>
      </c>
      <c r="K635" s="16"/>
      <c r="L635" s="16"/>
    </row>
    <row r="636" ht="10.95" customHeight="true" customFormat="true" s="9">
      <c r="A636" s="10" t="s">
        <v>25</v>
      </c>
      <c r="B636" s="10"/>
      <c r="C636" s="10"/>
      <c r="D636" s="10"/>
      <c r="E636" s="10"/>
      <c r="F636" s="10"/>
      <c r="G636" s="11">
        <v>0</v>
      </c>
      <c r="H636" s="11">
        <v>0</v>
      </c>
      <c r="I636" s="11">
        <f ca="1">I633</f>
        <v>0</v>
      </c>
      <c r="J636" s="11">
        <v>0</v>
      </c>
      <c r="K636" s="10"/>
      <c r="L636" s="10"/>
    </row>
    <row r="637" ht="13.35" customHeight="true"/>
    <row r="638" ht="12.1" customHeight="true" customFormat="true" s="5">
      <c r="A638" s="8" t="s">
        <v>399</v>
      </c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ht="10.95" customHeight="true" customFormat="true" s="9">
      <c r="A639" s="10" t="s">
        <v>16</v>
      </c>
      <c r="B639" s="10"/>
      <c r="C639" s="10"/>
      <c r="D639" s="10"/>
      <c r="E639" s="10"/>
      <c r="F639" s="10"/>
      <c r="G639" s="11">
        <v>0</v>
      </c>
      <c r="H639" s="11">
        <v>0</v>
      </c>
      <c r="I639" s="11">
        <f ca="1">(G639 - H639)</f>
        <v>0</v>
      </c>
      <c r="J639" s="11">
        <v>0</v>
      </c>
      <c r="K639" s="10"/>
      <c r="L639" s="10"/>
    </row>
    <row r="640" ht="10.95" customHeight="true" customFormat="true" s="9">
      <c r="A640" s="12">
        <v>45473</v>
      </c>
      <c r="B640" s="13" t="s">
        <v>400</v>
      </c>
      <c r="C640" s="13" t="s">
        <v>352</v>
      </c>
      <c r="D640" s="13" t="s">
        <v>19</v>
      </c>
      <c r="E640" s="13" t="s">
        <v>401</v>
      </c>
      <c r="F640" s="13" t="s">
        <v>402</v>
      </c>
      <c r="G640" s="14">
        <v>0.1000</v>
      </c>
      <c r="H640" s="14">
        <v>0</v>
      </c>
      <c r="I640" s="14">
        <f ca="1">((I639 + G640) - H640)</f>
        <v>0</v>
      </c>
      <c r="J640" s="14">
        <v>0</v>
      </c>
      <c r="K640" s="15">
        <v>0</v>
      </c>
      <c r="L640" s="13" t="s">
        <v>22</v>
      </c>
    </row>
    <row r="641" ht="10.95" customHeight="true" customFormat="true" s="9">
      <c r="A641" s="18">
        <v>45473</v>
      </c>
      <c r="B641" s="19" t="s">
        <v>400</v>
      </c>
      <c r="C641" s="19" t="s">
        <v>352</v>
      </c>
      <c r="D641" s="19" t="s">
        <v>19</v>
      </c>
      <c r="E641" s="19" t="s">
        <v>401</v>
      </c>
      <c r="F641" s="19" t="s">
        <v>402</v>
      </c>
      <c r="G641" s="20">
        <v>0</v>
      </c>
      <c r="H641" s="20">
        <v>0.1000</v>
      </c>
      <c r="I641" s="20">
        <f ca="1">((I640 + G641) - H641)</f>
        <v>0</v>
      </c>
      <c r="J641" s="20">
        <v>0</v>
      </c>
      <c r="K641" s="21">
        <v>0</v>
      </c>
      <c r="L641" s="19" t="s">
        <v>22</v>
      </c>
    </row>
    <row r="642" ht="10.95" customHeight="true" customFormat="true" s="9">
      <c r="A642" s="16" t="s">
        <v>403</v>
      </c>
      <c r="B642" s="16"/>
      <c r="C642" s="16"/>
      <c r="D642" s="16"/>
      <c r="E642" s="16"/>
      <c r="F642" s="16"/>
      <c r="G642" s="17">
        <f ca="1">SUM(G640:G641)</f>
        <v>0</v>
      </c>
      <c r="H642" s="17">
        <f ca="1">SUM(H640:H641)</f>
        <v>0</v>
      </c>
      <c r="I642" s="17">
        <f ca="1">I641</f>
        <v>0</v>
      </c>
      <c r="J642" s="17">
        <f ca="1">SUM(J640:J641)</f>
        <v>0</v>
      </c>
      <c r="K642" s="16"/>
      <c r="L642" s="16"/>
    </row>
    <row r="643" ht="10.95" customHeight="true" customFormat="true" s="9">
      <c r="A643" s="16" t="s">
        <v>24</v>
      </c>
      <c r="B643" s="16"/>
      <c r="C643" s="16"/>
      <c r="D643" s="16"/>
      <c r="E643" s="16"/>
      <c r="F643" s="16"/>
      <c r="G643" s="17">
        <v>0</v>
      </c>
      <c r="H643" s="17">
        <v>0</v>
      </c>
      <c r="I643" s="17">
        <v>0</v>
      </c>
      <c r="J643" s="17">
        <v>0</v>
      </c>
      <c r="K643" s="16"/>
      <c r="L643" s="16"/>
    </row>
    <row r="644" ht="10.95" customHeight="true" customFormat="true" s="9">
      <c r="A644" s="10" t="s">
        <v>25</v>
      </c>
      <c r="B644" s="10"/>
      <c r="C644" s="10"/>
      <c r="D644" s="10"/>
      <c r="E644" s="10"/>
      <c r="F644" s="10"/>
      <c r="G644" s="11">
        <v>0</v>
      </c>
      <c r="H644" s="11">
        <v>0</v>
      </c>
      <c r="I644" s="11">
        <f ca="1">I641</f>
        <v>0</v>
      </c>
      <c r="J644" s="11">
        <v>0</v>
      </c>
      <c r="K644" s="10"/>
      <c r="L644" s="10"/>
    </row>
    <row r="645" ht="13.35" customHeight="true"/>
    <row r="646" ht="12.1" customHeight="true" customFormat="true" s="5">
      <c r="A646" s="8" t="s">
        <v>404</v>
      </c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ht="10.95" customHeight="true" customFormat="true" s="9">
      <c r="A647" s="10" t="s">
        <v>16</v>
      </c>
      <c r="B647" s="10"/>
      <c r="C647" s="10"/>
      <c r="D647" s="10"/>
      <c r="E647" s="10"/>
      <c r="F647" s="10"/>
      <c r="G647" s="11">
        <v>0</v>
      </c>
      <c r="H647" s="11">
        <v>313895.4000</v>
      </c>
      <c r="I647" s="11">
        <f ca="1">(G647 - H647)</f>
        <v>0</v>
      </c>
      <c r="J647" s="11">
        <v>0</v>
      </c>
      <c r="K647" s="10"/>
      <c r="L647" s="10"/>
    </row>
    <row r="648" ht="10.95" customHeight="true" customFormat="true" s="9">
      <c r="A648" s="12">
        <v>45473</v>
      </c>
      <c r="B648" s="13" t="s">
        <v>405</v>
      </c>
      <c r="C648" s="13" t="s">
        <v>406</v>
      </c>
      <c r="D648" s="13" t="s">
        <v>19</v>
      </c>
      <c r="E648" s="13" t="s">
        <v>407</v>
      </c>
      <c r="F648" s="13" t="s">
        <v>21</v>
      </c>
      <c r="G648" s="14">
        <v>102884.0100</v>
      </c>
      <c r="H648" s="14">
        <v>0</v>
      </c>
      <c r="I648" s="14">
        <f ca="1">((I647 + G648) - H648)</f>
        <v>0</v>
      </c>
      <c r="J648" s="14">
        <v>0</v>
      </c>
      <c r="K648" s="15">
        <v>0</v>
      </c>
      <c r="L648" s="13" t="s">
        <v>22</v>
      </c>
    </row>
    <row r="649" ht="10.95" customHeight="true" customFormat="true" s="9">
      <c r="A649" s="16" t="s">
        <v>408</v>
      </c>
      <c r="B649" s="16"/>
      <c r="C649" s="16"/>
      <c r="D649" s="16"/>
      <c r="E649" s="16"/>
      <c r="F649" s="16"/>
      <c r="G649" s="17">
        <f ca="1">G648</f>
        <v>0</v>
      </c>
      <c r="H649" s="17">
        <f ca="1">H648</f>
        <v>0</v>
      </c>
      <c r="I649" s="17">
        <f ca="1">I648</f>
        <v>0</v>
      </c>
      <c r="J649" s="17">
        <f ca="1">J648</f>
        <v>0</v>
      </c>
      <c r="K649" s="16"/>
      <c r="L649" s="16"/>
    </row>
    <row r="650" ht="10.95" customHeight="true" customFormat="true" s="9">
      <c r="A650" s="16" t="s">
        <v>24</v>
      </c>
      <c r="B650" s="16"/>
      <c r="C650" s="16"/>
      <c r="D650" s="16"/>
      <c r="E650" s="16"/>
      <c r="F650" s="16"/>
      <c r="G650" s="17">
        <v>102884.0100</v>
      </c>
      <c r="H650" s="17">
        <v>0</v>
      </c>
      <c r="I650" s="17">
        <v>0</v>
      </c>
      <c r="J650" s="17">
        <v>0</v>
      </c>
      <c r="K650" s="16"/>
      <c r="L650" s="16"/>
    </row>
    <row r="651" ht="10.95" customHeight="true" customFormat="true" s="9">
      <c r="A651" s="10" t="s">
        <v>25</v>
      </c>
      <c r="B651" s="10"/>
      <c r="C651" s="10"/>
      <c r="D651" s="10"/>
      <c r="E651" s="10"/>
      <c r="F651" s="10"/>
      <c r="G651" s="11">
        <v>0</v>
      </c>
      <c r="H651" s="11">
        <v>211011.3900</v>
      </c>
      <c r="I651" s="11">
        <f ca="1">I648</f>
        <v>0</v>
      </c>
      <c r="J651" s="11">
        <v>0</v>
      </c>
      <c r="K651" s="10"/>
      <c r="L651" s="10"/>
    </row>
    <row r="652" ht="13.35" customHeight="true"/>
    <row r="653" ht="12.1" customHeight="true" customFormat="true" s="5">
      <c r="A653" s="8" t="s">
        <v>409</v>
      </c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ht="10.95" customHeight="true" customFormat="true" s="9">
      <c r="A654" s="10" t="s">
        <v>16</v>
      </c>
      <c r="B654" s="10"/>
      <c r="C654" s="10"/>
      <c r="D654" s="10"/>
      <c r="E654" s="10"/>
      <c r="F654" s="10"/>
      <c r="G654" s="11">
        <v>0</v>
      </c>
      <c r="H654" s="11">
        <v>0</v>
      </c>
      <c r="I654" s="11">
        <f ca="1">(G654 - H654)</f>
        <v>0</v>
      </c>
      <c r="J654" s="11">
        <v>0</v>
      </c>
      <c r="K654" s="10"/>
      <c r="L654" s="10"/>
    </row>
    <row r="655" ht="10.95" customHeight="true" customFormat="true" s="9">
      <c r="A655" s="12">
        <v>45473</v>
      </c>
      <c r="B655" s="13" t="s">
        <v>410</v>
      </c>
      <c r="C655" s="13" t="s">
        <v>406</v>
      </c>
      <c r="D655" s="13" t="s">
        <v>19</v>
      </c>
      <c r="E655" s="13" t="s">
        <v>411</v>
      </c>
      <c r="F655" s="13" t="s">
        <v>21</v>
      </c>
      <c r="G655" s="14">
        <v>0</v>
      </c>
      <c r="H655" s="14">
        <v>29734.9700</v>
      </c>
      <c r="I655" s="14">
        <f ca="1">((I654 + G655) - H655)</f>
        <v>0</v>
      </c>
      <c r="J655" s="14">
        <v>0</v>
      </c>
      <c r="K655" s="15">
        <v>0</v>
      </c>
      <c r="L655" s="13" t="s">
        <v>22</v>
      </c>
    </row>
    <row r="656" ht="10.95" customHeight="true" customFormat="true" s="9">
      <c r="A656" s="16" t="s">
        <v>412</v>
      </c>
      <c r="B656" s="16"/>
      <c r="C656" s="16"/>
      <c r="D656" s="16"/>
      <c r="E656" s="16"/>
      <c r="F656" s="16"/>
      <c r="G656" s="17">
        <f ca="1">G655</f>
        <v>0</v>
      </c>
      <c r="H656" s="17">
        <f ca="1">H655</f>
        <v>0</v>
      </c>
      <c r="I656" s="17">
        <f ca="1">I655</f>
        <v>0</v>
      </c>
      <c r="J656" s="17">
        <f ca="1">J655</f>
        <v>0</v>
      </c>
      <c r="K656" s="16"/>
      <c r="L656" s="16"/>
    </row>
    <row r="657" ht="10.95" customHeight="true" customFormat="true" s="9">
      <c r="A657" s="16" t="s">
        <v>24</v>
      </c>
      <c r="B657" s="16"/>
      <c r="C657" s="16"/>
      <c r="D657" s="16"/>
      <c r="E657" s="16"/>
      <c r="F657" s="16"/>
      <c r="G657" s="17">
        <v>0</v>
      </c>
      <c r="H657" s="17">
        <v>29734.9700</v>
      </c>
      <c r="I657" s="17">
        <v>0</v>
      </c>
      <c r="J657" s="17">
        <v>0</v>
      </c>
      <c r="K657" s="16"/>
      <c r="L657" s="16"/>
    </row>
    <row r="658" ht="10.95" customHeight="true" customFormat="true" s="9">
      <c r="A658" s="10" t="s">
        <v>25</v>
      </c>
      <c r="B658" s="10"/>
      <c r="C658" s="10"/>
      <c r="D658" s="10"/>
      <c r="E658" s="10"/>
      <c r="F658" s="10"/>
      <c r="G658" s="11">
        <v>0</v>
      </c>
      <c r="H658" s="11">
        <v>29734.9700</v>
      </c>
      <c r="I658" s="11">
        <f ca="1">I655</f>
        <v>0</v>
      </c>
      <c r="J658" s="11">
        <v>0</v>
      </c>
      <c r="K658" s="10"/>
      <c r="L658" s="10"/>
    </row>
    <row r="659" ht="13.35" customHeight="true"/>
    <row r="660" ht="12.1" customHeight="true" customFormat="true" s="5">
      <c r="A660" s="8" t="s">
        <v>413</v>
      </c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ht="10.95" customHeight="true" customFormat="true" s="9">
      <c r="A661" s="10" t="s">
        <v>16</v>
      </c>
      <c r="B661" s="10"/>
      <c r="C661" s="10"/>
      <c r="D661" s="10"/>
      <c r="E661" s="10"/>
      <c r="F661" s="10"/>
      <c r="G661" s="11">
        <v>0</v>
      </c>
      <c r="H661" s="11">
        <v>0</v>
      </c>
      <c r="I661" s="11">
        <f ca="1">(G661 - H661)</f>
        <v>0</v>
      </c>
      <c r="J661" s="11">
        <v>0</v>
      </c>
      <c r="K661" s="10"/>
      <c r="L661" s="10"/>
    </row>
    <row r="662" ht="10.95" customHeight="true" customFormat="true" s="9">
      <c r="A662" s="12">
        <v>45473</v>
      </c>
      <c r="B662" s="13" t="s">
        <v>414</v>
      </c>
      <c r="C662" s="13" t="s">
        <v>406</v>
      </c>
      <c r="D662" s="13" t="s">
        <v>19</v>
      </c>
      <c r="E662" s="13" t="s">
        <v>415</v>
      </c>
      <c r="F662" s="13" t="s">
        <v>21</v>
      </c>
      <c r="G662" s="14">
        <v>0</v>
      </c>
      <c r="H662" s="14">
        <v>26754.2000</v>
      </c>
      <c r="I662" s="14">
        <f ca="1">((I661 + G662) - H662)</f>
        <v>0</v>
      </c>
      <c r="J662" s="14">
        <v>0</v>
      </c>
      <c r="K662" s="15">
        <v>0</v>
      </c>
      <c r="L662" s="13" t="s">
        <v>22</v>
      </c>
    </row>
    <row r="663" ht="10.95" customHeight="true" customFormat="true" s="9">
      <c r="A663" s="16" t="s">
        <v>416</v>
      </c>
      <c r="B663" s="16"/>
      <c r="C663" s="16"/>
      <c r="D663" s="16"/>
      <c r="E663" s="16"/>
      <c r="F663" s="16"/>
      <c r="G663" s="17">
        <f ca="1">G662</f>
        <v>0</v>
      </c>
      <c r="H663" s="17">
        <f ca="1">H662</f>
        <v>0</v>
      </c>
      <c r="I663" s="17">
        <f ca="1">I662</f>
        <v>0</v>
      </c>
      <c r="J663" s="17">
        <f ca="1">J662</f>
        <v>0</v>
      </c>
      <c r="K663" s="16"/>
      <c r="L663" s="16"/>
    </row>
    <row r="664" ht="10.95" customHeight="true" customFormat="true" s="9">
      <c r="A664" s="16" t="s">
        <v>24</v>
      </c>
      <c r="B664" s="16"/>
      <c r="C664" s="16"/>
      <c r="D664" s="16"/>
      <c r="E664" s="16"/>
      <c r="F664" s="16"/>
      <c r="G664" s="17">
        <v>0</v>
      </c>
      <c r="H664" s="17">
        <v>26754.2000</v>
      </c>
      <c r="I664" s="17">
        <v>0</v>
      </c>
      <c r="J664" s="17">
        <v>0</v>
      </c>
      <c r="K664" s="16"/>
      <c r="L664" s="16"/>
    </row>
    <row r="665" ht="10.95" customHeight="true" customFormat="true" s="9">
      <c r="A665" s="10" t="s">
        <v>25</v>
      </c>
      <c r="B665" s="10"/>
      <c r="C665" s="10"/>
      <c r="D665" s="10"/>
      <c r="E665" s="10"/>
      <c r="F665" s="10"/>
      <c r="G665" s="11">
        <v>0</v>
      </c>
      <c r="H665" s="11">
        <v>26754.2000</v>
      </c>
      <c r="I665" s="11">
        <f ca="1">I662</f>
        <v>0</v>
      </c>
      <c r="J665" s="11">
        <v>0</v>
      </c>
      <c r="K665" s="10"/>
      <c r="L665" s="10"/>
    </row>
    <row r="666" ht="13.35" customHeight="true"/>
    <row r="667" ht="12.1" customHeight="true" customFormat="true" s="5">
      <c r="A667" s="8" t="s">
        <v>417</v>
      </c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ht="10.95" customHeight="true" customFormat="true" s="9">
      <c r="A668" s="10" t="s">
        <v>16</v>
      </c>
      <c r="B668" s="10"/>
      <c r="C668" s="10"/>
      <c r="D668" s="10"/>
      <c r="E668" s="10"/>
      <c r="F668" s="10"/>
      <c r="G668" s="11">
        <v>79742.1600</v>
      </c>
      <c r="H668" s="11">
        <v>0</v>
      </c>
      <c r="I668" s="11">
        <f ca="1">(G668 - H668)</f>
        <v>0</v>
      </c>
      <c r="J668" s="11">
        <v>0</v>
      </c>
      <c r="K668" s="10"/>
      <c r="L668" s="10"/>
    </row>
    <row r="669" ht="10.95" customHeight="true" customFormat="true" s="9">
      <c r="A669" s="13"/>
      <c r="B669" s="13" t="s">
        <v>418</v>
      </c>
      <c r="C669" s="13" t="s">
        <v>419</v>
      </c>
      <c r="D669" s="13"/>
      <c r="E669" s="13" t="s">
        <v>33</v>
      </c>
      <c r="F669" s="13"/>
      <c r="G669" s="14">
        <v>0</v>
      </c>
      <c r="H669" s="14">
        <v>0</v>
      </c>
      <c r="I669" s="14">
        <f ca="1">((I668 + G669) - H669)</f>
        <v>0</v>
      </c>
      <c r="J669" s="14">
        <v>0</v>
      </c>
      <c r="K669" s="15">
        <v>0</v>
      </c>
      <c r="L669" s="13"/>
    </row>
    <row r="670" ht="10.95" customHeight="true" customFormat="true" s="9">
      <c r="A670" s="16" t="s">
        <v>420</v>
      </c>
      <c r="B670" s="16"/>
      <c r="C670" s="16"/>
      <c r="D670" s="16"/>
      <c r="E670" s="16"/>
      <c r="F670" s="16"/>
      <c r="G670" s="17">
        <f ca="1">G669</f>
        <v>0</v>
      </c>
      <c r="H670" s="17">
        <f ca="1">H669</f>
        <v>0</v>
      </c>
      <c r="I670" s="17">
        <f ca="1">I669</f>
        <v>0</v>
      </c>
      <c r="J670" s="17">
        <f ca="1">J669</f>
        <v>0</v>
      </c>
      <c r="K670" s="16"/>
      <c r="L670" s="16"/>
    </row>
    <row r="671" ht="10.95" customHeight="true" customFormat="true" s="9">
      <c r="A671" s="16" t="s">
        <v>24</v>
      </c>
      <c r="B671" s="16"/>
      <c r="C671" s="16"/>
      <c r="D671" s="16"/>
      <c r="E671" s="16"/>
      <c r="F671" s="16"/>
      <c r="G671" s="17">
        <v>0</v>
      </c>
      <c r="H671" s="17">
        <v>0</v>
      </c>
      <c r="I671" s="17">
        <v>0</v>
      </c>
      <c r="J671" s="17">
        <v>0</v>
      </c>
      <c r="K671" s="16"/>
      <c r="L671" s="16"/>
    </row>
    <row r="672" ht="10.95" customHeight="true" customFormat="true" s="9">
      <c r="A672" s="10" t="s">
        <v>25</v>
      </c>
      <c r="B672" s="10"/>
      <c r="C672" s="10"/>
      <c r="D672" s="10"/>
      <c r="E672" s="10"/>
      <c r="F672" s="10"/>
      <c r="G672" s="11">
        <v>79742.1600</v>
      </c>
      <c r="H672" s="11">
        <v>0</v>
      </c>
      <c r="I672" s="11">
        <f ca="1">I669</f>
        <v>0</v>
      </c>
      <c r="J672" s="11">
        <v>0</v>
      </c>
      <c r="K672" s="10"/>
      <c r="L672" s="10"/>
    </row>
    <row r="673" ht="13.35" customHeight="true"/>
    <row r="674" ht="12.1" customHeight="true" customFormat="true" s="5">
      <c r="A674" s="8" t="s">
        <v>421</v>
      </c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ht="10.95" customHeight="true" customFormat="true" s="9">
      <c r="A675" s="10" t="s">
        <v>16</v>
      </c>
      <c r="B675" s="10"/>
      <c r="C675" s="10"/>
      <c r="D675" s="10"/>
      <c r="E675" s="10"/>
      <c r="F675" s="10"/>
      <c r="G675" s="11">
        <v>0</v>
      </c>
      <c r="H675" s="11">
        <v>0</v>
      </c>
      <c r="I675" s="11">
        <f ca="1">(G675 - H675)</f>
        <v>0</v>
      </c>
      <c r="J675" s="11">
        <v>0</v>
      </c>
      <c r="K675" s="10"/>
      <c r="L675" s="10"/>
    </row>
    <row r="676" ht="10.95" customHeight="true" customFormat="true" s="9">
      <c r="A676" s="12">
        <v>45473</v>
      </c>
      <c r="B676" s="13" t="s">
        <v>422</v>
      </c>
      <c r="C676" s="13" t="s">
        <v>419</v>
      </c>
      <c r="D676" s="13" t="s">
        <v>19</v>
      </c>
      <c r="E676" s="13" t="s">
        <v>423</v>
      </c>
      <c r="F676" s="13" t="s">
        <v>21</v>
      </c>
      <c r="G676" s="14">
        <v>0</v>
      </c>
      <c r="H676" s="14">
        <v>1000.0000</v>
      </c>
      <c r="I676" s="14">
        <f ca="1">((I675 + G676) - H676)</f>
        <v>0</v>
      </c>
      <c r="J676" s="14">
        <v>0</v>
      </c>
      <c r="K676" s="15">
        <v>0</v>
      </c>
      <c r="L676" s="13" t="s">
        <v>22</v>
      </c>
    </row>
    <row r="677" ht="10.95" customHeight="true" customFormat="true" s="9">
      <c r="A677" s="18">
        <v>45473</v>
      </c>
      <c r="B677" s="19" t="s">
        <v>422</v>
      </c>
      <c r="C677" s="19" t="s">
        <v>419</v>
      </c>
      <c r="D677" s="19" t="s">
        <v>19</v>
      </c>
      <c r="E677" s="19" t="s">
        <v>424</v>
      </c>
      <c r="F677" s="19" t="s">
        <v>425</v>
      </c>
      <c r="G677" s="20">
        <v>1000.0000</v>
      </c>
      <c r="H677" s="20">
        <v>0</v>
      </c>
      <c r="I677" s="20">
        <f ca="1">((I676 + G677) - H677)</f>
        <v>0</v>
      </c>
      <c r="J677" s="20">
        <v>0</v>
      </c>
      <c r="K677" s="21">
        <v>0</v>
      </c>
      <c r="L677" s="19" t="s">
        <v>22</v>
      </c>
    </row>
    <row r="678" ht="10.95" customHeight="true" customFormat="true" s="9">
      <c r="A678" s="16" t="s">
        <v>426</v>
      </c>
      <c r="B678" s="16"/>
      <c r="C678" s="16"/>
      <c r="D678" s="16"/>
      <c r="E678" s="16"/>
      <c r="F678" s="16"/>
      <c r="G678" s="17">
        <f ca="1">SUM(G676:G677)</f>
        <v>0</v>
      </c>
      <c r="H678" s="17">
        <f ca="1">SUM(H676:H677)</f>
        <v>0</v>
      </c>
      <c r="I678" s="17">
        <f ca="1">I677</f>
        <v>0</v>
      </c>
      <c r="J678" s="17">
        <f ca="1">SUM(J676:J677)</f>
        <v>0</v>
      </c>
      <c r="K678" s="16"/>
      <c r="L678" s="16"/>
    </row>
    <row r="679" ht="10.95" customHeight="true" customFormat="true" s="9">
      <c r="A679" s="16" t="s">
        <v>24</v>
      </c>
      <c r="B679" s="16"/>
      <c r="C679" s="16"/>
      <c r="D679" s="16"/>
      <c r="E679" s="16"/>
      <c r="F679" s="16"/>
      <c r="G679" s="17">
        <v>0</v>
      </c>
      <c r="H679" s="17">
        <v>0</v>
      </c>
      <c r="I679" s="17">
        <v>0</v>
      </c>
      <c r="J679" s="17">
        <v>0</v>
      </c>
      <c r="K679" s="16"/>
      <c r="L679" s="16"/>
    </row>
    <row r="680" ht="10.95" customHeight="true" customFormat="true" s="9">
      <c r="A680" s="10" t="s">
        <v>25</v>
      </c>
      <c r="B680" s="10"/>
      <c r="C680" s="10"/>
      <c r="D680" s="10"/>
      <c r="E680" s="10"/>
      <c r="F680" s="10"/>
      <c r="G680" s="11">
        <v>0</v>
      </c>
      <c r="H680" s="11">
        <v>0</v>
      </c>
      <c r="I680" s="11">
        <f ca="1">I677</f>
        <v>0</v>
      </c>
      <c r="J680" s="11">
        <v>0</v>
      </c>
      <c r="K680" s="10"/>
      <c r="L680" s="10"/>
    </row>
    <row r="681" ht="13.35" customHeight="true"/>
    <row r="682" ht="12.1" customHeight="true" customFormat="true" s="5">
      <c r="A682" s="8" t="s">
        <v>427</v>
      </c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ht="10.95" customHeight="true" customFormat="true" s="9">
      <c r="A683" s="10" t="s">
        <v>16</v>
      </c>
      <c r="B683" s="10"/>
      <c r="C683" s="10"/>
      <c r="D683" s="10"/>
      <c r="E683" s="10"/>
      <c r="F683" s="10"/>
      <c r="G683" s="11">
        <v>0</v>
      </c>
      <c r="H683" s="11">
        <v>81120.0000</v>
      </c>
      <c r="I683" s="11">
        <f ca="1">(G683 - H683)</f>
        <v>0</v>
      </c>
      <c r="J683" s="11">
        <v>0</v>
      </c>
      <c r="K683" s="10"/>
      <c r="L683" s="10"/>
    </row>
    <row r="684" ht="10.95" customHeight="true" customFormat="true" s="9">
      <c r="A684" s="12">
        <v>45473</v>
      </c>
      <c r="B684" s="13" t="s">
        <v>428</v>
      </c>
      <c r="C684" s="13" t="s">
        <v>406</v>
      </c>
      <c r="D684" s="13" t="s">
        <v>19</v>
      </c>
      <c r="E684" s="13" t="s">
        <v>325</v>
      </c>
      <c r="F684" s="13" t="s">
        <v>326</v>
      </c>
      <c r="G684" s="14">
        <v>11700.0000</v>
      </c>
      <c r="H684" s="14">
        <v>0</v>
      </c>
      <c r="I684" s="14">
        <f ca="1">((I683 + G684) - H684)</f>
        <v>0</v>
      </c>
      <c r="J684" s="14">
        <v>0</v>
      </c>
      <c r="K684" s="15">
        <v>0</v>
      </c>
      <c r="L684" s="13" t="s">
        <v>22</v>
      </c>
    </row>
    <row r="685" ht="10.95" customHeight="true" customFormat="true" s="9">
      <c r="A685" s="18">
        <v>45473</v>
      </c>
      <c r="B685" s="19" t="s">
        <v>428</v>
      </c>
      <c r="C685" s="19" t="s">
        <v>406</v>
      </c>
      <c r="D685" s="19" t="s">
        <v>19</v>
      </c>
      <c r="E685" s="19" t="s">
        <v>424</v>
      </c>
      <c r="F685" s="19" t="s">
        <v>425</v>
      </c>
      <c r="G685" s="20">
        <v>0</v>
      </c>
      <c r="H685" s="20">
        <v>237.3800</v>
      </c>
      <c r="I685" s="20">
        <f ca="1">((I684 + G685) - H685)</f>
        <v>0</v>
      </c>
      <c r="J685" s="20">
        <v>0</v>
      </c>
      <c r="K685" s="21">
        <v>0</v>
      </c>
      <c r="L685" s="19" t="s">
        <v>22</v>
      </c>
    </row>
    <row r="686" ht="10.95" customHeight="true" customFormat="true" s="9">
      <c r="A686" s="18">
        <v>45473</v>
      </c>
      <c r="B686" s="19" t="s">
        <v>428</v>
      </c>
      <c r="C686" s="19" t="s">
        <v>406</v>
      </c>
      <c r="D686" s="19" t="s">
        <v>19</v>
      </c>
      <c r="E686" s="19" t="s">
        <v>70</v>
      </c>
      <c r="F686" s="19" t="s">
        <v>71</v>
      </c>
      <c r="G686" s="20">
        <v>936.2100</v>
      </c>
      <c r="H686" s="20">
        <v>0</v>
      </c>
      <c r="I686" s="20">
        <f ca="1">((I685 + G686) - H686)</f>
        <v>0</v>
      </c>
      <c r="J686" s="20">
        <v>0</v>
      </c>
      <c r="K686" s="21">
        <v>0</v>
      </c>
      <c r="L686" s="19" t="s">
        <v>22</v>
      </c>
    </row>
    <row r="687" ht="10.95" customHeight="true" customFormat="true" s="9">
      <c r="A687" s="16" t="s">
        <v>429</v>
      </c>
      <c r="B687" s="16"/>
      <c r="C687" s="16"/>
      <c r="D687" s="16"/>
      <c r="E687" s="16"/>
      <c r="F687" s="16"/>
      <c r="G687" s="17">
        <f ca="1">SUM(G684:G686)</f>
        <v>0</v>
      </c>
      <c r="H687" s="17">
        <f ca="1">SUM(H684:H686)</f>
        <v>0</v>
      </c>
      <c r="I687" s="17">
        <f ca="1">I686</f>
        <v>0</v>
      </c>
      <c r="J687" s="17">
        <f ca="1">SUM(J684:J686)</f>
        <v>0</v>
      </c>
      <c r="K687" s="16"/>
      <c r="L687" s="16"/>
    </row>
    <row r="688" ht="10.95" customHeight="true" customFormat="true" s="9">
      <c r="A688" s="16" t="s">
        <v>24</v>
      </c>
      <c r="B688" s="16"/>
      <c r="C688" s="16"/>
      <c r="D688" s="16"/>
      <c r="E688" s="16"/>
      <c r="F688" s="16"/>
      <c r="G688" s="17">
        <v>12398.8300</v>
      </c>
      <c r="H688" s="17">
        <v>0</v>
      </c>
      <c r="I688" s="17">
        <v>0</v>
      </c>
      <c r="J688" s="17">
        <v>0</v>
      </c>
      <c r="K688" s="16"/>
      <c r="L688" s="16"/>
    </row>
    <row r="689" ht="10.95" customHeight="true" customFormat="true" s="9">
      <c r="A689" s="10" t="s">
        <v>25</v>
      </c>
      <c r="B689" s="10"/>
      <c r="C689" s="10"/>
      <c r="D689" s="10"/>
      <c r="E689" s="10"/>
      <c r="F689" s="10"/>
      <c r="G689" s="11">
        <v>0</v>
      </c>
      <c r="H689" s="11">
        <v>68721.1700</v>
      </c>
      <c r="I689" s="11">
        <f ca="1">I686</f>
        <v>0</v>
      </c>
      <c r="J689" s="11">
        <v>0</v>
      </c>
      <c r="K689" s="10"/>
      <c r="L689" s="10"/>
    </row>
    <row r="690" ht="13.35" customHeight="true"/>
    <row r="691" ht="12.1" customHeight="true" customFormat="true" s="5">
      <c r="A691" s="8" t="s">
        <v>430</v>
      </c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ht="10.95" customHeight="true" customFormat="true" s="9">
      <c r="A692" s="10" t="s">
        <v>16</v>
      </c>
      <c r="B692" s="10"/>
      <c r="C692" s="10"/>
      <c r="D692" s="10"/>
      <c r="E692" s="10"/>
      <c r="F692" s="10"/>
      <c r="G692" s="11">
        <v>0</v>
      </c>
      <c r="H692" s="11">
        <v>81120.0000</v>
      </c>
      <c r="I692" s="11">
        <f ca="1">(G692 - H692)</f>
        <v>0</v>
      </c>
      <c r="J692" s="11">
        <v>0</v>
      </c>
      <c r="K692" s="10"/>
      <c r="L692" s="10"/>
    </row>
    <row r="693" ht="10.95" customHeight="true" customFormat="true" s="9">
      <c r="A693" s="12">
        <v>45473</v>
      </c>
      <c r="B693" s="13" t="s">
        <v>431</v>
      </c>
      <c r="C693" s="13" t="s">
        <v>406</v>
      </c>
      <c r="D693" s="13" t="s">
        <v>19</v>
      </c>
      <c r="E693" s="13" t="s">
        <v>325</v>
      </c>
      <c r="F693" s="13" t="s">
        <v>326</v>
      </c>
      <c r="G693" s="14">
        <v>11700.0000</v>
      </c>
      <c r="H693" s="14">
        <v>0</v>
      </c>
      <c r="I693" s="14">
        <f ca="1">((I692 + G693) - H693)</f>
        <v>0</v>
      </c>
      <c r="J693" s="14">
        <v>0</v>
      </c>
      <c r="K693" s="15">
        <v>0</v>
      </c>
      <c r="L693" s="13" t="s">
        <v>22</v>
      </c>
    </row>
    <row r="694" ht="10.95" customHeight="true" customFormat="true" s="9">
      <c r="A694" s="18">
        <v>45473</v>
      </c>
      <c r="B694" s="19" t="s">
        <v>431</v>
      </c>
      <c r="C694" s="19" t="s">
        <v>406</v>
      </c>
      <c r="D694" s="19" t="s">
        <v>19</v>
      </c>
      <c r="E694" s="19" t="s">
        <v>424</v>
      </c>
      <c r="F694" s="19" t="s">
        <v>425</v>
      </c>
      <c r="G694" s="20">
        <v>0</v>
      </c>
      <c r="H694" s="20">
        <v>237.3800</v>
      </c>
      <c r="I694" s="20">
        <f ca="1">((I693 + G694) - H694)</f>
        <v>0</v>
      </c>
      <c r="J694" s="20">
        <v>0</v>
      </c>
      <c r="K694" s="21">
        <v>0</v>
      </c>
      <c r="L694" s="19" t="s">
        <v>22</v>
      </c>
    </row>
    <row r="695" ht="10.95" customHeight="true" customFormat="true" s="9">
      <c r="A695" s="18">
        <v>45473</v>
      </c>
      <c r="B695" s="19" t="s">
        <v>431</v>
      </c>
      <c r="C695" s="19" t="s">
        <v>406</v>
      </c>
      <c r="D695" s="19" t="s">
        <v>19</v>
      </c>
      <c r="E695" s="19" t="s">
        <v>70</v>
      </c>
      <c r="F695" s="19" t="s">
        <v>71</v>
      </c>
      <c r="G695" s="20">
        <v>936.2100</v>
      </c>
      <c r="H695" s="20">
        <v>0</v>
      </c>
      <c r="I695" s="20">
        <f ca="1">((I694 + G695) - H695)</f>
        <v>0</v>
      </c>
      <c r="J695" s="20">
        <v>0</v>
      </c>
      <c r="K695" s="21">
        <v>0</v>
      </c>
      <c r="L695" s="19" t="s">
        <v>22</v>
      </c>
    </row>
    <row r="696" ht="10.95" customHeight="true" customFormat="true" s="9">
      <c r="A696" s="16" t="s">
        <v>432</v>
      </c>
      <c r="B696" s="16"/>
      <c r="C696" s="16"/>
      <c r="D696" s="16"/>
      <c r="E696" s="16"/>
      <c r="F696" s="16"/>
      <c r="G696" s="17">
        <f ca="1">SUM(G693:G695)</f>
        <v>0</v>
      </c>
      <c r="H696" s="17">
        <f ca="1">SUM(H693:H695)</f>
        <v>0</v>
      </c>
      <c r="I696" s="17">
        <f ca="1">I695</f>
        <v>0</v>
      </c>
      <c r="J696" s="17">
        <f ca="1">SUM(J693:J695)</f>
        <v>0</v>
      </c>
      <c r="K696" s="16"/>
      <c r="L696" s="16"/>
    </row>
    <row r="697" ht="10.95" customHeight="true" customFormat="true" s="9">
      <c r="A697" s="16" t="s">
        <v>24</v>
      </c>
      <c r="B697" s="16"/>
      <c r="C697" s="16"/>
      <c r="D697" s="16"/>
      <c r="E697" s="16"/>
      <c r="F697" s="16"/>
      <c r="G697" s="17">
        <v>12398.8300</v>
      </c>
      <c r="H697" s="17">
        <v>0</v>
      </c>
      <c r="I697" s="17">
        <v>0</v>
      </c>
      <c r="J697" s="17">
        <v>0</v>
      </c>
      <c r="K697" s="16"/>
      <c r="L697" s="16"/>
    </row>
    <row r="698" ht="10.95" customHeight="true" customFormat="true" s="9">
      <c r="A698" s="10" t="s">
        <v>25</v>
      </c>
      <c r="B698" s="10"/>
      <c r="C698" s="10"/>
      <c r="D698" s="10"/>
      <c r="E698" s="10"/>
      <c r="F698" s="10"/>
      <c r="G698" s="11">
        <v>0</v>
      </c>
      <c r="H698" s="11">
        <v>68721.1700</v>
      </c>
      <c r="I698" s="11">
        <f ca="1">I695</f>
        <v>0</v>
      </c>
      <c r="J698" s="11">
        <v>0</v>
      </c>
      <c r="K698" s="10"/>
      <c r="L698" s="10"/>
    </row>
    <row r="699" ht="13.35" customHeight="true"/>
    <row r="700" ht="12.1" customHeight="true" customFormat="true" s="5">
      <c r="A700" s="8" t="s">
        <v>433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ht="10.95" customHeight="true" customFormat="true" s="9">
      <c r="A701" s="10" t="s">
        <v>16</v>
      </c>
      <c r="B701" s="10"/>
      <c r="C701" s="10"/>
      <c r="D701" s="10"/>
      <c r="E701" s="10"/>
      <c r="F701" s="10"/>
      <c r="G701" s="11">
        <v>0</v>
      </c>
      <c r="H701" s="11">
        <v>132260.0000</v>
      </c>
      <c r="I701" s="11">
        <f ca="1">(G701 - H701)</f>
        <v>0</v>
      </c>
      <c r="J701" s="11">
        <v>0</v>
      </c>
      <c r="K701" s="10"/>
      <c r="L701" s="10"/>
    </row>
    <row r="702" ht="10.95" customHeight="true" customFormat="true" s="9">
      <c r="A702" s="12">
        <v>45473</v>
      </c>
      <c r="B702" s="13" t="s">
        <v>434</v>
      </c>
      <c r="C702" s="13" t="s">
        <v>406</v>
      </c>
      <c r="D702" s="13" t="s">
        <v>19</v>
      </c>
      <c r="E702" s="13" t="s">
        <v>325</v>
      </c>
      <c r="F702" s="13" t="s">
        <v>326</v>
      </c>
      <c r="G702" s="14">
        <v>25889.0000</v>
      </c>
      <c r="H702" s="14">
        <v>0</v>
      </c>
      <c r="I702" s="14">
        <f ca="1">((I701 + G702) - H702)</f>
        <v>0</v>
      </c>
      <c r="J702" s="14">
        <v>0</v>
      </c>
      <c r="K702" s="15">
        <v>0</v>
      </c>
      <c r="L702" s="13" t="s">
        <v>22</v>
      </c>
    </row>
    <row r="703" ht="10.95" customHeight="true" customFormat="true" s="9">
      <c r="A703" s="18">
        <v>45473</v>
      </c>
      <c r="B703" s="19" t="s">
        <v>434</v>
      </c>
      <c r="C703" s="19" t="s">
        <v>406</v>
      </c>
      <c r="D703" s="19" t="s">
        <v>19</v>
      </c>
      <c r="E703" s="19" t="s">
        <v>424</v>
      </c>
      <c r="F703" s="19" t="s">
        <v>425</v>
      </c>
      <c r="G703" s="20">
        <v>0</v>
      </c>
      <c r="H703" s="20">
        <v>525.2400</v>
      </c>
      <c r="I703" s="20">
        <f ca="1">((I702 + G703) - H703)</f>
        <v>0</v>
      </c>
      <c r="J703" s="20">
        <v>0</v>
      </c>
      <c r="K703" s="21">
        <v>0</v>
      </c>
      <c r="L703" s="19" t="s">
        <v>22</v>
      </c>
    </row>
    <row r="704" ht="10.95" customHeight="true" customFormat="true" s="9">
      <c r="A704" s="18">
        <v>45473</v>
      </c>
      <c r="B704" s="19" t="s">
        <v>434</v>
      </c>
      <c r="C704" s="19" t="s">
        <v>406</v>
      </c>
      <c r="D704" s="19" t="s">
        <v>19</v>
      </c>
      <c r="E704" s="19" t="s">
        <v>70</v>
      </c>
      <c r="F704" s="19" t="s">
        <v>71</v>
      </c>
      <c r="G704" s="20">
        <v>2071.5800</v>
      </c>
      <c r="H704" s="20">
        <v>0</v>
      </c>
      <c r="I704" s="20">
        <f ca="1">((I703 + G704) - H704)</f>
        <v>0</v>
      </c>
      <c r="J704" s="20">
        <v>0</v>
      </c>
      <c r="K704" s="21">
        <v>0</v>
      </c>
      <c r="L704" s="19" t="s">
        <v>22</v>
      </c>
    </row>
    <row r="705" ht="10.95" customHeight="true" customFormat="true" s="9">
      <c r="A705" s="16" t="s">
        <v>435</v>
      </c>
      <c r="B705" s="16"/>
      <c r="C705" s="16"/>
      <c r="D705" s="16"/>
      <c r="E705" s="16"/>
      <c r="F705" s="16"/>
      <c r="G705" s="17">
        <f ca="1">SUM(G702:G704)</f>
        <v>0</v>
      </c>
      <c r="H705" s="17">
        <f ca="1">SUM(H702:H704)</f>
        <v>0</v>
      </c>
      <c r="I705" s="17">
        <f ca="1">I704</f>
        <v>0</v>
      </c>
      <c r="J705" s="17">
        <f ca="1">SUM(J702:J704)</f>
        <v>0</v>
      </c>
      <c r="K705" s="16"/>
      <c r="L705" s="16"/>
    </row>
    <row r="706" ht="10.95" customHeight="true" customFormat="true" s="9">
      <c r="A706" s="16" t="s">
        <v>24</v>
      </c>
      <c r="B706" s="16"/>
      <c r="C706" s="16"/>
      <c r="D706" s="16"/>
      <c r="E706" s="16"/>
      <c r="F706" s="16"/>
      <c r="G706" s="17">
        <v>27435.3400</v>
      </c>
      <c r="H706" s="17">
        <v>0</v>
      </c>
      <c r="I706" s="17">
        <v>0</v>
      </c>
      <c r="J706" s="17">
        <v>0</v>
      </c>
      <c r="K706" s="16"/>
      <c r="L706" s="16"/>
    </row>
    <row r="707" ht="10.95" customHeight="true" customFormat="true" s="9">
      <c r="A707" s="10" t="s">
        <v>25</v>
      </c>
      <c r="B707" s="10"/>
      <c r="C707" s="10"/>
      <c r="D707" s="10"/>
      <c r="E707" s="10"/>
      <c r="F707" s="10"/>
      <c r="G707" s="11">
        <v>0</v>
      </c>
      <c r="H707" s="11">
        <v>104824.6600</v>
      </c>
      <c r="I707" s="11">
        <f ca="1">I704</f>
        <v>0</v>
      </c>
      <c r="J707" s="11">
        <v>0</v>
      </c>
      <c r="K707" s="10"/>
      <c r="L707" s="10"/>
    </row>
    <row r="708" ht="13.35" customHeight="true"/>
    <row r="709" ht="10.95" customHeight="true" customFormat="true" s="9">
      <c r="A709" s="22" t="s">
        <v>436</v>
      </c>
      <c r="B709" s="22"/>
      <c r="C709" s="22"/>
      <c r="D709" s="22"/>
      <c r="E709" s="22"/>
      <c r="F709" s="22"/>
      <c r="G709" s="23">
        <f ca="1">SUM(G10,G17,G24,G31,G38,G46,G54,G61,G69,G76,G83,G90,G98,G105,G112,G119,G126,G133,G140,G147,G154,G162,G169,G176,G183,G190,G197,G204,G211,G218,G225,G232,G239,G246,G253,G261,G268,G275,G282,G289,G296,G303,G311,G318,G328,G338,G346,G353,G360,G367,G374,G381,G388,G398,G405,G412,G419,G426,G433,G440,G448,G455,G462,G469,G476,G483,G491,G498,G506,G513,G520,G527,G534,G541,G548,G555,G562,G569,G576,G583,G590,G597,G604,G611,G618,G626,G634,G642,G649,G656,G663,G670,G678,G687,G696,G705)</f>
        <v>0</v>
      </c>
      <c r="H709" s="23">
        <f ca="1">SUM(H10,H17,H24,H31,H38,H46,H54,H61,H69,H76,H83,H90,H98,H105,H112,H119,H126,H133,H140,H147,H154,H162,H169,H176,H183,H190,H197,H204,H211,H218,H225,H232,H239,H246,H253,H261,H268,H275,H282,H289,H296,H303,H311,H318,H328,H338,H346,H353,H360,H367,H374,H381,H388,H398,H405,H412,H419,H426,H433,H440,H448,H455,H462,H469,H476,H483,H491,H498,H506,H513,H520,H527,H534,H541,H548,H555,H562,H569,H576,H583,H590,H597,H604,H611,H618,H626,H634,H642,H649,H656,H663,H670,H678,H687,H696,H705)</f>
        <v>0</v>
      </c>
      <c r="I709" s="23">
        <f ca="1">(G709 - H709)</f>
        <v>0</v>
      </c>
      <c r="J709" s="23">
        <f ca="1">SUM(J10,J17,J24,J31,J38,J46,J54,J61,J69,J76,J83,J90,J98,J105,J112,J119,J126,J133,J140,J147,J154,J162,J169,J176,J183,J190,J197,J204,J211,J218,J225,J232,J239,J246,J253,J261,J268,J275,J282,J289,J296,J303,J311,J318,J328,J338,J346,J353,J360,J367,J374,J381,J388,J398,J405,J412,J419,J426,J433,J440,J448,J455,J462,J469,J476,J483,J491,J498,J506,J513,J520,J527,J534,J541,J548,J555,J562,J569,J576,J583,J590,J597,J604,J611,J618,J626,J634,J642,J649,J656,J663,J670,J678,J687,J696,J705)</f>
        <v>0</v>
      </c>
      <c r="K709" s="22"/>
      <c r="L709" s="22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