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<sst xmlns="http://schemas.openxmlformats.org/spreadsheetml/2006/main" count="140" uniqueCount="140">
  <si>
    <t>Trial Balance</t>
  </si>
  <si>
    <t>Casurge Fire Protection Pty Ltd</t>
  </si>
  <si>
    <t>As at 30 June 2024</t>
  </si>
  <si>
    <t>Account Code</t>
  </si>
  <si>
    <t>Account</t>
  </si>
  <si>
    <t>Account Type</t>
  </si>
  <si>
    <t>Debit - Year to date</t>
  </si>
  <si>
    <t>Credit - Year to date</t>
  </si>
  <si>
    <t>30 June 2023</t>
  </si>
  <si>
    <t>200</t>
  </si>
  <si>
    <t>Sales</t>
  </si>
  <si>
    <t>260</t>
  </si>
  <si>
    <t>Other Revenue</t>
  </si>
  <si>
    <t>Other Income</t>
  </si>
  <si>
    <t>270</t>
  </si>
  <si>
    <t>Interest Income</t>
  </si>
  <si>
    <t>300</t>
  </si>
  <si>
    <t>Materials</t>
  </si>
  <si>
    <t>Direct Costs</t>
  </si>
  <si>
    <t>310</t>
  </si>
  <si>
    <t>Contractors</t>
  </si>
  <si>
    <t>320</t>
  </si>
  <si>
    <t>Opening Stock</t>
  </si>
  <si>
    <t>400</t>
  </si>
  <si>
    <t>Advertising</t>
  </si>
  <si>
    <t>Expense</t>
  </si>
  <si>
    <t>404</t>
  </si>
  <si>
    <t>Bank Fees</t>
  </si>
  <si>
    <t>405</t>
  </si>
  <si>
    <t>Bad Debts</t>
  </si>
  <si>
    <t>406</t>
  </si>
  <si>
    <t>Bookkeeping Expenses</t>
  </si>
  <si>
    <t>408</t>
  </si>
  <si>
    <t>Cleaning</t>
  </si>
  <si>
    <t>412</t>
  </si>
  <si>
    <t>Consulting &amp; Accounting</t>
  </si>
  <si>
    <t>416</t>
  </si>
  <si>
    <t>Depreciation</t>
  </si>
  <si>
    <t>420</t>
  </si>
  <si>
    <t>Equipment Hire</t>
  </si>
  <si>
    <t>421</t>
  </si>
  <si>
    <t>Amortisation - Borrowing Costs</t>
  </si>
  <si>
    <t>422</t>
  </si>
  <si>
    <t>Filing Fee</t>
  </si>
  <si>
    <t>430</t>
  </si>
  <si>
    <t>License Fees &amp; Charges</t>
  </si>
  <si>
    <t>432</t>
  </si>
  <si>
    <t>Gifts</t>
  </si>
  <si>
    <t>433</t>
  </si>
  <si>
    <t>Insurance</t>
  </si>
  <si>
    <t>437</t>
  </si>
  <si>
    <t>Interest Expense</t>
  </si>
  <si>
    <t>440</t>
  </si>
  <si>
    <t>Trainings</t>
  </si>
  <si>
    <t>446</t>
  </si>
  <si>
    <t>Long Service Leave</t>
  </si>
  <si>
    <t>449</t>
  </si>
  <si>
    <t>Motor Vehicle Expenses</t>
  </si>
  <si>
    <t>453</t>
  </si>
  <si>
    <t>Office Expenses</t>
  </si>
  <si>
    <t>461</t>
  </si>
  <si>
    <t>Printing &amp; Stationery</t>
  </si>
  <si>
    <t>462</t>
  </si>
  <si>
    <t>Protective Workwear</t>
  </si>
  <si>
    <t>473</t>
  </si>
  <si>
    <t>Repairs and Maintenance</t>
  </si>
  <si>
    <t>475</t>
  </si>
  <si>
    <t>Tool Replacement</t>
  </si>
  <si>
    <t>477</t>
  </si>
  <si>
    <t>Wages and Salaries</t>
  </si>
  <si>
    <t>478</t>
  </si>
  <si>
    <t>Superannuation</t>
  </si>
  <si>
    <t>485</t>
  </si>
  <si>
    <t>Subscriptions</t>
  </si>
  <si>
    <t>489</t>
  </si>
  <si>
    <t>Telephone &amp; Internet</t>
  </si>
  <si>
    <t>493</t>
  </si>
  <si>
    <t>Travel - National</t>
  </si>
  <si>
    <t>495</t>
  </si>
  <si>
    <t>Worksafe Victoria</t>
  </si>
  <si>
    <t>505</t>
  </si>
  <si>
    <t>Income Tax Expense</t>
  </si>
  <si>
    <t>980</t>
  </si>
  <si>
    <t>Dividend Paid</t>
  </si>
  <si>
    <t>600</t>
  </si>
  <si>
    <t>Casurge Fire Protection</t>
  </si>
  <si>
    <t>Bank</t>
  </si>
  <si>
    <t>602</t>
  </si>
  <si>
    <t>GST Savings</t>
  </si>
  <si>
    <t>605</t>
  </si>
  <si>
    <t>Cash on Hand</t>
  </si>
  <si>
    <t>Current Asset</t>
  </si>
  <si>
    <t>610</t>
  </si>
  <si>
    <t>Accounts Receivable</t>
  </si>
  <si>
    <t>625</t>
  </si>
  <si>
    <t>Borrowing Costs</t>
  </si>
  <si>
    <t>Non-current Asset</t>
  </si>
  <si>
    <t>712</t>
  </si>
  <si>
    <t>Plant &amp; Equipment - at Cost</t>
  </si>
  <si>
    <t>Fixed Asset</t>
  </si>
  <si>
    <t>713</t>
  </si>
  <si>
    <t>Less Accumulated Depreciation on P &amp; E</t>
  </si>
  <si>
    <t>714</t>
  </si>
  <si>
    <t>Motor Vehicle - at Cost</t>
  </si>
  <si>
    <t>715</t>
  </si>
  <si>
    <t>Less Accumulated Depreciation on MV</t>
  </si>
  <si>
    <t>901</t>
  </si>
  <si>
    <t>Directors Loan</t>
  </si>
  <si>
    <t>800</t>
  </si>
  <si>
    <t>Accounts Payable</t>
  </si>
  <si>
    <t>Current Liability</t>
  </si>
  <si>
    <t>819</t>
  </si>
  <si>
    <t>ATO Integrated Account</t>
  </si>
  <si>
    <t>820</t>
  </si>
  <si>
    <t>GST</t>
  </si>
  <si>
    <t>825</t>
  </si>
  <si>
    <t>PAYG Withholdings Payable</t>
  </si>
  <si>
    <t>826</t>
  </si>
  <si>
    <t>Superannuation Payable</t>
  </si>
  <si>
    <t>827</t>
  </si>
  <si>
    <t>PAYG Instalment Tax Payable</t>
  </si>
  <si>
    <t>830</t>
  </si>
  <si>
    <t>Income Tax Payable</t>
  </si>
  <si>
    <t>920</t>
  </si>
  <si>
    <t>Loan - Navara</t>
  </si>
  <si>
    <t>Non-current Liability</t>
  </si>
  <si>
    <t>921</t>
  </si>
  <si>
    <t>Less Unexpired Interest - Navara</t>
  </si>
  <si>
    <t>930</t>
  </si>
  <si>
    <t>Loan - Toyota LC</t>
  </si>
  <si>
    <t>931</t>
  </si>
  <si>
    <t>Less Unexpired Interest - Toyota LC</t>
  </si>
  <si>
    <t>8000</t>
  </si>
  <si>
    <t>Reserves - Cash Boost Stimulus Payment</t>
  </si>
  <si>
    <t>Equity</t>
  </si>
  <si>
    <t>960</t>
  </si>
  <si>
    <t>Retained Earnings</t>
  </si>
  <si>
    <t>970</t>
  </si>
  <si>
    <t>Share Capital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</si>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</sst>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66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38.16015625" customWidth="1"/>
    <col min="3" max="3" width="20.16015625" customWidth="1"/>
    <col min="4" max="4" width="22" customWidth="1"/>
    <col min="5" max="5" width="23" customWidth="1"/>
    <col min="6" max="6" width="14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</row>
    <row r="2" ht="14.4" customHeight="true" customFormat="true" s="3">
      <c r="A2" s="4" t="s">
        <v>1</v>
      </c>
      <c r="B2" s="4"/>
      <c r="C2" s="4"/>
      <c r="D2" s="4"/>
      <c r="E2" s="4"/>
      <c r="F2" s="4"/>
    </row>
    <row r="3" ht="14.4" customHeight="true" customFormat="true" s="3">
      <c r="A3" s="4" t="s">
        <v>2</v>
      </c>
      <c r="B3" s="4"/>
      <c r="C3" s="4"/>
      <c r="D3" s="4"/>
      <c r="E3" s="4"/>
      <c r="F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</row>
    <row r="6" ht="10.95" customHeight="true" customFormat="true" s="8">
      <c r="A6" s="9" t="s">
        <v>9</v>
      </c>
      <c r="B6" s="9" t="s">
        <v>10</v>
      </c>
      <c r="C6" s="9" t="s">
        <v>10</v>
      </c>
      <c r="D6" s="9"/>
      <c r="E6" s="10">
        <v>715404.0000</v>
      </c>
      <c r="F6" s="10">
        <v>-603567.9800</v>
      </c>
    </row>
    <row r="7" ht="10.95" customHeight="true" customFormat="true" s="8">
      <c r="A7" s="11" t="s">
        <v>11</v>
      </c>
      <c r="B7" s="11" t="s">
        <v>12</v>
      </c>
      <c r="C7" s="11" t="s">
        <v>13</v>
      </c>
      <c r="D7" s="11"/>
      <c r="E7" s="12">
        <v>29578.5400</v>
      </c>
      <c r="F7" s="12">
        <v>0</v>
      </c>
    </row>
    <row r="8" ht="10.95" customHeight="true" customFormat="true" s="8">
      <c r="A8" s="11" t="s">
        <v>14</v>
      </c>
      <c r="B8" s="11" t="s">
        <v>15</v>
      </c>
      <c r="C8" s="11" t="s">
        <v>13</v>
      </c>
      <c r="D8" s="11"/>
      <c r="E8" s="12">
        <v>13719.1600</v>
      </c>
      <c r="F8" s="12">
        <v>-7965.3000</v>
      </c>
    </row>
    <row r="9" ht="10.95" customHeight="true" customFormat="true" s="8">
      <c r="A9" s="11" t="s">
        <v>16</v>
      </c>
      <c r="B9" s="11" t="s">
        <v>17</v>
      </c>
      <c r="C9" s="11" t="s">
        <v>18</v>
      </c>
      <c r="D9" s="12">
        <v>46539.3600</v>
      </c>
      <c r="E9" s="11"/>
      <c r="F9" s="12">
        <v>45727.2400</v>
      </c>
    </row>
    <row r="10" ht="10.95" customHeight="true" customFormat="true" s="8">
      <c r="A10" s="11" t="s">
        <v>19</v>
      </c>
      <c r="B10" s="11" t="s">
        <v>20</v>
      </c>
      <c r="C10" s="11" t="s">
        <v>18</v>
      </c>
      <c r="D10" s="12">
        <v>23265.0000</v>
      </c>
      <c r="E10" s="11"/>
      <c r="F10" s="12">
        <v>41950.1000</v>
      </c>
    </row>
    <row r="11" ht="10.95" customHeight="true" customFormat="true" s="8">
      <c r="A11" s="11" t="s">
        <v>21</v>
      </c>
      <c r="B11" s="11" t="s">
        <v>22</v>
      </c>
      <c r="C11" s="11" t="s">
        <v>18</v>
      </c>
      <c r="D11" s="12">
        <v>0</v>
      </c>
      <c r="E11" s="11"/>
      <c r="F11" s="12">
        <v>1500.0000</v>
      </c>
    </row>
    <row r="12" ht="10.95" customHeight="true" customFormat="true" s="8">
      <c r="A12" s="11" t="s">
        <v>23</v>
      </c>
      <c r="B12" s="11" t="s">
        <v>24</v>
      </c>
      <c r="C12" s="11" t="s">
        <v>25</v>
      </c>
      <c r="D12" s="12">
        <v>0</v>
      </c>
      <c r="E12" s="11"/>
      <c r="F12" s="12">
        <v>115.0000</v>
      </c>
    </row>
    <row r="13" ht="10.95" customHeight="true" customFormat="true" s="8">
      <c r="A13" s="11" t="s">
        <v>26</v>
      </c>
      <c r="B13" s="11" t="s">
        <v>27</v>
      </c>
      <c r="C13" s="11" t="s">
        <v>25</v>
      </c>
      <c r="D13" s="12">
        <v>294.4800</v>
      </c>
      <c r="E13" s="11"/>
      <c r="F13" s="12">
        <v>241.6500</v>
      </c>
    </row>
    <row r="14" ht="10.95" customHeight="true" customFormat="true" s="8">
      <c r="A14" s="11" t="s">
        <v>28</v>
      </c>
      <c r="B14" s="11" t="s">
        <v>29</v>
      </c>
      <c r="C14" s="11" t="s">
        <v>25</v>
      </c>
      <c r="D14" s="12">
        <v>0</v>
      </c>
      <c r="E14" s="11"/>
      <c r="F14" s="12">
        <v>824.0000</v>
      </c>
    </row>
    <row r="15" ht="10.95" customHeight="true" customFormat="true" s="8">
      <c r="A15" s="11" t="s">
        <v>30</v>
      </c>
      <c r="B15" s="11" t="s">
        <v>31</v>
      </c>
      <c r="C15" s="11" t="s">
        <v>25</v>
      </c>
      <c r="D15" s="12">
        <v>1414.2700</v>
      </c>
      <c r="E15" s="11"/>
      <c r="F15" s="12">
        <v>0</v>
      </c>
    </row>
    <row r="16" ht="10.95" customHeight="true" customFormat="true" s="8">
      <c r="A16" s="11" t="s">
        <v>32</v>
      </c>
      <c r="B16" s="11" t="s">
        <v>33</v>
      </c>
      <c r="C16" s="11" t="s">
        <v>25</v>
      </c>
      <c r="D16" s="12">
        <v>0</v>
      </c>
      <c r="E16" s="11"/>
      <c r="F16" s="12">
        <v>2400.0000</v>
      </c>
    </row>
    <row r="17" ht="10.95" customHeight="true" customFormat="true" s="8">
      <c r="A17" s="11" t="s">
        <v>34</v>
      </c>
      <c r="B17" s="11" t="s">
        <v>35</v>
      </c>
      <c r="C17" s="11" t="s">
        <v>25</v>
      </c>
      <c r="D17" s="12">
        <v>7980.3900</v>
      </c>
      <c r="E17" s="11"/>
      <c r="F17" s="12">
        <v>6637.1400</v>
      </c>
    </row>
    <row r="18" ht="10.95" customHeight="true" customFormat="true" s="8">
      <c r="A18" s="11" t="s">
        <v>36</v>
      </c>
      <c r="B18" s="11" t="s">
        <v>37</v>
      </c>
      <c r="C18" s="11" t="s">
        <v>25</v>
      </c>
      <c r="D18" s="12">
        <v>11660.4800</v>
      </c>
      <c r="E18" s="11"/>
      <c r="F18" s="12">
        <v>0</v>
      </c>
    </row>
    <row r="19" ht="10.95" customHeight="true" customFormat="true" s="8">
      <c r="A19" s="11" t="s">
        <v>38</v>
      </c>
      <c r="B19" s="11" t="s">
        <v>39</v>
      </c>
      <c r="C19" s="11" t="s">
        <v>25</v>
      </c>
      <c r="D19" s="12">
        <v>0</v>
      </c>
      <c r="E19" s="11"/>
      <c r="F19" s="12">
        <v>360.0000</v>
      </c>
    </row>
    <row r="20" ht="10.95" customHeight="true" customFormat="true" s="8">
      <c r="A20" s="11" t="s">
        <v>40</v>
      </c>
      <c r="B20" s="11" t="s">
        <v>41</v>
      </c>
      <c r="C20" s="11" t="s">
        <v>25</v>
      </c>
      <c r="D20" s="12">
        <v>342.5600</v>
      </c>
      <c r="E20" s="11"/>
      <c r="F20" s="12">
        <v>150.7400</v>
      </c>
    </row>
    <row r="21" ht="10.95" customHeight="true" customFormat="true" s="8">
      <c r="A21" s="11" t="s">
        <v>42</v>
      </c>
      <c r="B21" s="11" t="s">
        <v>43</v>
      </c>
      <c r="C21" s="11" t="s">
        <v>25</v>
      </c>
      <c r="D21" s="12">
        <v>310.0000</v>
      </c>
      <c r="E21" s="11"/>
      <c r="F21" s="12">
        <v>0</v>
      </c>
    </row>
    <row r="22" ht="10.95" customHeight="true" customFormat="true" s="8">
      <c r="A22" s="11" t="s">
        <v>44</v>
      </c>
      <c r="B22" s="11" t="s">
        <v>45</v>
      </c>
      <c r="C22" s="11" t="s">
        <v>25</v>
      </c>
      <c r="D22" s="12">
        <v>630.2700</v>
      </c>
      <c r="E22" s="11"/>
      <c r="F22" s="12">
        <v>975.6000</v>
      </c>
    </row>
    <row r="23" ht="10.95" customHeight="true" customFormat="true" s="8">
      <c r="A23" s="11" t="s">
        <v>46</v>
      </c>
      <c r="B23" s="11" t="s">
        <v>47</v>
      </c>
      <c r="C23" s="11" t="s">
        <v>25</v>
      </c>
      <c r="D23" s="12">
        <v>0</v>
      </c>
      <c r="E23" s="11"/>
      <c r="F23" s="12">
        <v>143.6200</v>
      </c>
    </row>
    <row r="24" ht="10.95" customHeight="true" customFormat="true" s="8">
      <c r="A24" s="11" t="s">
        <v>48</v>
      </c>
      <c r="B24" s="11" t="s">
        <v>49</v>
      </c>
      <c r="C24" s="11" t="s">
        <v>25</v>
      </c>
      <c r="D24" s="12">
        <v>8977.2200</v>
      </c>
      <c r="E24" s="11"/>
      <c r="F24" s="12">
        <v>7836.5100</v>
      </c>
    </row>
    <row r="25" ht="10.95" customHeight="true" customFormat="true" s="8">
      <c r="A25" s="11" t="s">
        <v>50</v>
      </c>
      <c r="B25" s="11" t="s">
        <v>51</v>
      </c>
      <c r="C25" s="11" t="s">
        <v>25</v>
      </c>
      <c r="D25" s="12">
        <v>5741.5600</v>
      </c>
      <c r="E25" s="11"/>
      <c r="F25" s="12">
        <v>4063.6500</v>
      </c>
    </row>
    <row r="26" ht="10.95" customHeight="true" customFormat="true" s="8">
      <c r="A26" s="11" t="s">
        <v>52</v>
      </c>
      <c r="B26" s="11" t="s">
        <v>53</v>
      </c>
      <c r="C26" s="11" t="s">
        <v>25</v>
      </c>
      <c r="D26" s="12">
        <v>0</v>
      </c>
      <c r="E26" s="11"/>
      <c r="F26" s="12">
        <v>1275.0000</v>
      </c>
    </row>
    <row r="27" ht="10.95" customHeight="true" customFormat="true" s="8">
      <c r="A27" s="11" t="s">
        <v>54</v>
      </c>
      <c r="B27" s="11" t="s">
        <v>55</v>
      </c>
      <c r="C27" s="11" t="s">
        <v>25</v>
      </c>
      <c r="D27" s="12">
        <v>6303.1100</v>
      </c>
      <c r="E27" s="11"/>
      <c r="F27" s="12">
        <v>7174.0700</v>
      </c>
    </row>
    <row r="28" ht="10.95" customHeight="true" customFormat="true" s="8">
      <c r="A28" s="11" t="s">
        <v>56</v>
      </c>
      <c r="B28" s="11" t="s">
        <v>57</v>
      </c>
      <c r="C28" s="11" t="s">
        <v>25</v>
      </c>
      <c r="D28" s="12">
        <v>36272.5000</v>
      </c>
      <c r="E28" s="11"/>
      <c r="F28" s="12">
        <v>23306.3500</v>
      </c>
    </row>
    <row r="29" ht="10.95" customHeight="true" customFormat="true" s="8">
      <c r="A29" s="11" t="s">
        <v>58</v>
      </c>
      <c r="B29" s="11" t="s">
        <v>59</v>
      </c>
      <c r="C29" s="11" t="s">
        <v>25</v>
      </c>
      <c r="D29" s="12">
        <v>618.7400</v>
      </c>
      <c r="E29" s="11"/>
      <c r="F29" s="12">
        <v>611.8100</v>
      </c>
    </row>
    <row r="30" ht="10.95" customHeight="true" customFormat="true" s="8">
      <c r="A30" s="11" t="s">
        <v>60</v>
      </c>
      <c r="B30" s="11" t="s">
        <v>61</v>
      </c>
      <c r="C30" s="11" t="s">
        <v>25</v>
      </c>
      <c r="D30" s="12">
        <v>240.9100</v>
      </c>
      <c r="E30" s="11"/>
      <c r="F30" s="12">
        <v>113.1700</v>
      </c>
    </row>
    <row r="31" ht="10.95" customHeight="true" customFormat="true" s="8">
      <c r="A31" s="11" t="s">
        <v>62</v>
      </c>
      <c r="B31" s="11" t="s">
        <v>63</v>
      </c>
      <c r="C31" s="11" t="s">
        <v>25</v>
      </c>
      <c r="D31" s="12">
        <v>2322.6000</v>
      </c>
      <c r="E31" s="11"/>
      <c r="F31" s="12">
        <v>617.0900</v>
      </c>
    </row>
    <row r="32" ht="10.95" customHeight="true" customFormat="true" s="8">
      <c r="A32" s="11" t="s">
        <v>64</v>
      </c>
      <c r="B32" s="11" t="s">
        <v>65</v>
      </c>
      <c r="C32" s="11" t="s">
        <v>25</v>
      </c>
      <c r="D32" s="12">
        <v>5760.0600</v>
      </c>
      <c r="E32" s="11"/>
      <c r="F32" s="12">
        <v>221.7000</v>
      </c>
    </row>
    <row r="33" ht="10.95" customHeight="true" customFormat="true" s="8">
      <c r="A33" s="11" t="s">
        <v>66</v>
      </c>
      <c r="B33" s="11" t="s">
        <v>67</v>
      </c>
      <c r="C33" s="11" t="s">
        <v>25</v>
      </c>
      <c r="D33" s="12">
        <v>740.8900</v>
      </c>
      <c r="E33" s="11"/>
      <c r="F33" s="12">
        <v>660.0000</v>
      </c>
    </row>
    <row r="34" ht="10.95" customHeight="true" customFormat="true" s="8">
      <c r="A34" s="11" t="s">
        <v>68</v>
      </c>
      <c r="B34" s="11" t="s">
        <v>69</v>
      </c>
      <c r="C34" s="11" t="s">
        <v>25</v>
      </c>
      <c r="D34" s="12">
        <v>388814.5100</v>
      </c>
      <c r="E34" s="11"/>
      <c r="F34" s="12">
        <v>382424.2300</v>
      </c>
    </row>
    <row r="35" ht="10.95" customHeight="true" customFormat="true" s="8">
      <c r="A35" s="11" t="s">
        <v>70</v>
      </c>
      <c r="B35" s="11" t="s">
        <v>71</v>
      </c>
      <c r="C35" s="11" t="s">
        <v>25</v>
      </c>
      <c r="D35" s="12">
        <v>41431.6500</v>
      </c>
      <c r="E35" s="11"/>
      <c r="F35" s="12">
        <v>40675.2100</v>
      </c>
    </row>
    <row r="36" ht="10.95" customHeight="true" customFormat="true" s="8">
      <c r="A36" s="11" t="s">
        <v>72</v>
      </c>
      <c r="B36" s="11" t="s">
        <v>73</v>
      </c>
      <c r="C36" s="11" t="s">
        <v>25</v>
      </c>
      <c r="D36" s="12">
        <v>1232.5100</v>
      </c>
      <c r="E36" s="11"/>
      <c r="F36" s="12">
        <v>420.5900</v>
      </c>
    </row>
    <row r="37" ht="10.95" customHeight="true" customFormat="true" s="8">
      <c r="A37" s="11" t="s">
        <v>74</v>
      </c>
      <c r="B37" s="11" t="s">
        <v>75</v>
      </c>
      <c r="C37" s="11" t="s">
        <v>25</v>
      </c>
      <c r="D37" s="12">
        <v>1574.8400</v>
      </c>
      <c r="E37" s="11"/>
      <c r="F37" s="12">
        <v>1605.3100</v>
      </c>
    </row>
    <row r="38" ht="10.95" customHeight="true" customFormat="true" s="8">
      <c r="A38" s="11" t="s">
        <v>76</v>
      </c>
      <c r="B38" s="11" t="s">
        <v>77</v>
      </c>
      <c r="C38" s="11" t="s">
        <v>25</v>
      </c>
      <c r="D38" s="12">
        <v>2820.6000</v>
      </c>
      <c r="E38" s="11"/>
      <c r="F38" s="12">
        <v>2526.6200</v>
      </c>
    </row>
    <row r="39" ht="10.95" customHeight="true" customFormat="true" s="8">
      <c r="A39" s="11" t="s">
        <v>78</v>
      </c>
      <c r="B39" s="11" t="s">
        <v>79</v>
      </c>
      <c r="C39" s="11" t="s">
        <v>25</v>
      </c>
      <c r="D39" s="12">
        <v>11734.6900</v>
      </c>
      <c r="E39" s="11"/>
      <c r="F39" s="12">
        <v>1515.4600</v>
      </c>
    </row>
    <row r="40" ht="10.95" customHeight="true" customFormat="true" s="8">
      <c r="A40" s="11" t="s">
        <v>80</v>
      </c>
      <c r="B40" s="11" t="s">
        <v>81</v>
      </c>
      <c r="C40" s="11" t="s">
        <v>25</v>
      </c>
      <c r="D40" s="12">
        <v>37945.2500</v>
      </c>
      <c r="E40" s="11"/>
      <c r="F40" s="12">
        <v>5371.0000</v>
      </c>
    </row>
    <row r="41" ht="10.95" customHeight="true" customFormat="true" s="8">
      <c r="A41" s="11" t="s">
        <v>82</v>
      </c>
      <c r="B41" s="11" t="s">
        <v>83</v>
      </c>
      <c r="C41" s="11" t="s">
        <v>25</v>
      </c>
      <c r="D41" s="12">
        <v>0</v>
      </c>
      <c r="E41" s="11"/>
      <c r="F41" s="12">
        <v>43000.0000</v>
      </c>
    </row>
    <row r="42" ht="10.95" customHeight="true" customFormat="true" s="8">
      <c r="A42" s="11" t="s">
        <v>84</v>
      </c>
      <c r="B42" s="11" t="s">
        <v>85</v>
      </c>
      <c r="C42" s="11" t="s">
        <v>86</v>
      </c>
      <c r="D42" s="12">
        <v>80613.6500</v>
      </c>
      <c r="E42" s="11"/>
      <c r="F42" s="12">
        <v>51905.8700</v>
      </c>
    </row>
    <row r="43" ht="10.95" customHeight="true" customFormat="true" s="8">
      <c r="A43" s="11" t="s">
        <v>87</v>
      </c>
      <c r="B43" s="11" t="s">
        <v>88</v>
      </c>
      <c r="C43" s="11" t="s">
        <v>86</v>
      </c>
      <c r="D43" s="12">
        <v>1731.3400</v>
      </c>
      <c r="E43" s="11"/>
      <c r="F43" s="12">
        <v>364.3200</v>
      </c>
    </row>
    <row r="44" ht="10.95" customHeight="true" customFormat="true" s="8">
      <c r="A44" s="11" t="s">
        <v>89</v>
      </c>
      <c r="B44" s="11" t="s">
        <v>90</v>
      </c>
      <c r="C44" s="11" t="s">
        <v>91</v>
      </c>
      <c r="D44" s="12">
        <v>1.0000</v>
      </c>
      <c r="E44" s="11"/>
      <c r="F44" s="12">
        <v>1.0000</v>
      </c>
    </row>
    <row r="45" ht="10.95" customHeight="true" customFormat="true" s="8">
      <c r="A45" s="11" t="s">
        <v>92</v>
      </c>
      <c r="B45" s="11" t="s">
        <v>93</v>
      </c>
      <c r="C45" s="11" t="s">
        <v>91</v>
      </c>
      <c r="D45" s="12">
        <v>22235.4000</v>
      </c>
      <c r="E45" s="11"/>
      <c r="F45" s="12">
        <v>3339.6000</v>
      </c>
    </row>
    <row r="46" ht="10.95" customHeight="true" customFormat="true" s="8">
      <c r="A46" s="11" t="s">
        <v>94</v>
      </c>
      <c r="B46" s="11" t="s">
        <v>95</v>
      </c>
      <c r="C46" s="11" t="s">
        <v>96</v>
      </c>
      <c r="D46" s="12">
        <v>2084.6200</v>
      </c>
      <c r="E46" s="11"/>
      <c r="F46" s="12">
        <v>1114.8700</v>
      </c>
    </row>
    <row r="47" ht="10.95" customHeight="true" customFormat="true" s="8">
      <c r="A47" s="11" t="s">
        <v>97</v>
      </c>
      <c r="B47" s="11" t="s">
        <v>98</v>
      </c>
      <c r="C47" s="11" t="s">
        <v>99</v>
      </c>
      <c r="D47" s="12">
        <v>26334.2300</v>
      </c>
      <c r="E47" s="11"/>
      <c r="F47" s="12">
        <v>0</v>
      </c>
    </row>
    <row r="48" ht="10.95" customHeight="true" customFormat="true" s="8">
      <c r="A48" s="11" t="s">
        <v>100</v>
      </c>
      <c r="B48" s="11" t="s">
        <v>101</v>
      </c>
      <c r="C48" s="11" t="s">
        <v>99</v>
      </c>
      <c r="D48" s="11"/>
      <c r="E48" s="12">
        <v>4911.3200</v>
      </c>
      <c r="F48" s="12">
        <v>0</v>
      </c>
    </row>
    <row r="49" ht="10.95" customHeight="true" customFormat="true" s="8">
      <c r="A49" s="11" t="s">
        <v>102</v>
      </c>
      <c r="B49" s="11" t="s">
        <v>103</v>
      </c>
      <c r="C49" s="11" t="s">
        <v>99</v>
      </c>
      <c r="D49" s="12">
        <v>37427.1400</v>
      </c>
      <c r="E49" s="11"/>
      <c r="F49" s="12">
        <v>0</v>
      </c>
    </row>
    <row r="50" ht="10.95" customHeight="true" customFormat="true" s="8">
      <c r="A50" s="11" t="s">
        <v>104</v>
      </c>
      <c r="B50" s="11" t="s">
        <v>105</v>
      </c>
      <c r="C50" s="11" t="s">
        <v>99</v>
      </c>
      <c r="D50" s="11"/>
      <c r="E50" s="12">
        <v>6749.1600</v>
      </c>
      <c r="F50" s="12">
        <v>0</v>
      </c>
    </row>
    <row r="51" ht="10.95" customHeight="true" customFormat="true" s="8">
      <c r="A51" s="11" t="s">
        <v>106</v>
      </c>
      <c r="B51" s="11" t="s">
        <v>107</v>
      </c>
      <c r="C51" s="11" t="s">
        <v>96</v>
      </c>
      <c r="D51" s="12">
        <v>256049.4600</v>
      </c>
      <c r="E51" s="11"/>
      <c r="F51" s="12">
        <v>176387.7300</v>
      </c>
    </row>
    <row r="52" ht="10.95" customHeight="true" customFormat="true" s="8">
      <c r="A52" s="11" t="s">
        <v>108</v>
      </c>
      <c r="B52" s="11" t="s">
        <v>109</v>
      </c>
      <c r="C52" s="11" t="s">
        <v>110</v>
      </c>
      <c r="D52" s="11"/>
      <c r="E52" s="12">
        <v>7086.8800</v>
      </c>
      <c r="F52" s="12">
        <v>-2824.9500</v>
      </c>
    </row>
    <row r="53" ht="10.95" customHeight="true" customFormat="true" s="8">
      <c r="A53" s="11" t="s">
        <v>111</v>
      </c>
      <c r="B53" s="11" t="s">
        <v>112</v>
      </c>
      <c r="C53" s="11" t="s">
        <v>110</v>
      </c>
      <c r="D53" s="11"/>
      <c r="E53" s="12">
        <v>18167.0000</v>
      </c>
      <c r="F53" s="12">
        <v>-11834.0000</v>
      </c>
    </row>
    <row r="54" ht="10.95" customHeight="true" customFormat="true" s="8">
      <c r="A54" s="11" t="s">
        <v>113</v>
      </c>
      <c r="B54" s="11" t="s">
        <v>114</v>
      </c>
      <c r="C54" s="11" t="s">
        <v>110</v>
      </c>
      <c r="D54" s="11"/>
      <c r="E54" s="12">
        <v>2027.3000</v>
      </c>
      <c r="F54" s="12">
        <v>-6087.3600</v>
      </c>
    </row>
    <row r="55" ht="10.95" customHeight="true" customFormat="true" s="8">
      <c r="A55" s="11" t="s">
        <v>115</v>
      </c>
      <c r="B55" s="11" t="s">
        <v>116</v>
      </c>
      <c r="C55" s="11" t="s">
        <v>110</v>
      </c>
      <c r="D55" s="11"/>
      <c r="E55" s="12">
        <v>0</v>
      </c>
      <c r="F55" s="12">
        <v>-6522.0000</v>
      </c>
    </row>
    <row r="56" ht="10.95" customHeight="true" customFormat="true" s="8">
      <c r="A56" s="11" t="s">
        <v>117</v>
      </c>
      <c r="B56" s="11" t="s">
        <v>118</v>
      </c>
      <c r="C56" s="11" t="s">
        <v>110</v>
      </c>
      <c r="D56" s="11"/>
      <c r="E56" s="12">
        <v>4067.5400</v>
      </c>
      <c r="F56" s="12">
        <v>-2267.9900</v>
      </c>
    </row>
    <row r="57" ht="10.95" customHeight="true" customFormat="true" s="8">
      <c r="A57" s="11" t="s">
        <v>119</v>
      </c>
      <c r="B57" s="11" t="s">
        <v>120</v>
      </c>
      <c r="C57" s="11" t="s">
        <v>110</v>
      </c>
      <c r="D57" s="12">
        <v>4796.0000</v>
      </c>
      <c r="E57" s="11"/>
      <c r="F57" s="12">
        <v>5597.0000</v>
      </c>
    </row>
    <row r="58" ht="10.95" customHeight="true" customFormat="true" s="8">
      <c r="A58" s="11" t="s">
        <v>121</v>
      </c>
      <c r="B58" s="11" t="s">
        <v>122</v>
      </c>
      <c r="C58" s="11" t="s">
        <v>110</v>
      </c>
      <c r="D58" s="11"/>
      <c r="E58" s="12">
        <v>37945.2500</v>
      </c>
      <c r="F58" s="12">
        <v>0</v>
      </c>
    </row>
    <row r="59" ht="10.95" customHeight="true" customFormat="true" s="8">
      <c r="A59" s="11" t="s">
        <v>123</v>
      </c>
      <c r="B59" s="11" t="s">
        <v>124</v>
      </c>
      <c r="C59" s="11" t="s">
        <v>125</v>
      </c>
      <c r="D59" s="11"/>
      <c r="E59" s="12">
        <v>45292.9200</v>
      </c>
      <c r="F59" s="12">
        <v>0</v>
      </c>
    </row>
    <row r="60" ht="10.95" customHeight="true" customFormat="true" s="8">
      <c r="A60" s="11" t="s">
        <v>126</v>
      </c>
      <c r="B60" s="11" t="s">
        <v>127</v>
      </c>
      <c r="C60" s="11" t="s">
        <v>125</v>
      </c>
      <c r="D60" s="12">
        <v>8486.6400</v>
      </c>
      <c r="E60" s="11"/>
      <c r="F60" s="12">
        <v>0</v>
      </c>
    </row>
    <row r="61" ht="10.95" customHeight="true" customFormat="true" s="8">
      <c r="A61" s="11" t="s">
        <v>128</v>
      </c>
      <c r="B61" s="11" t="s">
        <v>129</v>
      </c>
      <c r="C61" s="11" t="s">
        <v>125</v>
      </c>
      <c r="D61" s="11"/>
      <c r="E61" s="12">
        <v>67349.8400</v>
      </c>
      <c r="F61" s="12">
        <v>-81038.1200</v>
      </c>
    </row>
    <row r="62" ht="10.95" customHeight="true" customFormat="true" s="8">
      <c r="A62" s="11" t="s">
        <v>130</v>
      </c>
      <c r="B62" s="11" t="s">
        <v>131</v>
      </c>
      <c r="C62" s="11" t="s">
        <v>125</v>
      </c>
      <c r="D62" s="12">
        <v>9716.6800</v>
      </c>
      <c r="E62" s="11"/>
      <c r="F62" s="12">
        <v>14009.7300</v>
      </c>
    </row>
    <row r="63" ht="10.95" customHeight="true" customFormat="true" s="8">
      <c r="A63" s="11" t="s">
        <v>132</v>
      </c>
      <c r="B63" s="11" t="s">
        <v>133</v>
      </c>
      <c r="C63" s="11" t="s">
        <v>134</v>
      </c>
      <c r="D63" s="11"/>
      <c r="E63" s="12">
        <v>67286.0000</v>
      </c>
      <c r="F63" s="12">
        <v>-67286.0000</v>
      </c>
    </row>
    <row r="64" ht="10.95" customHeight="true" customFormat="true" s="8">
      <c r="A64" s="11" t="s">
        <v>135</v>
      </c>
      <c r="B64" s="11" t="s">
        <v>136</v>
      </c>
      <c r="C64" s="11" t="s">
        <v>134</v>
      </c>
      <c r="D64" s="11"/>
      <c r="E64" s="12">
        <v>74858.7000</v>
      </c>
      <c r="F64" s="12">
        <v>-87768.2800</v>
      </c>
    </row>
    <row r="65" ht="10.95" customHeight="true" customFormat="true" s="8">
      <c r="A65" s="11" t="s">
        <v>137</v>
      </c>
      <c r="B65" s="11" t="s">
        <v>138</v>
      </c>
      <c r="C65" s="11" t="s">
        <v>134</v>
      </c>
      <c r="D65" s="11"/>
      <c r="E65" s="12">
        <v>1.0000</v>
      </c>
      <c r="F65" s="12">
        <v>-1.0000</v>
      </c>
    </row>
    <row r="66" ht="10.95" customHeight="true" customFormat="true" s="8">
      <c r="A66" s="13" t="s">
        <v>139</v>
      </c>
      <c r="B66" s="13"/>
      <c r="C66" s="13"/>
      <c r="D66" s="14">
        <f ca="1">SUM(D6:D65)</f>
        <v>0</v>
      </c>
      <c r="E66" s="14">
        <f ca="1">SUM(E6:E65)</f>
        <v>0</v>
      </c>
      <c r="F66" s="14">
        <f ca="1">SUM(F6:F65)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