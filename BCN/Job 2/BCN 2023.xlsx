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172.168.2.190\cp - 1\Gurvinder Singh\Workpapers\Borrowing Cost WP\Casurge\"/>
    </mc:Choice>
  </mc:AlternateContent>
  <xr:revisionPtr revIDLastSave="0" documentId="13_ncr:1_{06924E44-3291-421D-BC91-C93B9F0332D3}" xr6:coauthVersionLast="47" xr6:coauthVersionMax="47" xr10:uidLastSave="{00000000-0000-0000-0000-000000000000}"/>
  <bookViews>
    <workbookView xWindow="-108" yWindow="-108" windowWidth="23256" windowHeight="12576" xr2:uid="{8F1D916E-8FF1-4B6A-BA2D-3D2E92AC0A7F}"/>
  </bookViews>
  <sheets>
    <sheet name="BCN - 2023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</externalReferences>
  <definedNames>
    <definedName name="_MV_Deduction_">#REF!,#REF!,#REF!,#REF!,#REF!,#REF!,#REF!,#REF!</definedName>
    <definedName name="_Order1" hidden="1">255</definedName>
    <definedName name="_Sort" hidden="1">#REF!</definedName>
    <definedName name="Additional_Levy">'[1]Tax Planning'!$Z$17</definedName>
    <definedName name="AddWorkpaper">INDIRECT(_xll.CurrentCell())</definedName>
    <definedName name="AprAllDraw">#REF!,#REF!</definedName>
    <definedName name="AprAllRep">#REF!,#REF!</definedName>
    <definedName name="AprApp2Bal">#REF!</definedName>
    <definedName name="AprApp2OB">#REF!</definedName>
    <definedName name="AprApp2Share">#REF!</definedName>
    <definedName name="AprApp3Bal">#REF!</definedName>
    <definedName name="AprApp3OB">#REF!</definedName>
    <definedName name="AprApp3Share">#REF!</definedName>
    <definedName name="AprApp4Bal">#REF!</definedName>
    <definedName name="AprApp4OB">#REF!</definedName>
    <definedName name="AprApp4Share">#REF!</definedName>
    <definedName name="AprApp5Bal">#REF!</definedName>
    <definedName name="AprApp5OB">#REF!</definedName>
    <definedName name="AprApp5Share">#REF!</definedName>
    <definedName name="AprApp6Bal">#REF!</definedName>
    <definedName name="AprApp6OB">#REF!</definedName>
    <definedName name="AprApp6Share">#REF!</definedName>
    <definedName name="AprBal">#REF!</definedName>
    <definedName name="AprBP">#REF!</definedName>
    <definedName name="AprBusDraw">#REF!</definedName>
    <definedName name="AprBusDrawApp">#REF!</definedName>
    <definedName name="AprFees">#REF!</definedName>
    <definedName name="AprGenRep">#REF!</definedName>
    <definedName name="AprInt">#REF!</definedName>
    <definedName name="AprOB">#REF!</definedName>
    <definedName name="AprOpenBP">#REF!</definedName>
    <definedName name="AprPersBal">#REF!</definedName>
    <definedName name="AprPersDraw">#REF!</definedName>
    <definedName name="AprPersOB">#REF!</definedName>
    <definedName name="AprPersShare">#REF!</definedName>
    <definedName name="AprSpecRep">#REF!</definedName>
    <definedName name="AprSpecRepApp">#REF!</definedName>
    <definedName name="AugAllDraw">#REF!,#REF!</definedName>
    <definedName name="AugAllRep">#REF!,#REF!</definedName>
    <definedName name="AugApp2Bal">#REF!</definedName>
    <definedName name="AugApp2OB">#REF!</definedName>
    <definedName name="AugApp2Share">#REF!</definedName>
    <definedName name="AugApp3Bal">#REF!</definedName>
    <definedName name="AugApp3OB">#REF!</definedName>
    <definedName name="AugApp3Share">#REF!</definedName>
    <definedName name="AugApp4Bal">#REF!</definedName>
    <definedName name="AugApp4OB">#REF!</definedName>
    <definedName name="AugApp4Share">#REF!</definedName>
    <definedName name="AugApp5Bal">#REF!</definedName>
    <definedName name="AugApp5OB">#REF!</definedName>
    <definedName name="AugApp5Share">#REF!</definedName>
    <definedName name="AugApp6Bal">#REF!</definedName>
    <definedName name="AugApp6OB">#REF!</definedName>
    <definedName name="AugApp6Share">#REF!</definedName>
    <definedName name="AugBal">#REF!</definedName>
    <definedName name="AugBP">#REF!</definedName>
    <definedName name="AugBusDraw">#REF!</definedName>
    <definedName name="AugBusDrawApp">#REF!</definedName>
    <definedName name="AugFees">#REF!</definedName>
    <definedName name="AugGenRep">#REF!</definedName>
    <definedName name="AugInt">#REF!</definedName>
    <definedName name="AugOB">#REF!</definedName>
    <definedName name="AugOpenBP">#REF!</definedName>
    <definedName name="AugPersBal">#REF!</definedName>
    <definedName name="AugPersDraw">#REF!</definedName>
    <definedName name="AugPersOB">#REF!</definedName>
    <definedName name="AugPersShare">#REF!</definedName>
    <definedName name="AugSpecRep">#REF!</definedName>
    <definedName name="AugSpecRepApp">#REF!</definedName>
    <definedName name="bcsalary">[2]Permanent!$C$133</definedName>
    <definedName name="BoardEmpContr">#REF!+#REF!+#REF!+#REF!+#REF!</definedName>
    <definedName name="BoardGrossTaxVal">#REF!+#REF!+#REF!+#REF!+#REF!</definedName>
    <definedName name="BoardReduct">#REF!+#REF!+#REF!+#REF!+#REF!</definedName>
    <definedName name="BoardTaxVal">#REF!+#REF!+#REF!+#REF!+#REF!</definedName>
    <definedName name="BoardType2">#REF!+#REF!+#REF!+#REF!+#REF!</definedName>
    <definedName name="BU">#REF!</definedName>
    <definedName name="CarParkEmpCont">#REF!</definedName>
    <definedName name="CarparkGrossTaxVal">#REF!</definedName>
    <definedName name="CarParkTaxVal">#REF!</definedName>
    <definedName name="CarparkType1">#REF!-#REF!</definedName>
    <definedName name="CarparkType2">#REF!-#REF!</definedName>
    <definedName name="CarType1">#REF!+#REF!+#REF!+#REF!+#REF!</definedName>
    <definedName name="CarType2">#REF!+#REF!+#REF!+#REF!+#REF!</definedName>
    <definedName name="Cl_Connected">[3]Home!$K$6</definedName>
    <definedName name="Cl_FileId">[3]Home!$C$46</definedName>
    <definedName name="Cl_FileName">[3]Home!$C$48</definedName>
    <definedName name="Client">#REF!</definedName>
    <definedName name="Client_Code">[4]Home!$B$8</definedName>
    <definedName name="client_name">[5]menu!$E$2</definedName>
    <definedName name="CORP">#REF!</definedName>
    <definedName name="Current_Assets">#N/A</definedName>
    <definedName name="CurrentYear">#REF!</definedName>
    <definedName name="Date">#REF!</definedName>
    <definedName name="days_in_year">[4]DASHBOARD!$C$117</definedName>
    <definedName name="DebtType2">#REF!+#REF!+#REF!+#REF!+#REF!</definedName>
    <definedName name="DebtWaivGrossTaxVal">#REF!+#REF!+#REF!+#REF!+#REF!</definedName>
    <definedName name="DebtWaivTaxVal">#REF!+#REF!+#REF!+#REF!+#REF!</definedName>
    <definedName name="DecAllDraw">#REF!,#REF!</definedName>
    <definedName name="DecAllRep">#REF!,#REF!</definedName>
    <definedName name="DecApp2Bal">#REF!</definedName>
    <definedName name="DecApp2OB">#REF!</definedName>
    <definedName name="DecApp2Share">#REF!</definedName>
    <definedName name="DecApp3Bal">#REF!</definedName>
    <definedName name="DecApp3OB">#REF!</definedName>
    <definedName name="DecApp3Share">#REF!</definedName>
    <definedName name="DecApp4Bal">#REF!</definedName>
    <definedName name="DecApp4OB">#REF!</definedName>
    <definedName name="DecApp4Share">#REF!</definedName>
    <definedName name="DecApp5Bal">#REF!</definedName>
    <definedName name="DecApp5OB">#REF!</definedName>
    <definedName name="DecApp5Share">#REF!</definedName>
    <definedName name="DecApp6Bal">#REF!</definedName>
    <definedName name="DecApp6OB">#REF!</definedName>
    <definedName name="DecApp6Share">#REF!</definedName>
    <definedName name="DecBal">#REF!</definedName>
    <definedName name="DecBP">#REF!</definedName>
    <definedName name="DecBusDraw">#REF!</definedName>
    <definedName name="DecBusDrawApp">#REF!</definedName>
    <definedName name="DecFees">#REF!</definedName>
    <definedName name="DecGenRep">#REF!</definedName>
    <definedName name="DecInt">#REF!</definedName>
    <definedName name="DecOB">#REF!</definedName>
    <definedName name="DecOpenBP">#REF!</definedName>
    <definedName name="DecPersBal">#REF!</definedName>
    <definedName name="DecPersDraw">#REF!</definedName>
    <definedName name="DecPersOB">#REF!</definedName>
    <definedName name="DecPersShare">#REF!</definedName>
    <definedName name="DecSpecRep">#REF!</definedName>
    <definedName name="DecSpecRepApp">#REF!</definedName>
    <definedName name="DeleteWorkpaper">INDIRECT(_xll.CurrentCell())</definedName>
    <definedName name="Depreciation">'[4]G20 Leases'!$F$54:$F$290</definedName>
    <definedName name="DividendList">[4]DASHBOARD!$C$119:$C$120</definedName>
    <definedName name="End_Bal">'[6]Amortization Table'!$I$18:$I$377</definedName>
    <definedName name="engine_capacity">#REF!</definedName>
    <definedName name="EntertainTaxVal">#REF!</definedName>
    <definedName name="EntertainType1">#REF!</definedName>
    <definedName name="EntertainType2">#REF!</definedName>
    <definedName name="EntGrossTaxVal">#REF!</definedName>
    <definedName name="ENTITIES">#REF!</definedName>
    <definedName name="Equity">#N/A</definedName>
    <definedName name="Expenses">#N/A</definedName>
    <definedName name="ExpPayGrossTaxVal">#REF!+#REF!+#REF!+#REF!+#REF!</definedName>
    <definedName name="ExpPayRed">#REF!+#REF!+#REF!+#REF!+#REF!</definedName>
    <definedName name="ExpPayTaxVal">#REF!+#REF!+#REF!+#REF!+#REF!</definedName>
    <definedName name="ExpPayType1">#REF!+#REF!+#REF!+#REF!+#REF!</definedName>
    <definedName name="ExpPayType2">#REF!+#REF!+#REF!+#REF!+#REF!</definedName>
    <definedName name="ExtPropEmpCont">#REF!+#REF!+#REF!+#REF!+#REF!</definedName>
    <definedName name="ExtPropGrossTaxVal">#REF!+#REF!+#REF!+#REF!+#REF!</definedName>
    <definedName name="ExtPropReduc">#REF!+#REF!+#REF!+#REF!+#REF!</definedName>
    <definedName name="ExtPropTaxValue">#REF!+#REF!+#REF!+#REF!+#REF!</definedName>
    <definedName name="Family_MC_Surcharge">'[1]Tax Planning'!$R$21:$V$22</definedName>
    <definedName name="FBT_Depn_Table">#REF!</definedName>
    <definedName name="FBT_Interest_Rate">#REF!</definedName>
    <definedName name="FBTMethod">[4]DASHBOARD!$C$124:$C$125</definedName>
    <definedName name="FebAllDraw">#REF!,#REF!</definedName>
    <definedName name="FebAllRep">#REF!,#REF!</definedName>
    <definedName name="FebApp2Bal">#REF!</definedName>
    <definedName name="FebApp2OB">#REF!</definedName>
    <definedName name="FebApp2Share">#REF!</definedName>
    <definedName name="FebApp3Bal">#REF!</definedName>
    <definedName name="FebApp3OB">#REF!</definedName>
    <definedName name="FebApp3Share">#REF!</definedName>
    <definedName name="FebApp4Bal">#REF!</definedName>
    <definedName name="FebApp4OB">#REF!</definedName>
    <definedName name="FebApp4Share">#REF!</definedName>
    <definedName name="FebApp5Bal">#REF!</definedName>
    <definedName name="FebApp5OB">#REF!</definedName>
    <definedName name="FebApp5Share">#REF!</definedName>
    <definedName name="FebApp6Bal">#REF!</definedName>
    <definedName name="FebApp6OB">#REF!</definedName>
    <definedName name="FebApp6Share">#REF!</definedName>
    <definedName name="FebBal">#REF!</definedName>
    <definedName name="FebBP">#REF!</definedName>
    <definedName name="FebBusDraw">#REF!</definedName>
    <definedName name="FebBusDrawApp">#REF!</definedName>
    <definedName name="FebFees">#REF!</definedName>
    <definedName name="FebGenRep">#REF!</definedName>
    <definedName name="FebInt">#REF!</definedName>
    <definedName name="FebOB">#REF!</definedName>
    <definedName name="FebOpenBP">#REF!</definedName>
    <definedName name="FebPersBal">#REF!</definedName>
    <definedName name="FebPersDraw">#REF!</definedName>
    <definedName name="FebPersOB">#REF!</definedName>
    <definedName name="FebPersShare">#REF!</definedName>
    <definedName name="FebSpecRep">#REF!</definedName>
    <definedName name="FebSpecRepApp">#REF!</definedName>
    <definedName name="FFF">[7]menu!$E$3</definedName>
    <definedName name="Financial_Statements">#N/A</definedName>
    <definedName name="FlaggedItems">[3]Index!$AQ$11</definedName>
    <definedName name="FRST_PER">[8]Master!$B$8</definedName>
    <definedName name="Full_Print">'[6]Amortization Table'!$A$1:$I$377</definedName>
    <definedName name="Go_AddWorkpaper">INDIRECT(_xll.CurrentCell())</definedName>
    <definedName name="Go_Chat">INDIRECT(_xll.CurrentCell())</definedName>
    <definedName name="Go_DeleteWorkpaper">INDIRECT(_xll.CurrentCell())</definedName>
    <definedName name="Go_ExpandCollapse">INDIRECT(_xll.CurrentCell())</definedName>
    <definedName name="Go_FollowHyperlink">INDIRECT(_xll.CurrentCell())</definedName>
    <definedName name="Go_Index">INDIRECT(_xll.CurrentCell())</definedName>
    <definedName name="Go_StatusLog">INDIRECT(_xll.CurrentCell())</definedName>
    <definedName name="Go_TickBox">INDIRECT(_xll.CurrentCell())</definedName>
    <definedName name="Go_Toggle_O_P">INDIRECT(_xll.CurrentCell())</definedName>
    <definedName name="Go_Toggle_P_O_W_N">INDIRECT(_xll.CurrentCell())</definedName>
    <definedName name="GROUP">#REF!</definedName>
    <definedName name="GST">#N/A</definedName>
    <definedName name="HECS">'[1]Tax Planning'!$AD$20:$AW$21</definedName>
    <definedName name="HouseEmplCont">#REF!+#REF!+#REF!+#REF!+#REF!</definedName>
    <definedName name="HouseGrossTaxVal">#REF!+#REF!+#REF!+#REF!+#REF!</definedName>
    <definedName name="HouseLoanTaxVal">#REF!+#REF!+#REF!+#REF!+#REF!</definedName>
    <definedName name="HouseTaxVal">#REF!+#REF!+#REF!+#REF!+#REF!</definedName>
    <definedName name="HousingLoanType2">#REF!+#REF!+#REF!+#REF!+#REF!</definedName>
    <definedName name="HousingType1">#REF!+#REF!+#REF!+#REF!+#REF!</definedName>
    <definedName name="HousingType2">#REF!+#REF!+#REF!+#REF!+#REF!</definedName>
    <definedName name="Income">#N/A</definedName>
    <definedName name="Income_tax">#N/A</definedName>
    <definedName name="Index_TaxRec_Coy">'[9]Index of Workpapers'!#REF!</definedName>
    <definedName name="Index_TaxRec_Psh">'[9]Index of Workpapers'!#REF!</definedName>
    <definedName name="InHousePropEmpCont">#REF!+#REF!+#REF!+#REF!+#REF!</definedName>
    <definedName name="InHousePropGrossTaxVal">#REF!+#REF!+#REF!+#REF!+#REF!</definedName>
    <definedName name="InHousePropRed">#REF!+#REF!+#REF!+#REF!+#REF!</definedName>
    <definedName name="InHousePropTaxVal">#REF!+#REF!+#REF!+#REF!+#REF!</definedName>
    <definedName name="Initial">#REF!</definedName>
    <definedName name="Interest_Rate">'[6]Amortization Table'!$D$7</definedName>
    <definedName name="IssueTypes">[3]Index!$AL$11</definedName>
    <definedName name="JanAllDraw">#REF!,#REF!</definedName>
    <definedName name="JanAllRep">#REF!,#REF!</definedName>
    <definedName name="JanApp2Bal">#REF!</definedName>
    <definedName name="JanApp2OB">#REF!</definedName>
    <definedName name="JanApp2Share">#REF!</definedName>
    <definedName name="JanApp3Bal">#REF!</definedName>
    <definedName name="JanApp3OB">#REF!</definedName>
    <definedName name="JanApp3Share">#REF!</definedName>
    <definedName name="JanApp4Bal">#REF!</definedName>
    <definedName name="JanApp4OB">#REF!</definedName>
    <definedName name="JanApp4Share">#REF!</definedName>
    <definedName name="JanApp5Bal">#REF!</definedName>
    <definedName name="JanApp5OB">#REF!</definedName>
    <definedName name="JanApp5Share">#REF!</definedName>
    <definedName name="JanApp6Bal">#REF!</definedName>
    <definedName name="JanApp6OB">#REF!</definedName>
    <definedName name="JanApp6Share">#REF!</definedName>
    <definedName name="JanBal">#REF!</definedName>
    <definedName name="JanBP">#REF!</definedName>
    <definedName name="JanBusDraw">#REF!</definedName>
    <definedName name="JanBusDrawApp">#REF!</definedName>
    <definedName name="JanFees">#REF!</definedName>
    <definedName name="JanGenRep">#REF!</definedName>
    <definedName name="JanInt">#REF!</definedName>
    <definedName name="JanOB">#REF!</definedName>
    <definedName name="JanOpenBP">#REF!</definedName>
    <definedName name="JanPersBal">#REF!</definedName>
    <definedName name="JanPersDraw">#REF!</definedName>
    <definedName name="JanPersOB">#REF!</definedName>
    <definedName name="JanPersShare">#REF!</definedName>
    <definedName name="JanSpecRep">#REF!</definedName>
    <definedName name="JanSpecRepApp">#REF!</definedName>
    <definedName name="Job_Management">#N/A</definedName>
    <definedName name="Journals">#N/A</definedName>
    <definedName name="JulAllDraw">#REF!,#REF!</definedName>
    <definedName name="JulAllRep">#REF!,#REF!</definedName>
    <definedName name="JulApp2Bal">#REF!</definedName>
    <definedName name="JulApp2OB">#REF!</definedName>
    <definedName name="JulApp2Share">#REF!</definedName>
    <definedName name="JulApp3Bal">#REF!</definedName>
    <definedName name="JulApp3OB">#REF!</definedName>
    <definedName name="JulApp3Share">#REF!</definedName>
    <definedName name="JulApp4Bal">#REF!</definedName>
    <definedName name="JulApp4OB">#REF!</definedName>
    <definedName name="JulApp4Share">#REF!</definedName>
    <definedName name="JulApp5Bal">#REF!</definedName>
    <definedName name="JulApp5OB">#REF!</definedName>
    <definedName name="JulApp5Share">#REF!</definedName>
    <definedName name="JulApp6Bal">#REF!</definedName>
    <definedName name="JulApp6OB">#REF!</definedName>
    <definedName name="JulApp6Share">#REF!</definedName>
    <definedName name="JulBal">#REF!</definedName>
    <definedName name="JulBP">#REF!</definedName>
    <definedName name="JulBusDraw">#REF!</definedName>
    <definedName name="JulBusDrawApp">#REF!</definedName>
    <definedName name="JulFees">#REF!</definedName>
    <definedName name="JulGenRep">#REF!</definedName>
    <definedName name="JulInt">#REF!</definedName>
    <definedName name="JulOB">#REF!</definedName>
    <definedName name="JulOpenBP">#REF!</definedName>
    <definedName name="JulPersBal">#REF!</definedName>
    <definedName name="JulPersDraw">#REF!</definedName>
    <definedName name="JulPersOB">#REF!</definedName>
    <definedName name="JulPersShare">#REF!</definedName>
    <definedName name="JulSpecRep">#REF!</definedName>
    <definedName name="JulSpecRepApp">#REF!</definedName>
    <definedName name="JunAllDraw">#REF!,#REF!</definedName>
    <definedName name="JunAllRep">#REF!,#REF!</definedName>
    <definedName name="JunApp2Bal">#REF!</definedName>
    <definedName name="JunApp2OB">#REF!</definedName>
    <definedName name="JunApp2Share">#REF!</definedName>
    <definedName name="JunApp3Bal">#REF!</definedName>
    <definedName name="JunApp3OB">#REF!</definedName>
    <definedName name="JunApp3Share">#REF!</definedName>
    <definedName name="JunApp4Bal">#REF!</definedName>
    <definedName name="JunApp4OB">#REF!</definedName>
    <definedName name="JunApp4Share">#REF!</definedName>
    <definedName name="JunApp5Bal">#REF!</definedName>
    <definedName name="JunApp5OB">#REF!</definedName>
    <definedName name="JunApp5Share">#REF!</definedName>
    <definedName name="JunApp6Bal">#REF!</definedName>
    <definedName name="JunApp6OB">#REF!</definedName>
    <definedName name="JunApp6Share">#REF!</definedName>
    <definedName name="JunBal">#REF!</definedName>
    <definedName name="JunBP">#REF!</definedName>
    <definedName name="JunBusDraw">#REF!</definedName>
    <definedName name="JunBusDrawApp">#REF!</definedName>
    <definedName name="JunFees">#REF!</definedName>
    <definedName name="JunGenRep">#REF!</definedName>
    <definedName name="JunInt">#REF!</definedName>
    <definedName name="JunOB">#REF!</definedName>
    <definedName name="JunOpenBP">#REF!</definedName>
    <definedName name="JunPersBal">#REF!</definedName>
    <definedName name="JunPersDraw">#REF!</definedName>
    <definedName name="JunPersOB">#REF!</definedName>
    <definedName name="JunPersShare">#REF!</definedName>
    <definedName name="JunSpecRep">#REF!</definedName>
    <definedName name="JunSpecRepApp">#REF!</definedName>
    <definedName name="LAHGrossTaxVal">#REF!+#REF!+#REF!+#REF!+#REF!</definedName>
    <definedName name="LAHReduct">#REF!+#REF!+#REF!+#REF!+#REF!</definedName>
    <definedName name="LAHTaxVal">#REF!+#REF!+#REF!+#REF!+#REF!</definedName>
    <definedName name="LAHType2">#REF!+#REF!+#REF!+#REF!+#REF!</definedName>
    <definedName name="Last_Row">IF(Values_Entered,Header_Row+Number_of_Payments,Header_Row)</definedName>
    <definedName name="Lease_End_Date">'[4]G20 Leases'!$E$14</definedName>
    <definedName name="Lease_Start_Date">'[4]G20 Leases'!$E$13</definedName>
    <definedName name="Liabilities">#N/A</definedName>
    <definedName name="LITO_MaxLimit">'[1]Tax Planning'!$V$28</definedName>
    <definedName name="Loan_Amount">'[6]Amortization Table'!$D$6</definedName>
    <definedName name="Loan_Start">'[6]Amortization Table'!$D$10</definedName>
    <definedName name="Loan_Years">'[6]Amortization Table'!$D$8</definedName>
    <definedName name="LoanGrossTaxVal">#REF!+#REF!+#REF!+#REF!+#REF!</definedName>
    <definedName name="LoansReduct">#REF!+#REF!+#REF!+#REF!+#REF!</definedName>
    <definedName name="LoansTaxVal">#REF!+#REF!+#REF!+#REF!+#REF!</definedName>
    <definedName name="LoanType2">#REF!+#REF!+#REF!+#REF!+#REF!</definedName>
    <definedName name="Low_Middle_Income_Offset">'[1]Tax Planning'!$R$15:$W$17</definedName>
    <definedName name="MarAllDraw">#REF!,#REF!</definedName>
    <definedName name="MarAllRep">#REF!,#REF!</definedName>
    <definedName name="MarApp2Bal">#REF!</definedName>
    <definedName name="MarApp2OB">#REF!</definedName>
    <definedName name="MarApp2Share">#REF!</definedName>
    <definedName name="MarApp3Bal">#REF!</definedName>
    <definedName name="MarApp3OB">#REF!</definedName>
    <definedName name="MarApp3Share">#REF!</definedName>
    <definedName name="MarApp4Bal">#REF!</definedName>
    <definedName name="MarApp4OB">#REF!</definedName>
    <definedName name="MarApp4Share">#REF!</definedName>
    <definedName name="MarApp5Bal">#REF!</definedName>
    <definedName name="MarApp5OB">#REF!</definedName>
    <definedName name="MarApp5Share">#REF!</definedName>
    <definedName name="MarApp6Bal">#REF!</definedName>
    <definedName name="MarApp6OB">#REF!</definedName>
    <definedName name="MarApp6Share">#REF!</definedName>
    <definedName name="MarBal">#REF!</definedName>
    <definedName name="MarBP">#REF!</definedName>
    <definedName name="MarBusDraw">#REF!</definedName>
    <definedName name="MarBusDrawApp">#REF!</definedName>
    <definedName name="MarFees">#REF!</definedName>
    <definedName name="MarGenRep">#REF!</definedName>
    <definedName name="MarInt">#REF!</definedName>
    <definedName name="MarOB">#REF!</definedName>
    <definedName name="MarOpenBP">#REF!</definedName>
    <definedName name="MarPersBal">#REF!</definedName>
    <definedName name="MarPersDraw">#REF!</definedName>
    <definedName name="MarPersOB">#REF!</definedName>
    <definedName name="MarPersShare">#REF!</definedName>
    <definedName name="MarSpecRep">#REF!</definedName>
    <definedName name="MarSpecRepApp">#REF!</definedName>
    <definedName name="MayAllDraw">#REF!,#REF!</definedName>
    <definedName name="MayAllRep">#REF!,#REF!</definedName>
    <definedName name="MayApp2Bal">#REF!</definedName>
    <definedName name="MayApp2OB">#REF!</definedName>
    <definedName name="MayApp2Share">#REF!</definedName>
    <definedName name="MayApp3Bal">#REF!</definedName>
    <definedName name="MayApp3OB">#REF!</definedName>
    <definedName name="MayApp3Share">#REF!</definedName>
    <definedName name="MayApp4Bal">#REF!</definedName>
    <definedName name="MayApp4OB">#REF!</definedName>
    <definedName name="MayApp4Share">#REF!</definedName>
    <definedName name="MayApp5Bal">#REF!</definedName>
    <definedName name="MayApp5OB">#REF!</definedName>
    <definedName name="MayApp5Share">#REF!</definedName>
    <definedName name="MayApp6Bal">#REF!</definedName>
    <definedName name="MayApp6OB">#REF!</definedName>
    <definedName name="MayApp6Share">#REF!</definedName>
    <definedName name="MayBal">#REF!</definedName>
    <definedName name="MayBP">#REF!</definedName>
    <definedName name="MayBusDraw">#REF!</definedName>
    <definedName name="MayBusDrawApp">#REF!</definedName>
    <definedName name="MayFees">#REF!</definedName>
    <definedName name="MayGenRep">#REF!</definedName>
    <definedName name="MayInt">#REF!</definedName>
    <definedName name="MayOB">#REF!</definedName>
    <definedName name="MayOpenBP">#REF!</definedName>
    <definedName name="MayPersBal">#REF!</definedName>
    <definedName name="MayPersDraw">#REF!</definedName>
    <definedName name="MayPersOB">#REF!</definedName>
    <definedName name="MayPersShare">#REF!</definedName>
    <definedName name="MaySpecRep">#REF!</definedName>
    <definedName name="MaySpecRepApp">#REF!</definedName>
    <definedName name="Medicare_Threshold">'[1]Tax Planning'!$Z$12</definedName>
    <definedName name="MVOtherEmpCont">#REF!+#REF!+#REF!+#REF!+#REF!</definedName>
    <definedName name="MVOtherGrossTaxVal">#REF!+#REF!+#REF!+#REF!+#REF!</definedName>
    <definedName name="MVOtherRed">#REF!+#REF!+#REF!+#REF!+#REF!</definedName>
    <definedName name="MVOtherTaxVal">#REF!+#REF!+#REF!+#REF!+#REF!</definedName>
    <definedName name="MVOtherType1">#REF!+#REF!+#REF!+#REF!+#REF!</definedName>
    <definedName name="MVOtherType2">#REF!+#REF!+#REF!+#REF!+#REF!</definedName>
    <definedName name="Non_Current_Assets">#N/A</definedName>
    <definedName name="NovAllDraw">#REF!,#REF!</definedName>
    <definedName name="NovAllRep">#REF!,#REF!</definedName>
    <definedName name="NovApp2Bal">#REF!</definedName>
    <definedName name="NovApp2OB">#REF!</definedName>
    <definedName name="NovApp2Share">#REF!</definedName>
    <definedName name="NovApp3Bal">#REF!</definedName>
    <definedName name="NovApp3OB">#REF!</definedName>
    <definedName name="NovApp3Share">#REF!</definedName>
    <definedName name="NovApp4Bal">#REF!</definedName>
    <definedName name="NovApp4OB">#REF!</definedName>
    <definedName name="NovApp4Share">#REF!</definedName>
    <definedName name="NovApp5Bal">#REF!</definedName>
    <definedName name="NovApp5OB">#REF!</definedName>
    <definedName name="NovApp5Share">#REF!</definedName>
    <definedName name="NovApp6Bal">#REF!</definedName>
    <definedName name="NovApp6OB">#REF!</definedName>
    <definedName name="NovApp6Share">#REF!</definedName>
    <definedName name="NovBal">#REF!</definedName>
    <definedName name="NovBP">#REF!</definedName>
    <definedName name="NovBusDraw">#REF!</definedName>
    <definedName name="NovBusDrawApp">#REF!</definedName>
    <definedName name="NovFees">#REF!</definedName>
    <definedName name="NovGenRep">#REF!</definedName>
    <definedName name="NovInt">#REF!</definedName>
    <definedName name="NovOB">#REF!</definedName>
    <definedName name="NovOpenBP">#REF!</definedName>
    <definedName name="NovPersBal">#REF!</definedName>
    <definedName name="NovPersDraw">#REF!</definedName>
    <definedName name="NovPersOB">#REF!</definedName>
    <definedName name="NovPersShare">#REF!</definedName>
    <definedName name="NovSpecRep">#REF!</definedName>
    <definedName name="NovSpecRepApp">#REF!</definedName>
    <definedName name="Number_of_Payments">MATCH(0.01,End_Bal,-1)+1</definedName>
    <definedName name="OCMEmplCont">#REF!+#REF!+#REF!+#REF!+#REF!</definedName>
    <definedName name="OCMGrossTaxVal">#REF!+#REF!+#REF!+#REF!+#REF!</definedName>
    <definedName name="OCMTaxVal">#REF!+#REF!+#REF!+#REF!+#REF!</definedName>
    <definedName name="OctAllDraw">#REF!,#REF!</definedName>
    <definedName name="OctAllRep">#REF!,#REF!</definedName>
    <definedName name="OctApp2Bal">#REF!</definedName>
    <definedName name="OctApp2OB">#REF!</definedName>
    <definedName name="OctApp2Share">#REF!</definedName>
    <definedName name="OctApp3Bal">#REF!</definedName>
    <definedName name="OctApp3OB">#REF!</definedName>
    <definedName name="OctApp3Share">#REF!</definedName>
    <definedName name="OctApp4Bal">#REF!</definedName>
    <definedName name="OctApp4OB">#REF!</definedName>
    <definedName name="OctApp4Share">#REF!</definedName>
    <definedName name="OctApp5Bal">#REF!</definedName>
    <definedName name="OctApp5OB">#REF!</definedName>
    <definedName name="OctApp5Share">#REF!</definedName>
    <definedName name="OctApp6Bal">#REF!</definedName>
    <definedName name="OctApp6OB">#REF!</definedName>
    <definedName name="OctApp6Share">#REF!</definedName>
    <definedName name="OctBal">#REF!</definedName>
    <definedName name="OctBP">#REF!</definedName>
    <definedName name="OctBusDraw">#REF!</definedName>
    <definedName name="OctBusDrawApp">#REF!</definedName>
    <definedName name="OctFees">#REF!</definedName>
    <definedName name="OctGenRep">#REF!</definedName>
    <definedName name="OctInt">#REF!</definedName>
    <definedName name="OctOB">#REF!</definedName>
    <definedName name="OctOpenBP">#REF!</definedName>
    <definedName name="OctPersBal">#REF!</definedName>
    <definedName name="OctPersDraw">#REF!</definedName>
    <definedName name="OctPersOB">#REF!</definedName>
    <definedName name="OctPersShare">#REF!</definedName>
    <definedName name="OctSpecRep">#REF!</definedName>
    <definedName name="OctSpecRepApp">#REF!</definedName>
    <definedName name="OpenApp2Bal">#REF!</definedName>
    <definedName name="OpenApp3Bal">#REF!</definedName>
    <definedName name="OpenApp4Bal">#REF!</definedName>
    <definedName name="OpenApp5Bal">#REF!</definedName>
    <definedName name="OpenApp6Bal">#REF!</definedName>
    <definedName name="OpenPersBal">#REF!</definedName>
    <definedName name="Options_Tolerance">[3]Home!$C$70</definedName>
    <definedName name="Payment_Date">DATE(YEAR(Loan_Start),MONTH(Loan_Start)+Payment_Number,DAY(Loan_Start))</definedName>
    <definedName name="Payment_Dates">'[4]G20 Leases'!$C$54:$C$290</definedName>
    <definedName name="Payment_Number">ROW()-'[4]G20 Leases'!$B$53</definedName>
    <definedName name="PeriodEndDate">[3]Home!$G$22</definedName>
    <definedName name="Periodic_Payments">'[4]G20 Leases'!$E$54:$E$290</definedName>
    <definedName name="Preparer">[4]Home!$C$19</definedName>
    <definedName name="PrepaymentTypes">#REF!</definedName>
    <definedName name="Print_Area_Reset">OFFSET(Full_Print,0,0,Last_Row)</definedName>
    <definedName name="Printing_Worksheets.">#N/A</definedName>
    <definedName name="PriorYear">#REF!</definedName>
    <definedName name="PropertyExtType1">#REF!+#REF!+#REF!+#REF!+#REF!</definedName>
    <definedName name="PropertyExtType2">#REF!+#REF!+#REF!+#REF!+#REF!</definedName>
    <definedName name="PropertyInHouseType1">#REF!+#REF!+#REF!+#REF!+#REF!</definedName>
    <definedName name="PropertyInHouseType2">#REF!+#REF!+#REF!+#REF!+#REF!</definedName>
    <definedName name="Rates">#N/A</definedName>
    <definedName name="REP_PER">[8]Master!$B$3</definedName>
    <definedName name="ResidualEmpCont">#REF!+#REF!+#REF!+#REF!+#REF!</definedName>
    <definedName name="ResidualGrossTaxVal">#REF!+#REF!+#REF!+#REF!+#REF!</definedName>
    <definedName name="ResidualRed">#REF!+#REF!+#REF!+#REF!+#REF!</definedName>
    <definedName name="ResidualTaxVal">#REF!+#REF!+#REF!+#REF!+#REF!</definedName>
    <definedName name="ResidualType1">#REF!+#REF!+#REF!+#REF!+#REF!</definedName>
    <definedName name="ResidualType2">#REF!+#REF!+#REF!+#REF!+#REF!</definedName>
    <definedName name="Reviewer">[4]Home!$C$22</definedName>
    <definedName name="SAPTO_Table">'[1]Tax Planning'!$AG$13:$AL$17</definedName>
    <definedName name="SBE">#REF!</definedName>
    <definedName name="SBRate">#REF!</definedName>
    <definedName name="Security">'[9]Lookup Details'!$A$26:$A$27</definedName>
    <definedName name="SepAllDraw">#REF!,#REF!</definedName>
    <definedName name="SepAllRep">#REF!,#REF!</definedName>
    <definedName name="SepApp2Bal">#REF!</definedName>
    <definedName name="SepApp2OB">#REF!</definedName>
    <definedName name="SepApp2Share">#REF!</definedName>
    <definedName name="SepApp3Bal">#REF!</definedName>
    <definedName name="SepApp3OB">#REF!</definedName>
    <definedName name="SepApp3Share">#REF!</definedName>
    <definedName name="SepApp4Bal">#REF!</definedName>
    <definedName name="SepApp4OB">#REF!</definedName>
    <definedName name="SepApp4Share">#REF!</definedName>
    <definedName name="SepApp5Bal">#REF!</definedName>
    <definedName name="SepApp5OB">#REF!</definedName>
    <definedName name="SepApp5Share">#REF!</definedName>
    <definedName name="SepApp6Bal">#REF!</definedName>
    <definedName name="SepApp6OB">#REF!</definedName>
    <definedName name="SepApp6Share">#REF!</definedName>
    <definedName name="SepBal">#REF!</definedName>
    <definedName name="SepBP">#REF!</definedName>
    <definedName name="SepBusDraw">#REF!</definedName>
    <definedName name="SepBusDrawApp">#REF!</definedName>
    <definedName name="SepFees">#REF!</definedName>
    <definedName name="SepGenRep">#REF!</definedName>
    <definedName name="SepInt">#REF!</definedName>
    <definedName name="SepOB">#REF!</definedName>
    <definedName name="SepOpenBP">#REF!</definedName>
    <definedName name="SepPersBal">#REF!</definedName>
    <definedName name="SepPersDraw">#REF!</definedName>
    <definedName name="SepPersOB">#REF!</definedName>
    <definedName name="SepPersShare">#REF!</definedName>
    <definedName name="SepSpecRep">#REF!</definedName>
    <definedName name="SepSpecRepApp">#REF!</definedName>
    <definedName name="ShowAlert">[3]Index!$AM$11</definedName>
    <definedName name="Singles_MC_Surcharge">'[1]Tax Planning'!$R$20:$V$22</definedName>
    <definedName name="Small_Business_Company_Tax_Rate">'[1]Tax Planning'!$S$26</definedName>
    <definedName name="staff">[5]menu!$E$4</definedName>
    <definedName name="Staff_Initial_List">'[4]A4 Budget'!#REF!</definedName>
    <definedName name="State">'[10]Payroll Tax'!$A$44:$A$46</definedName>
    <definedName name="STATUS_LIST">[4]DASHBOARD!$C$107:$C$114</definedName>
    <definedName name="StatusBlank">[3]HNSW_Status!$A$2</definedName>
    <definedName name="StatusDescriptions">[3]HNSW_Status!$A$2:$A$10</definedName>
    <definedName name="StatusDescriptionsOrder">[3]HNSW_Status!$A$2:$B$10</definedName>
    <definedName name="SUM">#REF!</definedName>
    <definedName name="Summary_CategoryName">OFFSET([3]HNSW_Summary!$A$1,0,0,COUNTA([3]HNSW_Summary!$A:$A),1)</definedName>
    <definedName name="Summary_Template">OFFSET([3]HNSW_Summary!$D$1,0,0,COUNTA([3]HNSW_Summary!$D:$D),1)</definedName>
    <definedName name="Tax_rates">'[1]Tax Planning'!$R$11:$V$13</definedName>
    <definedName name="TaxRates_LITOLowerInc">'[3]TR1 Tax Rates'!$D$27</definedName>
    <definedName name="TaxRates_MCareLowerInc">'[3]TR1 Tax Rates'!$D$20</definedName>
    <definedName name="TaxRates_MCareMidInc2">'[3]TR1 Tax Rates'!$F$21</definedName>
    <definedName name="TB_SortOrders">INDEX(TrialBalanceExact,0,1)</definedName>
    <definedName name="TB_StatusOrders">INDEX(TrialBalanceExact,0,MATCH("StatusOrder",[3]Index!$1:$1,0)-COLUMN(TrialBalanceExact)+1)</definedName>
    <definedName name="TB_WPTags" comment="A list of workpapers identified by their sort order and 'level' of 100, for use in Excel function that look at whether or not a workpaper belongs to the current accounts SortOrder">INDEX(TrialBalanceExact,0,MATCH("WPTag",[3]Index!$1:$1,0)-COLUMN(TrialBalanceExact)+1)</definedName>
    <definedName name="Term_months">'[4]G20 Leases'!$E$15</definedName>
    <definedName name="TEST">#REF!</definedName>
    <definedName name="Total_Payment">Scheduled_Payment+Extra_Payment</definedName>
    <definedName name="TrialBalance">[3]Index!$B$32:$AQ$209</definedName>
    <definedName name="TrialBalance_LastImported">[3]Home!$C$54</definedName>
    <definedName name="TrialBalanceExact">OFFSET(TrialBalance,1,1,ROWS(TrialBalance)-2,COLUMNS(TrialBalance)-2)</definedName>
    <definedName name="UnreconciledWorkpapers">[3]Index!$AP$11</definedName>
    <definedName name="UnresolvedItems">[3]Index!$AN$11</definedName>
    <definedName name="Valuation_Method">[4]DASHBOARD!$D$102:$D$104</definedName>
    <definedName name="Values_Entered">IF(Loan_Amount*Interest_Rate*Loan_Years*Loan_Start&gt;0,1,0)</definedName>
    <definedName name="VehicleCapacity">[4]DASHBOARD!$C$128:$C$133</definedName>
    <definedName name="Workpapers">#N/A</definedName>
    <definedName name="WP_Livestock">'[11]WP Index'!$E$26</definedName>
    <definedName name="Year_Ending">[4]Home!$C$11</definedName>
    <definedName name="YearEnd">#REF!</definedName>
    <definedName name="YearStart">#REF!</definedName>
    <definedName name="YEdate">[5]menu!$E$3</definedName>
    <definedName name="YES_NO_List">[4]DASHBOARD!$C$102:$C$103</definedName>
    <definedName name="YTD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1" i="1" l="1"/>
  <c r="A32" i="1" s="1"/>
  <c r="C20" i="1"/>
  <c r="B20" i="1"/>
  <c r="D19" i="1"/>
  <c r="D18" i="1"/>
  <c r="D17" i="1"/>
  <c r="D16" i="1"/>
  <c r="D20" i="1" s="1"/>
  <c r="C32" i="1" l="1"/>
  <c r="A33" i="1"/>
  <c r="B32" i="1"/>
  <c r="C31" i="1"/>
  <c r="B31" i="1"/>
  <c r="D31" i="1" l="1"/>
  <c r="A34" i="1"/>
  <c r="B33" i="1"/>
  <c r="C33" i="1"/>
  <c r="C34" i="1" l="1"/>
  <c r="A35" i="1"/>
  <c r="B34" i="1"/>
  <c r="D32" i="1"/>
  <c r="E31" i="1"/>
  <c r="D33" i="1" l="1"/>
  <c r="E32" i="1"/>
  <c r="B35" i="1"/>
  <c r="C35" i="1"/>
  <c r="A36" i="1"/>
  <c r="C36" i="1" l="1"/>
  <c r="A37" i="1"/>
  <c r="B36" i="1"/>
  <c r="D34" i="1"/>
  <c r="E33" i="1"/>
  <c r="A38" i="1" l="1"/>
  <c r="B37" i="1"/>
  <c r="C37" i="1"/>
  <c r="D35" i="1"/>
  <c r="E34" i="1"/>
  <c r="D36" i="1" l="1"/>
  <c r="E35" i="1"/>
  <c r="C38" i="1"/>
  <c r="A39" i="1"/>
  <c r="B38" i="1"/>
  <c r="A40" i="1" l="1"/>
  <c r="C39" i="1"/>
  <c r="B39" i="1"/>
  <c r="D37" i="1"/>
  <c r="E36" i="1"/>
  <c r="D38" i="1" l="1"/>
  <c r="E37" i="1"/>
  <c r="C40" i="1"/>
  <c r="A41" i="1"/>
  <c r="B40" i="1"/>
  <c r="C41" i="1" l="1"/>
  <c r="C43" i="1" s="1"/>
  <c r="B41" i="1"/>
  <c r="B43" i="1" s="1"/>
  <c r="D39" i="1"/>
  <c r="E38" i="1"/>
  <c r="D40" i="1" l="1"/>
  <c r="E39" i="1"/>
  <c r="D41" i="1" l="1"/>
  <c r="E41" i="1" s="1"/>
  <c r="E4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lana</author>
  </authors>
  <commentList>
    <comment ref="B22" authorId="0" shapeId="0" xr:uid="{53E14324-7047-44E5-B43B-6A7BD5D8C4EC}">
      <text>
        <r>
          <rPr>
            <sz val="8"/>
            <color indexed="81"/>
            <rFont val="Arial"/>
            <family val="2"/>
          </rPr>
          <t>Enter DD/MM/YY</t>
        </r>
      </text>
    </comment>
    <comment ref="C22" authorId="0" shapeId="0" xr:uid="{5CC3C6EA-D6FB-440F-92F7-B139D705A250}">
      <text>
        <r>
          <rPr>
            <sz val="8"/>
            <color indexed="81"/>
            <rFont val="Arial"/>
            <family val="2"/>
          </rPr>
          <t>Enter DD/MM/YY</t>
        </r>
      </text>
    </comment>
    <comment ref="B26" authorId="0" shapeId="0" xr:uid="{99E67FE3-848E-416C-9F31-608C954E2F5E}">
      <text>
        <r>
          <rPr>
            <sz val="8"/>
            <color indexed="81"/>
            <rFont val="Arial"/>
            <family val="2"/>
          </rPr>
          <t>Enter DD/MM/YY</t>
        </r>
      </text>
    </comment>
    <comment ref="C26" authorId="0" shapeId="0" xr:uid="{723DC3B9-DEC6-4372-A1D2-BE0D84262FD8}">
      <text>
        <r>
          <rPr>
            <sz val="8"/>
            <color indexed="81"/>
            <rFont val="Arial"/>
            <family val="2"/>
          </rPr>
          <t>Enter DD/MM/YY</t>
        </r>
      </text>
    </comment>
  </commentList>
</comments>
</file>

<file path=xl/sharedStrings.xml><?xml version="1.0" encoding="utf-8"?>
<sst xmlns="http://schemas.openxmlformats.org/spreadsheetml/2006/main" count="19" uniqueCount="18">
  <si>
    <t>BORROWING COSTS</t>
  </si>
  <si>
    <t>30 Jun 2023</t>
  </si>
  <si>
    <t>EXPENSE OVER 5 YEARS OR LIFE OF LOAN (IF LESS)</t>
  </si>
  <si>
    <t>Loan 1</t>
  </si>
  <si>
    <t>Loan 2</t>
  </si>
  <si>
    <t>Total</t>
  </si>
  <si>
    <t>Bank fees</t>
  </si>
  <si>
    <t>Legals</t>
  </si>
  <si>
    <t>Stamp Duty</t>
  </si>
  <si>
    <t>Others</t>
  </si>
  <si>
    <t>Total borrowing costs:</t>
  </si>
  <si>
    <t>Date incurred:</t>
  </si>
  <si>
    <t>Life or loan or 5 years (lesser of):</t>
  </si>
  <si>
    <t>Year end date of first deductible year:</t>
  </si>
  <si>
    <t>Year</t>
  </si>
  <si>
    <t>Deductible Amount</t>
  </si>
  <si>
    <t>Accumulated Amortisation</t>
  </si>
  <si>
    <t>Closing Written Down Amortisation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</si>
</sst>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-* #,##0.00_-;[Red]* \(#,##0.00\)_-;_-* &quot;-&quot;??_-;_-@_-"/>
    <numFmt numFmtId="165" formatCode="_-&quot;$&quot;* #,##0.00_-;\-&quot;$&quot;* #,##0.00_-;_-&quot;$&quot;* &quot;-&quot;??_-;_-@_-"/>
    <numFmt numFmtId="166" formatCode="_-&quot;$&quot;#,##0.00_-;\-&quot;$&quot;#,##0.00_-;_-* &quot;-&quot;??_-;_-@_-"/>
    <numFmt numFmtId="167" formatCode="_-&quot;$&quot;#,##0.00_-;\-&quot;$&quot;#,##0.00_-;_-&quot;$&quot;* &quot;-&quot;??_-;_-@_-"/>
    <numFmt numFmtId="168" formatCode="d/mm/yy;@"/>
    <numFmt numFmtId="169" formatCode="dd/mm/yy;@"/>
    <numFmt numFmtId="170" formatCode="_-* #,##0.00_-;[Red]* \(#,##0.00\);_-* &quot;-&quot;??_-;_-@_-"/>
  </numFmts>
  <fonts count="5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sz val="8"/>
      <color indexed="8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4">
    <xf numFmtId="0" fontId="0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</cellStyleXfs>
  <cellXfs count="24">
    <xf numFmtId="0" fontId="0" fillId="0" borderId="0" xfId="0"/>
    <xf numFmtId="0" fontId="2" fillId="2" borderId="0" xfId="1" applyFont="1" applyFill="1"/>
    <xf numFmtId="164" fontId="3" fillId="0" borderId="0" xfId="1" applyNumberFormat="1" applyFont="1"/>
    <xf numFmtId="0" fontId="2" fillId="0" borderId="0" xfId="1" applyFont="1"/>
    <xf numFmtId="15" fontId="2" fillId="2" borderId="0" xfId="1" quotePrefix="1" applyNumberFormat="1" applyFont="1" applyFill="1"/>
    <xf numFmtId="49" fontId="2" fillId="0" borderId="0" xfId="1" applyNumberFormat="1" applyFont="1" applyAlignment="1">
      <alignment wrapText="1"/>
    </xf>
    <xf numFmtId="0" fontId="2" fillId="0" borderId="1" xfId="1" applyFont="1" applyBorder="1" applyAlignment="1">
      <alignment horizontal="center"/>
    </xf>
    <xf numFmtId="164" fontId="2" fillId="0" borderId="1" xfId="1" applyNumberFormat="1" applyFont="1" applyBorder="1" applyAlignment="1">
      <alignment horizontal="center"/>
    </xf>
    <xf numFmtId="49" fontId="2" fillId="0" borderId="0" xfId="1" applyNumberFormat="1" applyFont="1" applyAlignment="1">
      <alignment horizontal="center" wrapText="1"/>
    </xf>
    <xf numFmtId="0" fontId="3" fillId="0" borderId="0" xfId="1" applyFont="1"/>
    <xf numFmtId="166" fontId="3" fillId="0" borderId="0" xfId="2" applyNumberFormat="1" applyFont="1" applyAlignment="1">
      <alignment horizontal="center"/>
    </xf>
    <xf numFmtId="166" fontId="2" fillId="0" borderId="2" xfId="2" applyNumberFormat="1" applyFont="1" applyBorder="1" applyAlignment="1">
      <alignment horizontal="center"/>
    </xf>
    <xf numFmtId="167" fontId="3" fillId="0" borderId="0" xfId="2" applyNumberFormat="1" applyFont="1" applyAlignment="1">
      <alignment horizontal="center"/>
    </xf>
    <xf numFmtId="168" fontId="3" fillId="0" borderId="0" xfId="1" applyNumberFormat="1" applyFont="1" applyAlignment="1">
      <alignment horizontal="center"/>
    </xf>
    <xf numFmtId="1" fontId="3" fillId="0" borderId="0" xfId="1" applyNumberFormat="1" applyFont="1" applyAlignment="1">
      <alignment horizontal="center"/>
    </xf>
    <xf numFmtId="14" fontId="3" fillId="0" borderId="0" xfId="1" applyNumberFormat="1" applyFont="1" applyAlignment="1">
      <alignment horizontal="center"/>
    </xf>
    <xf numFmtId="169" fontId="3" fillId="0" borderId="0" xfId="1" applyNumberFormat="1" applyFont="1" applyAlignment="1">
      <alignment horizontal="center"/>
    </xf>
    <xf numFmtId="49" fontId="2" fillId="0" borderId="1" xfId="1" applyNumberFormat="1" applyFont="1" applyBorder="1" applyAlignment="1">
      <alignment wrapText="1"/>
    </xf>
    <xf numFmtId="49" fontId="2" fillId="0" borderId="1" xfId="1" applyNumberFormat="1" applyFont="1" applyBorder="1" applyAlignment="1">
      <alignment horizontal="center" wrapText="1"/>
    </xf>
    <xf numFmtId="0" fontId="2" fillId="0" borderId="0" xfId="1" applyFont="1" applyAlignment="1">
      <alignment wrapText="1"/>
    </xf>
    <xf numFmtId="0" fontId="3" fillId="0" borderId="0" xfId="1" applyFont="1" applyAlignment="1">
      <alignment horizontal="left"/>
    </xf>
    <xf numFmtId="170" fontId="3" fillId="0" borderId="0" xfId="1" applyNumberFormat="1" applyFont="1"/>
    <xf numFmtId="170" fontId="3" fillId="0" borderId="3" xfId="1" applyNumberFormat="1" applyFont="1" applyBorder="1"/>
    <xf numFmtId="0" fontId="3" fillId="0" borderId="0" xfId="3" applyFont="1"/>
  </cellXfs>
  <cellStyles count="4">
    <cellStyle name="Currency 2" xfId="2" xr:uid="{9B8468A2-0BCF-4157-BFDE-697D5ED7BE95}"/>
    <cellStyle name="Normal" xfId="0" builtinId="0"/>
    <cellStyle name="Normal 3" xfId="1" xr:uid="{A1961DD5-EE94-4542-8314-F0267691146D}"/>
    <cellStyle name="Normal 3 2" xfId="3" xr:uid="{C7F1B4E0-88F2-4EC0-83CC-48A49D5D6D9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2" Type="http://schemas.openxmlformats.org/officeDocument/2006/relationships/externalLink" Target="externalLinks/externalLink1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'Index of Workpapers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4</xdr:col>
      <xdr:colOff>390525</xdr:colOff>
      <xdr:row>2</xdr:row>
      <xdr:rowOff>0</xdr:rowOff>
    </xdr:to>
    <xdr:sp macro="" textlink="">
      <xdr:nvSpPr>
        <xdr:cNvPr id="2" name="AutoShape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CBB53A1-218F-4770-8CA0-1DF352997ED1}"/>
            </a:ext>
          </a:extLst>
        </xdr:cNvPr>
        <xdr:cNvSpPr>
          <a:spLocks noChangeArrowheads="1"/>
        </xdr:cNvSpPr>
      </xdr:nvSpPr>
      <xdr:spPr bwMode="auto">
        <a:xfrm>
          <a:off x="4067175" y="0"/>
          <a:ext cx="1285875" cy="381000"/>
        </a:xfrm>
        <a:prstGeom prst="homePlate">
          <a:avLst>
            <a:gd name="adj" fmla="val 81031"/>
          </a:avLst>
        </a:prstGeom>
        <a:solidFill>
          <a:srgbClr val="000080"/>
        </a:solidFill>
        <a:ln w="19050" cmpd="sng">
          <a:solidFill>
            <a:srgbClr val="FF99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900" b="1" i="0" strike="noStrike">
              <a:solidFill>
                <a:srgbClr val="FFFFFF"/>
              </a:solidFill>
              <a:latin typeface="Arial"/>
              <a:cs typeface="Arial"/>
            </a:rPr>
            <a:t>Index</a:t>
          </a:r>
        </a:p>
      </xdr:txBody>
    </xdr:sp>
    <xdr:clientData fPrintsWithSheet="0"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olmansptyltd.sharepoint.com/sites/HolmansDocuments/Team%20Red/WIP/2022%20Tax/zzz%20XXX%20Group%202022%20Tax%20WP%20-%20TEMPLATE1/Updated%20WP%202022%20Tax%20Planning%20-%20Labuschagne%20Group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checkout\352067_1-Art%20House%20&amp;%20Lucid%203%20year%20projection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3.%20VBA\2022%20Accounts%20&amp;%20Tax%20Workpapers%20-%20Connected%20(1).xlsx" TargetMode="External"/><Relationship Id="rId1" Type="http://schemas.openxmlformats.org/officeDocument/2006/relationships/externalLinkPath" Target="file:///E:\3.%20VBA\2022%20Accounts%20&amp;%20Tax%20Workpapers%20-%20Connected%20(1)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I2126$\Downloads\2024%20Electronic%20Workpapers%20%20-%20Quad%20Investment%20QLD%20Trust.xlsm" TargetMode="External"/><Relationship Id="rId1" Type="http://schemas.openxmlformats.org/officeDocument/2006/relationships/externalLinkPath" Target="/Users/I2126$/Downloads/2024%20Electronic%20Workpapers%20%20-%20Quad%20Investment%20QLD%20Trust.xlsm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qlsvr1\data\Accounting\Workpapers\2010\2010%20Holmans%20Master%20Workpaper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XJE/Dropbox/GPS%20Workpapers/GPS%20workpapers/HP%20Lease%20Workpaper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sclient\E\Accounting\Workpapers\2011\2011%20HOLMANS%20MASTER%20WORKPAPERS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olmansptyltd.sharepoint.com/Accounts/Month%20End%20Reports/Vision/V6_Detailed%20P&amp;L%20Template%202004-05.xls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I2126$\Downloads\2024%20Workpaper%20for%20AI%20CP.xlsm" TargetMode="External"/><Relationship Id="rId1" Type="http://schemas.openxmlformats.org/officeDocument/2006/relationships/externalLinkPath" Target="/Users/I2126$/Downloads/2024%20Workpaper%20for%20AI%20CP.xlsm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XJE/Dropbox/GPS%20Workpapers/GPS%20workpapers/Payroll%20Tax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Brad%20Tyrell\Workpaper%20Masters\Copy%20of%202009%20WHK_Workpapers%202009%2009%2003(1)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"/>
      <sheetName val="Notes"/>
      <sheetName val="&lt;&lt;"/>
      <sheetName val="Cover Page"/>
      <sheetName val="GCG PShip"/>
      <sheetName val="Gersana Car Rentals"/>
      <sheetName val="Entity Alt Layout"/>
      <sheetName val="Individuals"/>
      <sheetName val="Tax Planning"/>
      <sheetName val="PAYGI"/>
      <sheetName val="Assets &amp; Liabilities"/>
      <sheetName val="Div7A"/>
      <sheetName val="&gt;&gt;"/>
      <sheetName val="Email Table"/>
      <sheetName val="ATO"/>
      <sheetName val="ATO 2022 PAYG"/>
      <sheetName val="TP Draft Reply"/>
      <sheetName val="CGT Cost Base"/>
      <sheetName val="LFT CGT"/>
      <sheetName val="GCG GL Detail"/>
      <sheetName val="GCG BS"/>
      <sheetName val="GCG 2021 WPS"/>
      <sheetName val="GCG Payroll"/>
      <sheetName val="LFT 2021 WPS"/>
      <sheetName val="Gersana GL Detail"/>
      <sheetName val="Gersana B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1">
          <cell r="R11" t="str">
            <v>Bracket</v>
          </cell>
          <cell r="S11">
            <v>18200</v>
          </cell>
          <cell r="T11">
            <v>45000</v>
          </cell>
          <cell r="U11">
            <v>120000</v>
          </cell>
          <cell r="V11">
            <v>180000</v>
          </cell>
        </row>
        <row r="12">
          <cell r="R12" t="str">
            <v>Excess</v>
          </cell>
          <cell r="S12">
            <v>0.19</v>
          </cell>
          <cell r="T12">
            <v>0.32500000000000001</v>
          </cell>
          <cell r="U12">
            <v>0.37</v>
          </cell>
          <cell r="V12">
            <v>0.45</v>
          </cell>
          <cell r="Z12">
            <v>22398</v>
          </cell>
        </row>
        <row r="13">
          <cell r="R13" t="str">
            <v>Base</v>
          </cell>
          <cell r="S13">
            <v>0</v>
          </cell>
          <cell r="T13">
            <v>5092</v>
          </cell>
          <cell r="U13">
            <v>29467</v>
          </cell>
          <cell r="V13">
            <v>51667</v>
          </cell>
          <cell r="AG13" t="str">
            <v>AS</v>
          </cell>
          <cell r="AH13">
            <v>2230</v>
          </cell>
          <cell r="AI13">
            <v>32279</v>
          </cell>
          <cell r="AJ13">
            <v>50119</v>
          </cell>
          <cell r="AK13" t="str">
            <v>N/A</v>
          </cell>
          <cell r="AL13">
            <v>8</v>
          </cell>
        </row>
        <row r="14">
          <cell r="AG14" t="str">
            <v>MLA1</v>
          </cell>
          <cell r="AH14">
            <v>2040</v>
          </cell>
          <cell r="AI14">
            <v>31279</v>
          </cell>
          <cell r="AJ14">
            <v>47599</v>
          </cell>
          <cell r="AK14">
            <v>95198</v>
          </cell>
          <cell r="AL14">
            <v>8</v>
          </cell>
        </row>
        <row r="15">
          <cell r="R15" t="str">
            <v>Bracket</v>
          </cell>
          <cell r="S15">
            <v>0</v>
          </cell>
          <cell r="T15">
            <v>37000.01</v>
          </cell>
          <cell r="U15">
            <v>48000.01</v>
          </cell>
          <cell r="V15">
            <v>90000.01</v>
          </cell>
          <cell r="W15">
            <v>126000.01</v>
          </cell>
          <cell r="AG15" t="str">
            <v>MLA2</v>
          </cell>
          <cell r="AH15">
            <v>2040</v>
          </cell>
          <cell r="AI15">
            <v>31279</v>
          </cell>
          <cell r="AJ15">
            <v>47599</v>
          </cell>
          <cell r="AK15">
            <v>95198</v>
          </cell>
          <cell r="AL15">
            <v>8</v>
          </cell>
        </row>
        <row r="16">
          <cell r="R16" t="str">
            <v>Base Offset</v>
          </cell>
          <cell r="S16">
            <v>255</v>
          </cell>
          <cell r="T16">
            <v>255</v>
          </cell>
          <cell r="U16">
            <v>1080</v>
          </cell>
          <cell r="V16">
            <v>1080</v>
          </cell>
          <cell r="W16">
            <v>0</v>
          </cell>
          <cell r="AG16" t="str">
            <v>MLT1</v>
          </cell>
          <cell r="AH16">
            <v>1602</v>
          </cell>
          <cell r="AI16">
            <v>28974</v>
          </cell>
          <cell r="AJ16">
            <v>41790</v>
          </cell>
          <cell r="AK16">
            <v>83580</v>
          </cell>
          <cell r="AL16">
            <v>8</v>
          </cell>
        </row>
        <row r="17">
          <cell r="R17" t="str">
            <v>% Above or Reduction</v>
          </cell>
          <cell r="S17">
            <v>0</v>
          </cell>
          <cell r="T17">
            <v>7.4999999999999997E-2</v>
          </cell>
          <cell r="V17">
            <v>-0.03</v>
          </cell>
          <cell r="W17">
            <v>0</v>
          </cell>
          <cell r="Z17">
            <v>0</v>
          </cell>
          <cell r="AG17" t="str">
            <v>MLT2</v>
          </cell>
          <cell r="AH17">
            <v>1602</v>
          </cell>
          <cell r="AI17">
            <v>28974</v>
          </cell>
          <cell r="AJ17">
            <v>41790</v>
          </cell>
          <cell r="AK17">
            <v>83850</v>
          </cell>
          <cell r="AL17">
            <v>8</v>
          </cell>
        </row>
        <row r="20">
          <cell r="R20" t="str">
            <v>Singles</v>
          </cell>
          <cell r="S20">
            <v>0</v>
          </cell>
          <cell r="T20">
            <v>90000</v>
          </cell>
          <cell r="U20">
            <v>105000</v>
          </cell>
          <cell r="V20">
            <v>140000</v>
          </cell>
          <cell r="AD20" t="str">
            <v>Income</v>
          </cell>
          <cell r="AE20">
            <v>0</v>
          </cell>
          <cell r="AF20">
            <v>47014</v>
          </cell>
          <cell r="AG20">
            <v>54282</v>
          </cell>
          <cell r="AH20">
            <v>57538</v>
          </cell>
          <cell r="AI20">
            <v>60991</v>
          </cell>
          <cell r="AJ20">
            <v>64651</v>
          </cell>
          <cell r="AK20">
            <v>68529</v>
          </cell>
          <cell r="AL20">
            <v>72641</v>
          </cell>
          <cell r="AM20">
            <v>77001</v>
          </cell>
          <cell r="AN20">
            <v>81620</v>
          </cell>
          <cell r="AO20">
            <v>86518</v>
          </cell>
          <cell r="AP20">
            <v>91709</v>
          </cell>
          <cell r="AQ20">
            <v>97212</v>
          </cell>
          <cell r="AR20">
            <v>103045</v>
          </cell>
          <cell r="AS20">
            <v>109227</v>
          </cell>
          <cell r="AT20">
            <v>115781</v>
          </cell>
          <cell r="AU20">
            <v>122728</v>
          </cell>
          <cell r="AV20">
            <v>130092</v>
          </cell>
          <cell r="AW20">
            <v>137897</v>
          </cell>
        </row>
        <row r="21">
          <cell r="R21" t="str">
            <v>Families*</v>
          </cell>
          <cell r="S21">
            <v>0</v>
          </cell>
          <cell r="T21">
            <v>180000</v>
          </cell>
          <cell r="U21">
            <v>210000</v>
          </cell>
          <cell r="V21">
            <v>280000</v>
          </cell>
          <cell r="AD21" t="str">
            <v>Rate</v>
          </cell>
          <cell r="AE21">
            <v>0</v>
          </cell>
          <cell r="AF21">
            <v>0.01</v>
          </cell>
          <cell r="AG21">
            <v>0.02</v>
          </cell>
          <cell r="AH21">
            <v>2.5000000000000001E-2</v>
          </cell>
          <cell r="AI21">
            <v>0.03</v>
          </cell>
          <cell r="AJ21">
            <v>3.5000000000000003E-2</v>
          </cell>
          <cell r="AK21">
            <v>0.04</v>
          </cell>
          <cell r="AL21">
            <v>4.4999999999999998E-2</v>
          </cell>
          <cell r="AM21">
            <v>0.05</v>
          </cell>
          <cell r="AN21">
            <v>5.5E-2</v>
          </cell>
          <cell r="AO21">
            <v>0.06</v>
          </cell>
          <cell r="AP21">
            <v>6.5000000000000002E-2</v>
          </cell>
          <cell r="AQ21">
            <v>7.0000000000000007E-2</v>
          </cell>
          <cell r="AR21">
            <v>7.4999999999999997E-2</v>
          </cell>
          <cell r="AS21">
            <v>0.08</v>
          </cell>
          <cell r="AT21">
            <v>8.5000000000000006E-2</v>
          </cell>
          <cell r="AU21">
            <v>0.09</v>
          </cell>
          <cell r="AV21">
            <v>9.5000000000000001E-2</v>
          </cell>
          <cell r="AW21">
            <v>0.1</v>
          </cell>
        </row>
        <row r="22">
          <cell r="R22" t="str">
            <v>Medicare levy surcharge Rate</v>
          </cell>
          <cell r="S22">
            <v>0</v>
          </cell>
          <cell r="T22">
            <v>0.01</v>
          </cell>
          <cell r="U22">
            <v>1.2500000000000001E-2</v>
          </cell>
          <cell r="V22">
            <v>1.4999999999999999E-2</v>
          </cell>
        </row>
        <row r="26">
          <cell r="S26">
            <v>0.25</v>
          </cell>
        </row>
        <row r="28">
          <cell r="V28">
            <v>66667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ista Actual Income"/>
      <sheetName val="Summary"/>
      <sheetName val="Rent Appraisal"/>
      <sheetName val="Front Page"/>
      <sheetName val="3 Year Projection"/>
      <sheetName val="Projections YR1 "/>
      <sheetName val="Projections YR2"/>
      <sheetName val="Projections YR3"/>
      <sheetName val="Notes&amp; Assumptions"/>
      <sheetName val="Assumptions"/>
      <sheetName val="Disclaimer"/>
      <sheetName val="Rental Analysis"/>
      <sheetName val="Unit Costs"/>
      <sheetName val="Permanent"/>
      <sheetName val="STerm"/>
      <sheetName val="Combined"/>
      <sheetName val="Let &amp; Rele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133">
          <cell r="C133">
            <v>4499.9999999999991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BBackup_2022-11-30_16-31-14"/>
      <sheetName val="TBBackup_2022-11-30_12-13-59"/>
      <sheetName val="TBBackup_2022-11-30_10-14-34"/>
      <sheetName val="TBBackup_2022-10-29_09-14-13"/>
      <sheetName val="TBBackup_2022-10-13_11-54-23"/>
      <sheetName val="TBBackup_2022-10-12_16-44-19"/>
      <sheetName val="HNSW_StatusLog"/>
      <sheetName val="HNSW_Status"/>
      <sheetName val="HNSW_ItemsCount"/>
      <sheetName val="HNSW_Properties"/>
      <sheetName val="Home"/>
      <sheetName val="HNSW_Summary"/>
      <sheetName val="Trial Balance Import"/>
      <sheetName val="Index"/>
      <sheetName val="TR1 Tax Rates"/>
      <sheetName val="MV1 MV Rates"/>
      <sheetName val="A06 Client Queries"/>
      <sheetName val="A05 Review Points"/>
      <sheetName val="F10 Bank"/>
      <sheetName val="F05 Trade Debtors"/>
      <sheetName val="G25-2 Other Assets"/>
      <sheetName val="F30 Prepayments"/>
      <sheetName val="G10 Fixed Assets Dep"/>
      <sheetName val="CL3 - BAS Reconciliation"/>
      <sheetName val="GST Reconcilation"/>
      <sheetName val="H05 Trade Creditors"/>
      <sheetName val="H30 Other Liabilities"/>
      <sheetName val="H08 Super Liability"/>
      <sheetName val="H30-3 Other Liabilities"/>
      <sheetName val="M35 Sales &amp; Trading Account"/>
      <sheetName val="M20 Other Income"/>
      <sheetName val="N05 Accountancy"/>
      <sheetName val="N10 Donations"/>
      <sheetName val="N15 Entertainment"/>
      <sheetName val="N30 Insurance"/>
      <sheetName val="N45 MV Expenses"/>
      <sheetName val="N60 R &amp; M"/>
      <sheetName val="Repair &amp; Maintenance"/>
      <sheetName val="N80 Wages"/>
      <sheetName val="N75 Superannuation"/>
      <sheetName val="N70 Subscriptions"/>
      <sheetName val="Subscription"/>
      <sheetName val="General Ledger Report"/>
      <sheetName val="Rev for wedding not Suppli"/>
      <sheetName val="Shopify Payment"/>
      <sheetName val="MV Expenses"/>
      <sheetName val="Superannuation"/>
      <sheetName val="G05 Borr Costs"/>
      <sheetName val="H25 Loans"/>
      <sheetName val="C20 Inc Tax Rec"/>
      <sheetName val="Qrida Interest"/>
      <sheetName val="H10 Hire Purchase"/>
      <sheetName val="BOQ Finance IMAX Van"/>
      <sheetName val="M20-2 Other Income"/>
      <sheetName val="F15-2 Stock on Hand"/>
      <sheetName val="N25 Fines &amp; Penalties"/>
      <sheetName val="G25-3 Other Assets"/>
      <sheetName val="H30-9 Other Liabiliti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">
          <cell r="A2" t="str">
            <v>Not Started</v>
          </cell>
          <cell r="B2">
            <v>0</v>
          </cell>
        </row>
        <row r="3">
          <cell r="A3" t="str">
            <v>Started</v>
          </cell>
          <cell r="B3">
            <v>1</v>
          </cell>
        </row>
        <row r="4">
          <cell r="A4" t="str">
            <v>Client Query</v>
          </cell>
          <cell r="B4">
            <v>2</v>
          </cell>
        </row>
        <row r="5">
          <cell r="A5" t="str">
            <v>Ready for Review</v>
          </cell>
          <cell r="B5">
            <v>3</v>
          </cell>
        </row>
        <row r="6">
          <cell r="A6" t="str">
            <v>Rework Required</v>
          </cell>
          <cell r="B6">
            <v>4</v>
          </cell>
        </row>
        <row r="7">
          <cell r="A7" t="str">
            <v>Rework Complete</v>
          </cell>
          <cell r="B7">
            <v>5</v>
          </cell>
        </row>
        <row r="8">
          <cell r="A8" t="str">
            <v>Reviewed</v>
          </cell>
          <cell r="B8">
            <v>6</v>
          </cell>
        </row>
        <row r="9">
          <cell r="A9" t="str">
            <v>Partner Approved</v>
          </cell>
          <cell r="B9">
            <v>7</v>
          </cell>
        </row>
        <row r="10">
          <cell r="A10" t="str">
            <v>Complete</v>
          </cell>
          <cell r="B10">
            <v>8</v>
          </cell>
        </row>
      </sheetData>
      <sheetData sheetId="8"/>
      <sheetData sheetId="9"/>
      <sheetData sheetId="10">
        <row r="6">
          <cell r="K6" t="b">
            <v>1</v>
          </cell>
        </row>
        <row r="22">
          <cell r="G22">
            <v>44742</v>
          </cell>
        </row>
        <row r="46">
          <cell r="C46" t="str">
            <v>3b258323-76a7-4390-910a-e5fbf3ac2770</v>
          </cell>
        </row>
        <row r="48">
          <cell r="C48" t="str">
            <v>I Do flowers Cairns</v>
          </cell>
        </row>
        <row r="54">
          <cell r="C54">
            <v>44895.688414351855</v>
          </cell>
        </row>
        <row r="70">
          <cell r="C70">
            <v>0.01</v>
          </cell>
        </row>
      </sheetData>
      <sheetData sheetId="11">
        <row r="1">
          <cell r="A1" t="str">
            <v>CategoryName</v>
          </cell>
          <cell r="D1" t="str">
            <v>Template</v>
          </cell>
        </row>
      </sheetData>
      <sheetData sheetId="12"/>
      <sheetData sheetId="13">
        <row r="1">
          <cell r="C1" t="str">
            <v>SortId</v>
          </cell>
          <cell r="D1" t="str">
            <v>SortOrder</v>
          </cell>
          <cell r="E1" t="str">
            <v>Level</v>
          </cell>
          <cell r="F1" t="str">
            <v>Formatting</v>
          </cell>
          <cell r="G1" t="str">
            <v>Mode</v>
          </cell>
          <cell r="H1" t="str">
            <v>Commands</v>
          </cell>
          <cell r="I1" t="str">
            <v>AccountName</v>
          </cell>
          <cell r="J1" t="str">
            <v>Balance</v>
          </cell>
          <cell r="K1" t="str">
            <v>Comparatives</v>
          </cell>
          <cell r="L1" t="str">
            <v>Variance</v>
          </cell>
          <cell r="M1" t="str">
            <v>VariancePercentages</v>
          </cell>
          <cell r="O1" t="str">
            <v>Links</v>
          </cell>
          <cell r="P1" t="str">
            <v>WPCount</v>
          </cell>
          <cell r="Q1" t="str">
            <v>WPTag</v>
          </cell>
          <cell r="R1" t="str">
            <v>WPType</v>
          </cell>
          <cell r="S1" t="str">
            <v>Ref</v>
          </cell>
          <cell r="T1" t="str">
            <v>Template</v>
          </cell>
          <cell r="U1" t="str">
            <v>RelatedBalance</v>
          </cell>
          <cell r="V1" t="str">
            <v>Reconcile</v>
          </cell>
          <cell r="W1" t="str">
            <v>Reconciled</v>
          </cell>
          <cell r="X1" t="str">
            <v>ReconciledStatus</v>
          </cell>
          <cell r="Y1" t="str">
            <v>StatusOrder</v>
          </cell>
          <cell r="Z1" t="str">
            <v>HasChat</v>
          </cell>
          <cell r="AA1" t="str">
            <v>HasUnreadChat</v>
          </cell>
          <cell r="AB1" t="str">
            <v>HasUnresolvedItems</v>
          </cell>
          <cell r="AC1" t="str">
            <v>Items</v>
          </cell>
          <cell r="AD1" t="str">
            <v>Expanded</v>
          </cell>
          <cell r="AE1" t="str">
            <v>ChecklistCount</v>
          </cell>
          <cell r="AF1" t="str">
            <v>Notes</v>
          </cell>
          <cell r="AG1" t="str">
            <v>Flag</v>
          </cell>
          <cell r="AH1" t="str">
            <v>Chat</v>
          </cell>
          <cell r="AI1" t="str">
            <v>Items</v>
          </cell>
          <cell r="AJ1" t="str">
            <v>Check
list</v>
          </cell>
          <cell r="AK1" t="str">
            <v>Reconcile To</v>
          </cell>
          <cell r="AL1" t="str">
            <v>Status</v>
          </cell>
          <cell r="AM1" t="str">
            <v>StatusUpdatedBy</v>
          </cell>
          <cell r="AN1" t="str">
            <v>StatusChangeDate</v>
          </cell>
          <cell r="AO1" t="str">
            <v>RolledOver</v>
          </cell>
          <cell r="AP1" t="str">
            <v>RollOver</v>
          </cell>
          <cell r="AQ1" t="str">
            <v>Del</v>
          </cell>
        </row>
        <row r="11">
          <cell r="AL11">
            <v>0</v>
          </cell>
          <cell r="AM11" t="b">
            <v>1</v>
          </cell>
          <cell r="AN11">
            <v>0</v>
          </cell>
          <cell r="AP11">
            <v>0</v>
          </cell>
          <cell r="AQ11">
            <v>0</v>
          </cell>
        </row>
        <row r="32">
          <cell r="J32">
            <v>44742</v>
          </cell>
          <cell r="K32">
            <v>44377</v>
          </cell>
          <cell r="N32" t="str">
            <v>+</v>
          </cell>
          <cell r="O32" t="str">
            <v>-</v>
          </cell>
        </row>
        <row r="33">
          <cell r="C33" t="str">
            <v>7ffd1320-e496-4b3e-a78c-afeaffeaa98d</v>
          </cell>
          <cell r="D33">
            <v>0</v>
          </cell>
          <cell r="E33">
            <v>100</v>
          </cell>
          <cell r="G33" t="str">
            <v>AddC</v>
          </cell>
          <cell r="O33" t="str">
            <v>}</v>
          </cell>
          <cell r="Q33" t="str">
            <v>7ffd1320-e496-4b3e-a78c-afeaffeaa98d-100</v>
          </cell>
          <cell r="R33" t="str">
            <v>LinkSheet</v>
          </cell>
          <cell r="S33" t="str">
            <v>4efa881f-352b-4f62-bacd-6bfd1a5480ab</v>
          </cell>
          <cell r="T33" t="str">
            <v>8eb5a583-f7d0-48c6-98c0-a151a55edcb0</v>
          </cell>
          <cell r="U33">
            <v>0</v>
          </cell>
          <cell r="V33" t="e">
            <v>#N/A</v>
          </cell>
          <cell r="W33">
            <v>0</v>
          </cell>
          <cell r="X33" t="str">
            <v>7ffd1320-e496-4b3e-a78c-afeaffeaa98d-0</v>
          </cell>
          <cell r="Y33">
            <v>8</v>
          </cell>
          <cell r="Z33" t="b">
            <v>0</v>
          </cell>
          <cell r="AA33" t="b">
            <v>0</v>
          </cell>
          <cell r="AB33" t="b">
            <v>0</v>
          </cell>
          <cell r="AC33">
            <v>0</v>
          </cell>
          <cell r="AD33" t="b">
            <v>0</v>
          </cell>
          <cell r="AE33" t="str">
            <v/>
          </cell>
          <cell r="AF33" t="str">
            <v>H30-9 Other Liabilities</v>
          </cell>
          <cell r="AG33" t="str">
            <v>P</v>
          </cell>
          <cell r="AH33" t="str">
            <v>]</v>
          </cell>
          <cell r="AI33" t="str">
            <v/>
          </cell>
          <cell r="AJ33" t="str">
            <v/>
          </cell>
          <cell r="AL33" t="str">
            <v>Complete</v>
          </cell>
          <cell r="AM33" t="str">
            <v>Adam Volcov</v>
          </cell>
          <cell r="AN33">
            <v>44873</v>
          </cell>
          <cell r="AO33" t="str">
            <v>O</v>
          </cell>
          <cell r="AP33" t="str">
            <v>P</v>
          </cell>
          <cell r="AQ33" t="str">
            <v>Q</v>
          </cell>
        </row>
        <row r="34">
          <cell r="C34" t="str">
            <v>ASSET</v>
          </cell>
          <cell r="D34">
            <v>1</v>
          </cell>
          <cell r="E34">
            <v>1</v>
          </cell>
          <cell r="F34" t="str">
            <v>Header_1</v>
          </cell>
          <cell r="G34" t="str">
            <v>AddB</v>
          </cell>
          <cell r="I34" t="str">
            <v>ASSET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P34">
            <v>0</v>
          </cell>
          <cell r="W34" t="str">
            <v>NA</v>
          </cell>
          <cell r="Y34">
            <v>0</v>
          </cell>
          <cell r="Z34" t="b">
            <v>0</v>
          </cell>
          <cell r="AA34" t="b">
            <v>0</v>
          </cell>
          <cell r="AB34" t="b">
            <v>0</v>
          </cell>
          <cell r="AC34">
            <v>0</v>
          </cell>
          <cell r="AD34" t="b">
            <v>1</v>
          </cell>
          <cell r="AH34" t="str">
            <v/>
          </cell>
          <cell r="AI34">
            <v>0</v>
          </cell>
          <cell r="AL34" t="str">
            <v/>
          </cell>
        </row>
        <row r="35">
          <cell r="C35" t="str">
            <v>cde39a0e-d9b4-442c-8d9b-02fc99c19cb5</v>
          </cell>
          <cell r="D35">
            <v>2</v>
          </cell>
          <cell r="E35">
            <v>2</v>
          </cell>
          <cell r="F35" t="str">
            <v>Line_2</v>
          </cell>
          <cell r="G35" t="str">
            <v>AddB</v>
          </cell>
          <cell r="I35" t="str">
            <v>I Do Flowers - GST ()</v>
          </cell>
          <cell r="J35">
            <v>9524.0499999999993</v>
          </cell>
          <cell r="K35">
            <v>10669.23</v>
          </cell>
          <cell r="L35">
            <v>-1145.18</v>
          </cell>
          <cell r="M35">
            <v>-0.10733483109840167</v>
          </cell>
          <cell r="N35" t="str">
            <v>–</v>
          </cell>
          <cell r="O35" t="str">
            <v>Add</v>
          </cell>
          <cell r="P35">
            <v>1</v>
          </cell>
          <cell r="W35" t="str">
            <v>NA</v>
          </cell>
          <cell r="Y35">
            <v>8</v>
          </cell>
          <cell r="Z35" t="b">
            <v>0</v>
          </cell>
          <cell r="AA35" t="b">
            <v>0</v>
          </cell>
          <cell r="AB35" t="b">
            <v>0</v>
          </cell>
          <cell r="AC35">
            <v>0</v>
          </cell>
          <cell r="AD35" t="b">
            <v>1</v>
          </cell>
          <cell r="AG35" t="str">
            <v>P</v>
          </cell>
          <cell r="AH35" t="str">
            <v/>
          </cell>
          <cell r="AI35">
            <v>0</v>
          </cell>
          <cell r="AL35" t="str">
            <v/>
          </cell>
        </row>
        <row r="36">
          <cell r="C36" t="str">
            <v>cde39a0e-d9b4-442c-8d9b-02fc99c19cb5</v>
          </cell>
          <cell r="D36">
            <v>2</v>
          </cell>
          <cell r="E36">
            <v>100</v>
          </cell>
          <cell r="G36" t="str">
            <v>AddB</v>
          </cell>
          <cell r="O36" t="str">
            <v>}</v>
          </cell>
          <cell r="Q36" t="str">
            <v>cde39a0e-d9b4-442c-8d9b-02fc99c19cb5-100</v>
          </cell>
          <cell r="R36" t="str">
            <v>Worksheet</v>
          </cell>
          <cell r="S36" t="str">
            <v>af37d014-ba8a-4b08-92e1-510a807fab13</v>
          </cell>
          <cell r="T36" t="str">
            <v>d7094bf7-33e3-4f7c-bb21-dddca33e1beb</v>
          </cell>
          <cell r="U36">
            <v>9524.0499999999993</v>
          </cell>
          <cell r="V36" t="e">
            <v>#NAME?</v>
          </cell>
          <cell r="W36">
            <v>0</v>
          </cell>
          <cell r="X36" t="str">
            <v>cde39a0e-d9b4-442c-8d9b-02fc99c19cb5-0</v>
          </cell>
          <cell r="Y36">
            <v>8</v>
          </cell>
          <cell r="Z36" t="b">
            <v>0</v>
          </cell>
          <cell r="AA36" t="b">
            <v>0</v>
          </cell>
          <cell r="AB36" t="b">
            <v>0</v>
          </cell>
          <cell r="AC36">
            <v>0</v>
          </cell>
          <cell r="AD36" t="b">
            <v>0</v>
          </cell>
          <cell r="AE36">
            <v>0</v>
          </cell>
          <cell r="AF36" t="str">
            <v>F10 Bank</v>
          </cell>
          <cell r="AG36" t="str">
            <v>P</v>
          </cell>
          <cell r="AH36" t="str">
            <v>]</v>
          </cell>
          <cell r="AI36" t="str">
            <v/>
          </cell>
          <cell r="AJ36" t="str">
            <v>✓</v>
          </cell>
          <cell r="AK36" t="str">
            <v>Bank Account1</v>
          </cell>
          <cell r="AL36" t="str">
            <v>Complete</v>
          </cell>
          <cell r="AM36" t="str">
            <v>Adam Volcov</v>
          </cell>
          <cell r="AN36">
            <v>44896</v>
          </cell>
          <cell r="AO36" t="str">
            <v>O</v>
          </cell>
          <cell r="AP36" t="str">
            <v>P</v>
          </cell>
          <cell r="AQ36" t="str">
            <v>Q</v>
          </cell>
        </row>
        <row r="37">
          <cell r="C37" t="str">
            <v>db013ffb-5c56-4b5c-93ad-5640f9b88557</v>
          </cell>
          <cell r="D37">
            <v>3</v>
          </cell>
          <cell r="E37">
            <v>2</v>
          </cell>
          <cell r="F37" t="str">
            <v>Line_2</v>
          </cell>
          <cell r="G37" t="str">
            <v>AddB</v>
          </cell>
          <cell r="I37" t="str">
            <v>Visa ()</v>
          </cell>
          <cell r="J37">
            <v>-8868.93</v>
          </cell>
          <cell r="K37">
            <v>-9586.08</v>
          </cell>
          <cell r="L37">
            <v>717.15</v>
          </cell>
          <cell r="M37">
            <v>-7.4811601822642834E-2</v>
          </cell>
          <cell r="N37" t="str">
            <v>–</v>
          </cell>
          <cell r="O37" t="str">
            <v>Add</v>
          </cell>
          <cell r="P37">
            <v>1</v>
          </cell>
          <cell r="W37" t="str">
            <v>NA</v>
          </cell>
          <cell r="Y37">
            <v>8</v>
          </cell>
          <cell r="Z37" t="b">
            <v>0</v>
          </cell>
          <cell r="AA37" t="b">
            <v>0</v>
          </cell>
          <cell r="AB37" t="b">
            <v>0</v>
          </cell>
          <cell r="AC37">
            <v>0</v>
          </cell>
          <cell r="AD37" t="b">
            <v>1</v>
          </cell>
          <cell r="AG37" t="str">
            <v>P</v>
          </cell>
          <cell r="AH37" t="str">
            <v/>
          </cell>
          <cell r="AI37">
            <v>0</v>
          </cell>
          <cell r="AL37" t="str">
            <v/>
          </cell>
        </row>
        <row r="38">
          <cell r="C38" t="str">
            <v>db013ffb-5c56-4b5c-93ad-5640f9b88557</v>
          </cell>
          <cell r="D38">
            <v>3</v>
          </cell>
          <cell r="E38">
            <v>100</v>
          </cell>
          <cell r="G38" t="str">
            <v>AddB</v>
          </cell>
          <cell r="O38" t="str">
            <v>}</v>
          </cell>
          <cell r="Q38" t="str">
            <v>db013ffb-5c56-4b5c-93ad-5640f9b88557-100</v>
          </cell>
          <cell r="R38" t="str">
            <v>LinkSheet</v>
          </cell>
          <cell r="S38" t="str">
            <v>af37d014-ba8a-4b08-92e1-510a807fab13</v>
          </cell>
          <cell r="T38" t="str">
            <v>d7094bf7-33e3-4f7c-bb21-dddca33e1beb</v>
          </cell>
          <cell r="U38">
            <v>8868.93</v>
          </cell>
          <cell r="V38" t="e">
            <v>#NAME?</v>
          </cell>
          <cell r="W38">
            <v>0</v>
          </cell>
          <cell r="X38" t="str">
            <v>db013ffb-5c56-4b5c-93ad-5640f9b88557-0</v>
          </cell>
          <cell r="Y38">
            <v>8</v>
          </cell>
          <cell r="Z38" t="b">
            <v>0</v>
          </cell>
          <cell r="AA38" t="b">
            <v>0</v>
          </cell>
          <cell r="AB38" t="b">
            <v>0</v>
          </cell>
          <cell r="AC38">
            <v>0</v>
          </cell>
          <cell r="AD38" t="b">
            <v>0</v>
          </cell>
          <cell r="AE38">
            <v>0</v>
          </cell>
          <cell r="AF38" t="str">
            <v>F10 Bank</v>
          </cell>
          <cell r="AG38" t="str">
            <v>P</v>
          </cell>
          <cell r="AH38" t="str">
            <v>]</v>
          </cell>
          <cell r="AI38" t="str">
            <v/>
          </cell>
          <cell r="AJ38" t="str">
            <v>✓</v>
          </cell>
          <cell r="AK38" t="str">
            <v>Bank Account2</v>
          </cell>
          <cell r="AL38" t="str">
            <v>Complete</v>
          </cell>
          <cell r="AM38" t="str">
            <v>Adam Volcov</v>
          </cell>
          <cell r="AN38">
            <v>44896</v>
          </cell>
          <cell r="AO38" t="str">
            <v>O</v>
          </cell>
          <cell r="AP38" t="str">
            <v>P</v>
          </cell>
          <cell r="AQ38" t="str">
            <v>Q</v>
          </cell>
        </row>
        <row r="39">
          <cell r="C39" t="str">
            <v>ccfab83f-debc-417c-9fa9-785c807804e5</v>
          </cell>
          <cell r="D39">
            <v>4</v>
          </cell>
          <cell r="E39">
            <v>2</v>
          </cell>
          <cell r="F39" t="str">
            <v>Line_2</v>
          </cell>
          <cell r="G39" t="str">
            <v>AddB</v>
          </cell>
          <cell r="I39" t="str">
            <v>I Do Flowers - Weddings ()</v>
          </cell>
          <cell r="J39">
            <v>36559.910000000003</v>
          </cell>
          <cell r="K39">
            <v>48005.87</v>
          </cell>
          <cell r="L39">
            <v>-11445.96</v>
          </cell>
          <cell r="M39">
            <v>-0.23842834220065171</v>
          </cell>
          <cell r="N39" t="str">
            <v>–</v>
          </cell>
          <cell r="O39" t="str">
            <v>Add</v>
          </cell>
          <cell r="P39">
            <v>1</v>
          </cell>
          <cell r="W39" t="str">
            <v>NA</v>
          </cell>
          <cell r="Y39">
            <v>8</v>
          </cell>
          <cell r="Z39" t="b">
            <v>0</v>
          </cell>
          <cell r="AA39" t="b">
            <v>0</v>
          </cell>
          <cell r="AB39" t="b">
            <v>0</v>
          </cell>
          <cell r="AC39">
            <v>0</v>
          </cell>
          <cell r="AD39" t="b">
            <v>1</v>
          </cell>
          <cell r="AG39" t="str">
            <v>P</v>
          </cell>
          <cell r="AH39" t="str">
            <v/>
          </cell>
          <cell r="AI39">
            <v>0</v>
          </cell>
          <cell r="AL39" t="str">
            <v/>
          </cell>
        </row>
        <row r="40">
          <cell r="C40" t="str">
            <v>ccfab83f-debc-417c-9fa9-785c807804e5</v>
          </cell>
          <cell r="D40">
            <v>4</v>
          </cell>
          <cell r="E40">
            <v>100</v>
          </cell>
          <cell r="G40" t="str">
            <v>AddB</v>
          </cell>
          <cell r="O40" t="str">
            <v>}</v>
          </cell>
          <cell r="Q40" t="str">
            <v>ccfab83f-debc-417c-9fa9-785c807804e5-100</v>
          </cell>
          <cell r="R40" t="str">
            <v>LinkSheet</v>
          </cell>
          <cell r="S40" t="str">
            <v>af37d014-ba8a-4b08-92e1-510a807fab13</v>
          </cell>
          <cell r="T40" t="str">
            <v>d7094bf7-33e3-4f7c-bb21-dddca33e1beb</v>
          </cell>
          <cell r="U40">
            <v>36559.910000000003</v>
          </cell>
          <cell r="V40" t="e">
            <v>#NAME?</v>
          </cell>
          <cell r="W40">
            <v>0</v>
          </cell>
          <cell r="X40" t="str">
            <v>ccfab83f-debc-417c-9fa9-785c807804e5-0</v>
          </cell>
          <cell r="Y40">
            <v>8</v>
          </cell>
          <cell r="Z40" t="b">
            <v>0</v>
          </cell>
          <cell r="AA40" t="b">
            <v>0</v>
          </cell>
          <cell r="AB40" t="b">
            <v>0</v>
          </cell>
          <cell r="AC40">
            <v>0</v>
          </cell>
          <cell r="AD40" t="b">
            <v>0</v>
          </cell>
          <cell r="AE40">
            <v>0</v>
          </cell>
          <cell r="AF40" t="str">
            <v>F10 Bank</v>
          </cell>
          <cell r="AG40" t="str">
            <v>P</v>
          </cell>
          <cell r="AH40" t="str">
            <v>]</v>
          </cell>
          <cell r="AI40" t="str">
            <v/>
          </cell>
          <cell r="AJ40" t="str">
            <v>✓</v>
          </cell>
          <cell r="AK40" t="str">
            <v>Bank Account3</v>
          </cell>
          <cell r="AL40" t="str">
            <v>Complete</v>
          </cell>
          <cell r="AM40" t="str">
            <v>Adam Volcov</v>
          </cell>
          <cell r="AN40">
            <v>44896</v>
          </cell>
          <cell r="AO40" t="str">
            <v>O</v>
          </cell>
          <cell r="AP40" t="str">
            <v>P</v>
          </cell>
          <cell r="AQ40" t="str">
            <v>Q</v>
          </cell>
        </row>
        <row r="41">
          <cell r="C41" t="str">
            <v>f4ac7bee-9063-46d0-bacb-7dfd7c918f97</v>
          </cell>
          <cell r="D41">
            <v>5</v>
          </cell>
          <cell r="E41">
            <v>2</v>
          </cell>
          <cell r="F41" t="str">
            <v>Line_2</v>
          </cell>
          <cell r="G41" t="str">
            <v>AddB</v>
          </cell>
          <cell r="I41" t="str">
            <v>Shop Visa ()</v>
          </cell>
          <cell r="J41">
            <v>-9659.7000000000007</v>
          </cell>
          <cell r="K41">
            <v>-11067.77</v>
          </cell>
          <cell r="L41">
            <v>1408.07</v>
          </cell>
          <cell r="M41">
            <v>-0.1272225570281999</v>
          </cell>
          <cell r="N41" t="str">
            <v>–</v>
          </cell>
          <cell r="O41" t="str">
            <v>Add</v>
          </cell>
          <cell r="P41">
            <v>1</v>
          </cell>
          <cell r="W41" t="str">
            <v>NA</v>
          </cell>
          <cell r="Y41">
            <v>8</v>
          </cell>
          <cell r="Z41" t="b">
            <v>0</v>
          </cell>
          <cell r="AA41" t="b">
            <v>0</v>
          </cell>
          <cell r="AB41" t="b">
            <v>0</v>
          </cell>
          <cell r="AC41">
            <v>0</v>
          </cell>
          <cell r="AD41" t="b">
            <v>1</v>
          </cell>
          <cell r="AG41" t="str">
            <v>P</v>
          </cell>
          <cell r="AH41" t="str">
            <v/>
          </cell>
          <cell r="AI41">
            <v>0</v>
          </cell>
          <cell r="AL41" t="str">
            <v/>
          </cell>
        </row>
        <row r="42">
          <cell r="C42" t="str">
            <v>f4ac7bee-9063-46d0-bacb-7dfd7c918f97</v>
          </cell>
          <cell r="D42">
            <v>5</v>
          </cell>
          <cell r="E42">
            <v>100</v>
          </cell>
          <cell r="G42" t="str">
            <v>AddB</v>
          </cell>
          <cell r="O42" t="str">
            <v>}</v>
          </cell>
          <cell r="Q42" t="str">
            <v>f4ac7bee-9063-46d0-bacb-7dfd7c918f97-100</v>
          </cell>
          <cell r="R42" t="str">
            <v>LinkSheet</v>
          </cell>
          <cell r="S42" t="str">
            <v>af37d014-ba8a-4b08-92e1-510a807fab13</v>
          </cell>
          <cell r="T42" t="str">
            <v>d7094bf7-33e3-4f7c-bb21-dddca33e1beb</v>
          </cell>
          <cell r="U42">
            <v>9659.7000000000007</v>
          </cell>
          <cell r="V42" t="e">
            <v>#NAME?</v>
          </cell>
          <cell r="W42">
            <v>0</v>
          </cell>
          <cell r="X42" t="str">
            <v>f4ac7bee-9063-46d0-bacb-7dfd7c918f97-0</v>
          </cell>
          <cell r="Y42">
            <v>8</v>
          </cell>
          <cell r="Z42" t="b">
            <v>0</v>
          </cell>
          <cell r="AA42" t="b">
            <v>0</v>
          </cell>
          <cell r="AB42" t="b">
            <v>0</v>
          </cell>
          <cell r="AC42">
            <v>0</v>
          </cell>
          <cell r="AD42" t="b">
            <v>0</v>
          </cell>
          <cell r="AE42">
            <v>0</v>
          </cell>
          <cell r="AF42" t="str">
            <v>F10 Bank</v>
          </cell>
          <cell r="AG42" t="str">
            <v>P</v>
          </cell>
          <cell r="AH42" t="str">
            <v>]</v>
          </cell>
          <cell r="AI42" t="str">
            <v/>
          </cell>
          <cell r="AJ42" t="str">
            <v>✓</v>
          </cell>
          <cell r="AK42" t="str">
            <v>Bank Account4</v>
          </cell>
          <cell r="AL42" t="str">
            <v>Complete</v>
          </cell>
          <cell r="AM42" t="str">
            <v>Adam Volcov</v>
          </cell>
          <cell r="AN42">
            <v>44896</v>
          </cell>
          <cell r="AO42" t="str">
            <v>O</v>
          </cell>
          <cell r="AP42" t="str">
            <v>P</v>
          </cell>
          <cell r="AQ42" t="str">
            <v>Q</v>
          </cell>
        </row>
        <row r="43">
          <cell r="C43" t="str">
            <v>7d2f6d5c-24e9-47d9-a5ba-996b0e7a6d70</v>
          </cell>
          <cell r="D43">
            <v>6</v>
          </cell>
          <cell r="E43">
            <v>2</v>
          </cell>
          <cell r="F43" t="str">
            <v>Line_2</v>
          </cell>
          <cell r="G43" t="str">
            <v>AddB</v>
          </cell>
          <cell r="I43" t="str">
            <v>I Do Flowers - Acc 2944 ()</v>
          </cell>
          <cell r="J43">
            <v>5364.06</v>
          </cell>
          <cell r="K43">
            <v>1099.8699999999999</v>
          </cell>
          <cell r="L43">
            <v>4264.1899999999996</v>
          </cell>
          <cell r="M43">
            <v>3.8769945539018251</v>
          </cell>
          <cell r="N43" t="str">
            <v>–</v>
          </cell>
          <cell r="O43" t="str">
            <v>Add</v>
          </cell>
          <cell r="P43">
            <v>1</v>
          </cell>
          <cell r="W43" t="str">
            <v>NA</v>
          </cell>
          <cell r="Y43">
            <v>8</v>
          </cell>
          <cell r="Z43" t="b">
            <v>0</v>
          </cell>
          <cell r="AA43" t="b">
            <v>0</v>
          </cell>
          <cell r="AB43" t="b">
            <v>0</v>
          </cell>
          <cell r="AC43">
            <v>0</v>
          </cell>
          <cell r="AD43" t="b">
            <v>1</v>
          </cell>
          <cell r="AG43" t="str">
            <v>P</v>
          </cell>
          <cell r="AH43" t="str">
            <v/>
          </cell>
          <cell r="AI43">
            <v>0</v>
          </cell>
          <cell r="AL43" t="str">
            <v/>
          </cell>
        </row>
        <row r="44">
          <cell r="C44" t="str">
            <v>7d2f6d5c-24e9-47d9-a5ba-996b0e7a6d70</v>
          </cell>
          <cell r="D44">
            <v>6</v>
          </cell>
          <cell r="E44">
            <v>100</v>
          </cell>
          <cell r="G44" t="str">
            <v>AddB</v>
          </cell>
          <cell r="O44" t="str">
            <v>}</v>
          </cell>
          <cell r="Q44" t="str">
            <v>7d2f6d5c-24e9-47d9-a5ba-996b0e7a6d70-100</v>
          </cell>
          <cell r="R44" t="str">
            <v>LinkSheet</v>
          </cell>
          <cell r="S44" t="str">
            <v>af37d014-ba8a-4b08-92e1-510a807fab13</v>
          </cell>
          <cell r="T44" t="str">
            <v>d7094bf7-33e3-4f7c-bb21-dddca33e1beb</v>
          </cell>
          <cell r="U44">
            <v>5364.06</v>
          </cell>
          <cell r="V44" t="e">
            <v>#NAME?</v>
          </cell>
          <cell r="W44">
            <v>0</v>
          </cell>
          <cell r="X44" t="str">
            <v>7d2f6d5c-24e9-47d9-a5ba-996b0e7a6d70-0</v>
          </cell>
          <cell r="Y44">
            <v>8</v>
          </cell>
          <cell r="Z44" t="b">
            <v>0</v>
          </cell>
          <cell r="AA44" t="b">
            <v>0</v>
          </cell>
          <cell r="AB44" t="b">
            <v>0</v>
          </cell>
          <cell r="AC44">
            <v>0</v>
          </cell>
          <cell r="AD44" t="b">
            <v>0</v>
          </cell>
          <cell r="AE44">
            <v>0</v>
          </cell>
          <cell r="AF44" t="str">
            <v>F10 Bank</v>
          </cell>
          <cell r="AG44" t="str">
            <v>P</v>
          </cell>
          <cell r="AH44" t="str">
            <v>]</v>
          </cell>
          <cell r="AI44" t="str">
            <v/>
          </cell>
          <cell r="AJ44" t="str">
            <v>✓</v>
          </cell>
          <cell r="AK44" t="str">
            <v>Bank Account5</v>
          </cell>
          <cell r="AL44" t="str">
            <v>Complete</v>
          </cell>
          <cell r="AM44" t="str">
            <v>Adam Volcov</v>
          </cell>
          <cell r="AN44">
            <v>44896</v>
          </cell>
          <cell r="AO44" t="str">
            <v>O</v>
          </cell>
          <cell r="AP44" t="str">
            <v>P</v>
          </cell>
          <cell r="AQ44" t="str">
            <v>Q</v>
          </cell>
        </row>
        <row r="45">
          <cell r="C45" t="str">
            <v>dd48952c-9d84-411c-b278-eb45bbe09a42</v>
          </cell>
          <cell r="D45">
            <v>7</v>
          </cell>
          <cell r="E45">
            <v>2</v>
          </cell>
          <cell r="F45" t="str">
            <v>Line_2</v>
          </cell>
          <cell r="G45" t="str">
            <v>AddB</v>
          </cell>
          <cell r="I45" t="str">
            <v>I Do Flowers - Overdraft ()</v>
          </cell>
          <cell r="J45">
            <v>12556.85</v>
          </cell>
          <cell r="K45">
            <v>9673.7999999999993</v>
          </cell>
          <cell r="L45">
            <v>2883.05</v>
          </cell>
          <cell r="M45">
            <v>0.29802662862577273</v>
          </cell>
          <cell r="N45" t="str">
            <v>–</v>
          </cell>
          <cell r="O45" t="str">
            <v>Add</v>
          </cell>
          <cell r="P45">
            <v>1</v>
          </cell>
          <cell r="W45" t="str">
            <v>NA</v>
          </cell>
          <cell r="Y45">
            <v>8</v>
          </cell>
          <cell r="Z45" t="b">
            <v>0</v>
          </cell>
          <cell r="AA45" t="b">
            <v>0</v>
          </cell>
          <cell r="AB45" t="b">
            <v>0</v>
          </cell>
          <cell r="AC45">
            <v>0</v>
          </cell>
          <cell r="AD45" t="b">
            <v>1</v>
          </cell>
          <cell r="AG45" t="str">
            <v>P</v>
          </cell>
          <cell r="AH45" t="str">
            <v/>
          </cell>
          <cell r="AI45">
            <v>0</v>
          </cell>
          <cell r="AL45" t="str">
            <v/>
          </cell>
        </row>
        <row r="46">
          <cell r="C46" t="str">
            <v>dd48952c-9d84-411c-b278-eb45bbe09a42</v>
          </cell>
          <cell r="D46">
            <v>7</v>
          </cell>
          <cell r="E46">
            <v>100</v>
          </cell>
          <cell r="G46" t="str">
            <v>AddB</v>
          </cell>
          <cell r="O46" t="str">
            <v>}</v>
          </cell>
          <cell r="Q46" t="str">
            <v>dd48952c-9d84-411c-b278-eb45bbe09a42-100</v>
          </cell>
          <cell r="R46" t="str">
            <v>LinkSheet</v>
          </cell>
          <cell r="S46" t="str">
            <v>af37d014-ba8a-4b08-92e1-510a807fab13</v>
          </cell>
          <cell r="T46" t="str">
            <v>d7094bf7-33e3-4f7c-bb21-dddca33e1beb</v>
          </cell>
          <cell r="U46">
            <v>12556.85</v>
          </cell>
          <cell r="V46" t="e">
            <v>#NAME?</v>
          </cell>
          <cell r="W46">
            <v>0</v>
          </cell>
          <cell r="X46" t="str">
            <v>dd48952c-9d84-411c-b278-eb45bbe09a42-0</v>
          </cell>
          <cell r="Y46">
            <v>8</v>
          </cell>
          <cell r="Z46" t="b">
            <v>0</v>
          </cell>
          <cell r="AA46" t="b">
            <v>0</v>
          </cell>
          <cell r="AB46" t="b">
            <v>0</v>
          </cell>
          <cell r="AC46">
            <v>0</v>
          </cell>
          <cell r="AD46" t="b">
            <v>0</v>
          </cell>
          <cell r="AE46">
            <v>0</v>
          </cell>
          <cell r="AF46" t="str">
            <v>F10 Bank</v>
          </cell>
          <cell r="AG46" t="str">
            <v>P</v>
          </cell>
          <cell r="AH46" t="str">
            <v>]</v>
          </cell>
          <cell r="AI46" t="str">
            <v/>
          </cell>
          <cell r="AJ46" t="str">
            <v>✓</v>
          </cell>
          <cell r="AK46" t="str">
            <v>Bank Account6</v>
          </cell>
          <cell r="AL46" t="str">
            <v>Complete</v>
          </cell>
          <cell r="AM46" t="str">
            <v>Adam Volcov</v>
          </cell>
          <cell r="AN46">
            <v>44896</v>
          </cell>
          <cell r="AO46" t="str">
            <v>O</v>
          </cell>
          <cell r="AP46" t="str">
            <v>P</v>
          </cell>
          <cell r="AQ46" t="str">
            <v>Q</v>
          </cell>
        </row>
        <row r="47">
          <cell r="C47" t="str">
            <v>01c78c3c-f9b2-4c4b-be22-1667aa6e5e3d</v>
          </cell>
          <cell r="D47">
            <v>8</v>
          </cell>
          <cell r="E47">
            <v>2</v>
          </cell>
          <cell r="F47" t="str">
            <v>Line_2</v>
          </cell>
          <cell r="G47" t="str">
            <v>AddB</v>
          </cell>
          <cell r="H47" t="str">
            <v>ImportDebtors</v>
          </cell>
          <cell r="I47" t="str">
            <v>Accounts Receivable (610)</v>
          </cell>
          <cell r="J47">
            <v>11245.06</v>
          </cell>
          <cell r="K47">
            <v>17665.669999999998</v>
          </cell>
          <cell r="L47">
            <v>-6420.61</v>
          </cell>
          <cell r="M47">
            <v>-0.36345125885403723</v>
          </cell>
          <cell r="N47" t="str">
            <v>–</v>
          </cell>
          <cell r="O47" t="str">
            <v>Add</v>
          </cell>
          <cell r="P47">
            <v>1</v>
          </cell>
          <cell r="W47" t="str">
            <v>NA</v>
          </cell>
          <cell r="Y47">
            <v>8</v>
          </cell>
          <cell r="Z47" t="b">
            <v>0</v>
          </cell>
          <cell r="AA47" t="b">
            <v>0</v>
          </cell>
          <cell r="AB47" t="b">
            <v>0</v>
          </cell>
          <cell r="AC47">
            <v>0</v>
          </cell>
          <cell r="AD47" t="b">
            <v>1</v>
          </cell>
          <cell r="AG47" t="str">
            <v>P</v>
          </cell>
          <cell r="AH47" t="str">
            <v/>
          </cell>
          <cell r="AI47">
            <v>0</v>
          </cell>
          <cell r="AL47" t="str">
            <v/>
          </cell>
        </row>
        <row r="48">
          <cell r="C48" t="str">
            <v>01c78c3c-f9b2-4c4b-be22-1667aa6e5e3d</v>
          </cell>
          <cell r="D48">
            <v>8</v>
          </cell>
          <cell r="E48">
            <v>100</v>
          </cell>
          <cell r="G48" t="str">
            <v>AddB</v>
          </cell>
          <cell r="H48" t="str">
            <v>ImportDebtors</v>
          </cell>
          <cell r="O48" t="str">
            <v>}</v>
          </cell>
          <cell r="Q48" t="str">
            <v>01c78c3c-f9b2-4c4b-be22-1667aa6e5e3d-100</v>
          </cell>
          <cell r="R48" t="str">
            <v>Worksheet</v>
          </cell>
          <cell r="S48" t="str">
            <v>6a57254a-d021-4b4e-a6a4-23b8e85045eb</v>
          </cell>
          <cell r="T48" t="str">
            <v>84fd092c-15c7-42a0-8f57-708d9d2916cd</v>
          </cell>
          <cell r="U48">
            <v>11245.06</v>
          </cell>
          <cell r="V48" t="e">
            <v>#NAME?</v>
          </cell>
          <cell r="W48">
            <v>0</v>
          </cell>
          <cell r="X48" t="str">
            <v>01c78c3c-f9b2-4c4b-be22-1667aa6e5e3d-0</v>
          </cell>
          <cell r="Y48">
            <v>8</v>
          </cell>
          <cell r="Z48" t="b">
            <v>0</v>
          </cell>
          <cell r="AA48" t="b">
            <v>0</v>
          </cell>
          <cell r="AB48" t="b">
            <v>0</v>
          </cell>
          <cell r="AC48">
            <v>0</v>
          </cell>
          <cell r="AD48" t="b">
            <v>0</v>
          </cell>
          <cell r="AE48">
            <v>0</v>
          </cell>
          <cell r="AF48" t="str">
            <v>F05 Trade Debtors</v>
          </cell>
          <cell r="AG48" t="str">
            <v>P</v>
          </cell>
          <cell r="AH48" t="str">
            <v>]</v>
          </cell>
          <cell r="AI48" t="str">
            <v/>
          </cell>
          <cell r="AJ48" t="str">
            <v>✓</v>
          </cell>
          <cell r="AK48" t="str">
            <v>Trade Debtors</v>
          </cell>
          <cell r="AL48" t="str">
            <v>Complete</v>
          </cell>
          <cell r="AM48" t="str">
            <v>Adam Volcov</v>
          </cell>
          <cell r="AN48">
            <v>44896</v>
          </cell>
          <cell r="AO48" t="str">
            <v>O</v>
          </cell>
          <cell r="AP48" t="str">
            <v>P</v>
          </cell>
          <cell r="AQ48" t="str">
            <v>Q</v>
          </cell>
        </row>
        <row r="49">
          <cell r="C49" t="str">
            <v>2a6eb60c-a865-4c64-9ef5-774105605fd5</v>
          </cell>
          <cell r="D49">
            <v>9</v>
          </cell>
          <cell r="E49">
            <v>2</v>
          </cell>
          <cell r="F49" t="str">
            <v>Line_2</v>
          </cell>
          <cell r="G49" t="str">
            <v>AddB</v>
          </cell>
          <cell r="I49" t="str">
            <v>Accounts Receivable -Manual (610 -A)</v>
          </cell>
          <cell r="J49">
            <v>0</v>
          </cell>
          <cell r="K49">
            <v>366.34</v>
          </cell>
          <cell r="L49">
            <v>-366.34</v>
          </cell>
          <cell r="M49">
            <v>-1</v>
          </cell>
          <cell r="N49">
            <v>0</v>
          </cell>
          <cell r="O49" t="str">
            <v>Add</v>
          </cell>
          <cell r="P49">
            <v>0</v>
          </cell>
          <cell r="W49" t="str">
            <v>NA</v>
          </cell>
          <cell r="Y49">
            <v>0</v>
          </cell>
          <cell r="Z49" t="b">
            <v>0</v>
          </cell>
          <cell r="AA49" t="b">
            <v>0</v>
          </cell>
          <cell r="AB49" t="b">
            <v>0</v>
          </cell>
          <cell r="AC49">
            <v>0</v>
          </cell>
          <cell r="AD49" t="b">
            <v>1</v>
          </cell>
          <cell r="AH49" t="str">
            <v/>
          </cell>
          <cell r="AI49">
            <v>0</v>
          </cell>
          <cell r="AL49" t="str">
            <v/>
          </cell>
        </row>
        <row r="50">
          <cell r="C50" t="str">
            <v>bd5c9b32-00f9-4ebd-a58a-744d8782ff8a</v>
          </cell>
          <cell r="D50">
            <v>12</v>
          </cell>
          <cell r="E50">
            <v>2</v>
          </cell>
          <cell r="F50" t="str">
            <v>Line_2</v>
          </cell>
          <cell r="G50" t="str">
            <v>AddB</v>
          </cell>
          <cell r="I50" t="str">
            <v>Interflora Clearing Account (612a)</v>
          </cell>
          <cell r="J50">
            <v>-78.099999999999994</v>
          </cell>
          <cell r="K50">
            <v>0</v>
          </cell>
          <cell r="L50">
            <v>-78.099999999999994</v>
          </cell>
          <cell r="M50">
            <v>0</v>
          </cell>
          <cell r="N50" t="str">
            <v>–</v>
          </cell>
          <cell r="O50" t="str">
            <v>Add</v>
          </cell>
          <cell r="P50">
            <v>1</v>
          </cell>
          <cell r="W50" t="str">
            <v>NA</v>
          </cell>
          <cell r="Y50">
            <v>8</v>
          </cell>
          <cell r="Z50" t="b">
            <v>0</v>
          </cell>
          <cell r="AA50" t="b">
            <v>0</v>
          </cell>
          <cell r="AB50" t="b">
            <v>0</v>
          </cell>
          <cell r="AC50">
            <v>0</v>
          </cell>
          <cell r="AD50" t="b">
            <v>1</v>
          </cell>
          <cell r="AG50" t="str">
            <v>P</v>
          </cell>
          <cell r="AH50" t="str">
            <v/>
          </cell>
          <cell r="AI50">
            <v>0</v>
          </cell>
          <cell r="AL50" t="str">
            <v/>
          </cell>
        </row>
        <row r="51">
          <cell r="C51" t="str">
            <v>bd5c9b32-00f9-4ebd-a58a-744d8782ff8a</v>
          </cell>
          <cell r="D51">
            <v>12</v>
          </cell>
          <cell r="E51">
            <v>100</v>
          </cell>
          <cell r="G51" t="str">
            <v>AddB</v>
          </cell>
          <cell r="O51" t="str">
            <v>}</v>
          </cell>
          <cell r="Q51" t="str">
            <v>bd5c9b32-00f9-4ebd-a58a-744d8782ff8a-100</v>
          </cell>
          <cell r="R51" t="str">
            <v>LinkSheet</v>
          </cell>
          <cell r="S51" t="str">
            <v>f5fb6c30-f8c1-42bc-93c0-a11008f78fb3</v>
          </cell>
          <cell r="T51" t="str">
            <v>5176ef2d-dddd-4d01-a079-1b795620e4b5</v>
          </cell>
          <cell r="U51">
            <v>78.099999999999994</v>
          </cell>
          <cell r="V51" t="e">
            <v>#N/A</v>
          </cell>
          <cell r="W51">
            <v>0</v>
          </cell>
          <cell r="X51" t="str">
            <v>bd5c9b32-00f9-4ebd-a58a-744d8782ff8a-0</v>
          </cell>
          <cell r="Y51">
            <v>8</v>
          </cell>
          <cell r="Z51" t="b">
            <v>0</v>
          </cell>
          <cell r="AA51" t="b">
            <v>0</v>
          </cell>
          <cell r="AB51" t="b">
            <v>0</v>
          </cell>
          <cell r="AC51">
            <v>0</v>
          </cell>
          <cell r="AD51" t="b">
            <v>0</v>
          </cell>
          <cell r="AE51" t="str">
            <v/>
          </cell>
          <cell r="AF51" t="str">
            <v>G25-2 Other Assets</v>
          </cell>
          <cell r="AG51" t="str">
            <v>P</v>
          </cell>
          <cell r="AH51" t="str">
            <v>]</v>
          </cell>
          <cell r="AI51" t="str">
            <v/>
          </cell>
          <cell r="AJ51" t="str">
            <v/>
          </cell>
          <cell r="AL51" t="str">
            <v>Complete</v>
          </cell>
          <cell r="AM51" t="str">
            <v>Adam Volcov</v>
          </cell>
          <cell r="AN51">
            <v>44896</v>
          </cell>
          <cell r="AO51" t="str">
            <v>O</v>
          </cell>
          <cell r="AP51" t="str">
            <v>P</v>
          </cell>
          <cell r="AQ51" t="str">
            <v>Q</v>
          </cell>
        </row>
        <row r="52">
          <cell r="C52" t="str">
            <v>a788208f-cefb-4cdc-87d9-4aae0dd077fb</v>
          </cell>
          <cell r="D52">
            <v>13</v>
          </cell>
          <cell r="E52">
            <v>2</v>
          </cell>
          <cell r="F52" t="str">
            <v>Line_2</v>
          </cell>
          <cell r="G52" t="str">
            <v>AddB</v>
          </cell>
          <cell r="I52" t="str">
            <v>Easy Flowers Clearing Account (612b)</v>
          </cell>
          <cell r="J52">
            <v>3800.66</v>
          </cell>
          <cell r="K52">
            <v>0</v>
          </cell>
          <cell r="L52">
            <v>3800.66</v>
          </cell>
          <cell r="M52">
            <v>0</v>
          </cell>
          <cell r="N52" t="str">
            <v>–</v>
          </cell>
          <cell r="O52" t="str">
            <v>Add</v>
          </cell>
          <cell r="P52">
            <v>1</v>
          </cell>
          <cell r="W52" t="str">
            <v>NA</v>
          </cell>
          <cell r="Y52">
            <v>8</v>
          </cell>
          <cell r="Z52" t="b">
            <v>0</v>
          </cell>
          <cell r="AA52" t="b">
            <v>0</v>
          </cell>
          <cell r="AB52" t="b">
            <v>0</v>
          </cell>
          <cell r="AC52">
            <v>0</v>
          </cell>
          <cell r="AD52" t="b">
            <v>1</v>
          </cell>
          <cell r="AG52" t="str">
            <v>P</v>
          </cell>
          <cell r="AH52" t="str">
            <v/>
          </cell>
          <cell r="AI52">
            <v>0</v>
          </cell>
          <cell r="AL52" t="str">
            <v/>
          </cell>
        </row>
        <row r="53">
          <cell r="C53" t="str">
            <v>a788208f-cefb-4cdc-87d9-4aae0dd077fb</v>
          </cell>
          <cell r="D53">
            <v>13</v>
          </cell>
          <cell r="E53">
            <v>100</v>
          </cell>
          <cell r="G53" t="str">
            <v>AddB</v>
          </cell>
          <cell r="O53" t="str">
            <v>}</v>
          </cell>
          <cell r="Q53" t="str">
            <v>a788208f-cefb-4cdc-87d9-4aae0dd077fb-100</v>
          </cell>
          <cell r="R53" t="str">
            <v>Worksheet</v>
          </cell>
          <cell r="S53" t="str">
            <v>f5fb6c30-f8c1-42bc-93c0-a11008f78fb3</v>
          </cell>
          <cell r="T53" t="str">
            <v>5176ef2d-dddd-4d01-a079-1b795620e4b5</v>
          </cell>
          <cell r="U53">
            <v>3800.66</v>
          </cell>
          <cell r="V53" t="e">
            <v>#NAME?</v>
          </cell>
          <cell r="W53">
            <v>0</v>
          </cell>
          <cell r="X53" t="str">
            <v>a788208f-cefb-4cdc-87d9-4aae0dd077fb-0</v>
          </cell>
          <cell r="Y53">
            <v>8</v>
          </cell>
          <cell r="Z53" t="b">
            <v>0</v>
          </cell>
          <cell r="AA53" t="b">
            <v>0</v>
          </cell>
          <cell r="AB53" t="b">
            <v>0</v>
          </cell>
          <cell r="AC53">
            <v>0</v>
          </cell>
          <cell r="AD53" t="b">
            <v>0</v>
          </cell>
          <cell r="AE53" t="str">
            <v/>
          </cell>
          <cell r="AF53" t="str">
            <v>G25-2 Other Assets</v>
          </cell>
          <cell r="AG53" t="str">
            <v>P</v>
          </cell>
          <cell r="AH53" t="str">
            <v>]</v>
          </cell>
          <cell r="AI53" t="str">
            <v/>
          </cell>
          <cell r="AJ53" t="str">
            <v/>
          </cell>
          <cell r="AK53" t="str">
            <v>Other Assets</v>
          </cell>
          <cell r="AL53" t="str">
            <v>Complete</v>
          </cell>
          <cell r="AM53" t="str">
            <v>Adam Volcov</v>
          </cell>
          <cell r="AN53">
            <v>44896</v>
          </cell>
          <cell r="AO53" t="str">
            <v>O</v>
          </cell>
          <cell r="AP53" t="str">
            <v>P</v>
          </cell>
          <cell r="AQ53" t="str">
            <v>Q</v>
          </cell>
        </row>
        <row r="54">
          <cell r="C54" t="str">
            <v>e4d8859f-8a89-4b94-906f-1669a54a58bc</v>
          </cell>
          <cell r="D54">
            <v>15</v>
          </cell>
          <cell r="E54">
            <v>2</v>
          </cell>
          <cell r="F54" t="str">
            <v>Line_2</v>
          </cell>
          <cell r="G54" t="str">
            <v>AddB</v>
          </cell>
          <cell r="I54" t="str">
            <v>Qoin Bank Account (613)</v>
          </cell>
          <cell r="J54">
            <v>0</v>
          </cell>
          <cell r="K54">
            <v>5108</v>
          </cell>
          <cell r="L54">
            <v>-5108</v>
          </cell>
          <cell r="M54">
            <v>-1</v>
          </cell>
          <cell r="N54">
            <v>0</v>
          </cell>
          <cell r="O54" t="str">
            <v>Add</v>
          </cell>
          <cell r="P54">
            <v>0</v>
          </cell>
          <cell r="W54" t="str">
            <v>NA</v>
          </cell>
          <cell r="Y54">
            <v>0</v>
          </cell>
          <cell r="Z54" t="b">
            <v>0</v>
          </cell>
          <cell r="AA54" t="b">
            <v>0</v>
          </cell>
          <cell r="AB54" t="b">
            <v>0</v>
          </cell>
          <cell r="AC54">
            <v>0</v>
          </cell>
          <cell r="AD54" t="b">
            <v>1</v>
          </cell>
          <cell r="AG54" t="str">
            <v>P</v>
          </cell>
          <cell r="AH54" t="str">
            <v/>
          </cell>
          <cell r="AI54">
            <v>0</v>
          </cell>
          <cell r="AL54" t="str">
            <v/>
          </cell>
        </row>
        <row r="55">
          <cell r="C55" t="str">
            <v>58cba557-bcfa-47a6-bc30-d9715db2da67</v>
          </cell>
          <cell r="D55">
            <v>16</v>
          </cell>
          <cell r="E55">
            <v>2</v>
          </cell>
          <cell r="F55" t="str">
            <v>Line_2</v>
          </cell>
          <cell r="G55" t="str">
            <v>AddB</v>
          </cell>
          <cell r="I55" t="str">
            <v>Til Float (614)</v>
          </cell>
          <cell r="J55">
            <v>300</v>
          </cell>
          <cell r="K55">
            <v>300</v>
          </cell>
          <cell r="L55">
            <v>0</v>
          </cell>
          <cell r="M55">
            <v>0</v>
          </cell>
          <cell r="N55">
            <v>0</v>
          </cell>
          <cell r="O55" t="str">
            <v>Add</v>
          </cell>
          <cell r="P55">
            <v>0</v>
          </cell>
          <cell r="W55" t="str">
            <v>NA</v>
          </cell>
          <cell r="Y55">
            <v>0</v>
          </cell>
          <cell r="Z55" t="b">
            <v>0</v>
          </cell>
          <cell r="AA55" t="b">
            <v>0</v>
          </cell>
          <cell r="AB55" t="b">
            <v>0</v>
          </cell>
          <cell r="AC55">
            <v>0</v>
          </cell>
          <cell r="AD55" t="b">
            <v>1</v>
          </cell>
          <cell r="AG55" t="str">
            <v>P</v>
          </cell>
          <cell r="AH55" t="str">
            <v/>
          </cell>
          <cell r="AI55">
            <v>0</v>
          </cell>
          <cell r="AL55" t="str">
            <v/>
          </cell>
        </row>
        <row r="56">
          <cell r="C56" t="str">
            <v>7f81b5d9-4858-4146-b6a2-0a91551f2cbc</v>
          </cell>
          <cell r="D56">
            <v>23</v>
          </cell>
          <cell r="E56">
            <v>2</v>
          </cell>
          <cell r="F56" t="str">
            <v>Line_2</v>
          </cell>
          <cell r="G56" t="str">
            <v>AddB</v>
          </cell>
          <cell r="I56" t="str">
            <v>Prepaid Telephone (624)</v>
          </cell>
          <cell r="J56">
            <v>919.35</v>
          </cell>
          <cell r="K56">
            <v>0</v>
          </cell>
          <cell r="L56">
            <v>919.35</v>
          </cell>
          <cell r="M56">
            <v>0</v>
          </cell>
          <cell r="N56" t="str">
            <v>–</v>
          </cell>
          <cell r="O56" t="str">
            <v>Add</v>
          </cell>
          <cell r="P56">
            <v>1</v>
          </cell>
          <cell r="W56" t="str">
            <v>NA</v>
          </cell>
          <cell r="Y56">
            <v>8</v>
          </cell>
          <cell r="Z56" t="b">
            <v>0</v>
          </cell>
          <cell r="AA56" t="b">
            <v>0</v>
          </cell>
          <cell r="AB56" t="b">
            <v>0</v>
          </cell>
          <cell r="AC56">
            <v>0</v>
          </cell>
          <cell r="AD56" t="b">
            <v>1</v>
          </cell>
          <cell r="AG56" t="str">
            <v>P</v>
          </cell>
          <cell r="AH56" t="str">
            <v/>
          </cell>
          <cell r="AI56">
            <v>0</v>
          </cell>
          <cell r="AL56" t="str">
            <v/>
          </cell>
        </row>
        <row r="57">
          <cell r="C57" t="str">
            <v>7f81b5d9-4858-4146-b6a2-0a91551f2cbc</v>
          </cell>
          <cell r="D57">
            <v>23</v>
          </cell>
          <cell r="E57">
            <v>100</v>
          </cell>
          <cell r="G57" t="str">
            <v>AddB</v>
          </cell>
          <cell r="O57" t="str">
            <v>}</v>
          </cell>
          <cell r="Q57" t="str">
            <v>7f81b5d9-4858-4146-b6a2-0a91551f2cbc-100</v>
          </cell>
          <cell r="R57" t="str">
            <v>Worksheet</v>
          </cell>
          <cell r="S57" t="str">
            <v>75d480e1-2e7f-47da-9c67-a429a059221f</v>
          </cell>
          <cell r="T57" t="str">
            <v>4b34e338-9bac-4a4d-a731-5da4a2b935f7</v>
          </cell>
          <cell r="U57">
            <v>919.35</v>
          </cell>
          <cell r="V57" t="e">
            <v>#NAME?</v>
          </cell>
          <cell r="W57">
            <v>0</v>
          </cell>
          <cell r="X57" t="str">
            <v>7f81b5d9-4858-4146-b6a2-0a91551f2cbc-0</v>
          </cell>
          <cell r="Y57">
            <v>8</v>
          </cell>
          <cell r="Z57" t="b">
            <v>0</v>
          </cell>
          <cell r="AA57" t="b">
            <v>0</v>
          </cell>
          <cell r="AB57" t="b">
            <v>0</v>
          </cell>
          <cell r="AC57">
            <v>0</v>
          </cell>
          <cell r="AD57" t="b">
            <v>0</v>
          </cell>
          <cell r="AE57">
            <v>0</v>
          </cell>
          <cell r="AF57" t="str">
            <v>F30 Prepayments</v>
          </cell>
          <cell r="AG57" t="str">
            <v>P</v>
          </cell>
          <cell r="AH57" t="str">
            <v>]</v>
          </cell>
          <cell r="AI57" t="str">
            <v/>
          </cell>
          <cell r="AJ57" t="str">
            <v>✓</v>
          </cell>
          <cell r="AK57" t="str">
            <v>Prepayment Asset</v>
          </cell>
          <cell r="AL57" t="str">
            <v>Complete</v>
          </cell>
          <cell r="AM57" t="str">
            <v>Adam Volcov</v>
          </cell>
          <cell r="AN57">
            <v>44896</v>
          </cell>
          <cell r="AO57" t="str">
            <v>O</v>
          </cell>
          <cell r="AP57" t="str">
            <v>P</v>
          </cell>
          <cell r="AQ57" t="str">
            <v>Q</v>
          </cell>
        </row>
        <row r="58">
          <cell r="C58" t="str">
            <v>b576f74f-e506-430b-bee8-0b0f51817e7e</v>
          </cell>
          <cell r="D58">
            <v>25</v>
          </cell>
          <cell r="E58">
            <v>2</v>
          </cell>
          <cell r="F58" t="str">
            <v>Line_2</v>
          </cell>
          <cell r="G58" t="str">
            <v>AddB</v>
          </cell>
          <cell r="I58" t="str">
            <v>Stock on Hand (631)</v>
          </cell>
          <cell r="J58">
            <v>36000</v>
          </cell>
          <cell r="K58">
            <v>36000</v>
          </cell>
          <cell r="L58">
            <v>0</v>
          </cell>
          <cell r="M58">
            <v>0</v>
          </cell>
          <cell r="N58" t="str">
            <v>–</v>
          </cell>
          <cell r="O58" t="str">
            <v>Add</v>
          </cell>
          <cell r="P58">
            <v>1</v>
          </cell>
          <cell r="W58" t="str">
            <v>NA</v>
          </cell>
          <cell r="Y58">
            <v>8</v>
          </cell>
          <cell r="Z58" t="b">
            <v>0</v>
          </cell>
          <cell r="AA58" t="b">
            <v>0</v>
          </cell>
          <cell r="AB58" t="b">
            <v>0</v>
          </cell>
          <cell r="AC58">
            <v>0</v>
          </cell>
          <cell r="AD58" t="b">
            <v>1</v>
          </cell>
          <cell r="AG58" t="str">
            <v>P</v>
          </cell>
          <cell r="AH58" t="str">
            <v/>
          </cell>
          <cell r="AI58">
            <v>0</v>
          </cell>
          <cell r="AL58" t="str">
            <v/>
          </cell>
        </row>
        <row r="59">
          <cell r="C59" t="str">
            <v>b576f74f-e506-430b-bee8-0b0f51817e7e</v>
          </cell>
          <cell r="D59">
            <v>25</v>
          </cell>
          <cell r="E59">
            <v>100</v>
          </cell>
          <cell r="G59" t="str">
            <v>AddB</v>
          </cell>
          <cell r="O59" t="str">
            <v>}</v>
          </cell>
          <cell r="Q59" t="str">
            <v>b576f74f-e506-430b-bee8-0b0f51817e7e-100</v>
          </cell>
          <cell r="R59" t="str">
            <v>Worksheet</v>
          </cell>
          <cell r="S59" t="str">
            <v>00423441-cf4a-4355-9e31-2dd28f23e4a1</v>
          </cell>
          <cell r="T59" t="str">
            <v>9a57953c-24ad-4f94-b561-63d0597166b2</v>
          </cell>
          <cell r="U59">
            <v>36000</v>
          </cell>
          <cell r="V59" t="e">
            <v>#NAME?</v>
          </cell>
          <cell r="W59">
            <v>0</v>
          </cell>
          <cell r="X59" t="str">
            <v>b576f74f-e506-430b-bee8-0b0f51817e7e-0</v>
          </cell>
          <cell r="Y59">
            <v>8</v>
          </cell>
          <cell r="Z59" t="b">
            <v>0</v>
          </cell>
          <cell r="AA59" t="b">
            <v>0</v>
          </cell>
          <cell r="AB59" t="b">
            <v>0</v>
          </cell>
          <cell r="AC59">
            <v>0</v>
          </cell>
          <cell r="AD59" t="b">
            <v>0</v>
          </cell>
          <cell r="AE59">
            <v>0</v>
          </cell>
          <cell r="AF59" t="str">
            <v>F15-2 Stock on Hand</v>
          </cell>
          <cell r="AG59" t="str">
            <v>P</v>
          </cell>
          <cell r="AH59" t="str">
            <v>]</v>
          </cell>
          <cell r="AI59" t="str">
            <v/>
          </cell>
          <cell r="AJ59" t="str">
            <v>✓</v>
          </cell>
          <cell r="AK59" t="str">
            <v>Stock On Hand</v>
          </cell>
          <cell r="AL59" t="str">
            <v>Complete</v>
          </cell>
          <cell r="AM59" t="str">
            <v>Adam Volcov</v>
          </cell>
          <cell r="AN59">
            <v>44896</v>
          </cell>
          <cell r="AO59" t="str">
            <v>O</v>
          </cell>
          <cell r="AP59" t="str">
            <v>P</v>
          </cell>
          <cell r="AQ59" t="str">
            <v>Q</v>
          </cell>
        </row>
        <row r="60">
          <cell r="C60" t="str">
            <v>d841035f-7519-44d9-8fcb-0fc5a69bd19f</v>
          </cell>
          <cell r="D60">
            <v>27</v>
          </cell>
          <cell r="E60">
            <v>2</v>
          </cell>
          <cell r="F60" t="str">
            <v>Line_2</v>
          </cell>
          <cell r="G60" t="str">
            <v>AddB</v>
          </cell>
          <cell r="I60" t="str">
            <v>Borrowing Costs (701)</v>
          </cell>
          <cell r="J60">
            <v>242.49</v>
          </cell>
          <cell r="K60">
            <v>323.69</v>
          </cell>
          <cell r="L60">
            <v>-81.2</v>
          </cell>
          <cell r="M60">
            <v>-0.25085730173931853</v>
          </cell>
          <cell r="N60" t="str">
            <v>–</v>
          </cell>
          <cell r="O60" t="str">
            <v>Add</v>
          </cell>
          <cell r="P60">
            <v>1</v>
          </cell>
          <cell r="W60" t="str">
            <v>NA</v>
          </cell>
          <cell r="Y60">
            <v>8</v>
          </cell>
          <cell r="Z60" t="b">
            <v>0</v>
          </cell>
          <cell r="AA60" t="b">
            <v>0</v>
          </cell>
          <cell r="AB60" t="b">
            <v>0</v>
          </cell>
          <cell r="AC60">
            <v>0</v>
          </cell>
          <cell r="AD60" t="b">
            <v>1</v>
          </cell>
          <cell r="AG60" t="str">
            <v>P</v>
          </cell>
          <cell r="AH60" t="str">
            <v/>
          </cell>
          <cell r="AI60">
            <v>0</v>
          </cell>
          <cell r="AL60" t="str">
            <v/>
          </cell>
        </row>
        <row r="61">
          <cell r="C61" t="str">
            <v>d841035f-7519-44d9-8fcb-0fc5a69bd19f</v>
          </cell>
          <cell r="D61">
            <v>27</v>
          </cell>
          <cell r="E61">
            <v>100</v>
          </cell>
          <cell r="G61" t="str">
            <v>AddB</v>
          </cell>
          <cell r="O61" t="str">
            <v>}</v>
          </cell>
          <cell r="Q61" t="str">
            <v>d841035f-7519-44d9-8fcb-0fc5a69bd19f-100</v>
          </cell>
          <cell r="R61" t="str">
            <v>Worksheet</v>
          </cell>
          <cell r="S61" t="str">
            <v>5bd606b0-c1d3-44fa-85d6-5d1f8169ee00</v>
          </cell>
          <cell r="T61" t="str">
            <v>94da70b1-fb6f-451d-b573-996e2134e923</v>
          </cell>
          <cell r="U61">
            <v>242.49</v>
          </cell>
          <cell r="V61" t="e">
            <v>#N/A</v>
          </cell>
          <cell r="W61">
            <v>0</v>
          </cell>
          <cell r="X61" t="str">
            <v>d841035f-7519-44d9-8fcb-0fc5a69bd19f-0</v>
          </cell>
          <cell r="Y61">
            <v>8</v>
          </cell>
          <cell r="Z61" t="b">
            <v>0</v>
          </cell>
          <cell r="AA61" t="b">
            <v>0</v>
          </cell>
          <cell r="AB61" t="b">
            <v>0</v>
          </cell>
          <cell r="AC61">
            <v>0</v>
          </cell>
          <cell r="AD61" t="b">
            <v>0</v>
          </cell>
          <cell r="AE61">
            <v>0</v>
          </cell>
          <cell r="AF61" t="str">
            <v>G05 Borrowing Costs</v>
          </cell>
          <cell r="AG61" t="str">
            <v>P</v>
          </cell>
          <cell r="AH61" t="str">
            <v>]</v>
          </cell>
          <cell r="AI61" t="str">
            <v/>
          </cell>
          <cell r="AJ61" t="str">
            <v>✓</v>
          </cell>
          <cell r="AL61" t="str">
            <v>Complete</v>
          </cell>
          <cell r="AM61" t="str">
            <v>Adam Volcov</v>
          </cell>
          <cell r="AN61">
            <v>44873</v>
          </cell>
          <cell r="AO61" t="str">
            <v>O</v>
          </cell>
          <cell r="AP61" t="str">
            <v>P</v>
          </cell>
          <cell r="AQ61" t="str">
            <v>Q</v>
          </cell>
        </row>
        <row r="62">
          <cell r="C62" t="str">
            <v>37e3f031-24fa-4fef-af89-1526e71a67ab</v>
          </cell>
          <cell r="D62">
            <v>30</v>
          </cell>
          <cell r="E62">
            <v>2</v>
          </cell>
          <cell r="F62" t="str">
            <v>Line_2</v>
          </cell>
          <cell r="G62" t="str">
            <v>AddB</v>
          </cell>
          <cell r="I62" t="str">
            <v>Plant &amp; Equipment (715)</v>
          </cell>
          <cell r="J62">
            <v>17091.27</v>
          </cell>
          <cell r="K62">
            <v>0</v>
          </cell>
          <cell r="L62">
            <v>17091.27</v>
          </cell>
          <cell r="M62">
            <v>0</v>
          </cell>
          <cell r="N62" t="str">
            <v>–</v>
          </cell>
          <cell r="O62" t="str">
            <v>Add</v>
          </cell>
          <cell r="P62">
            <v>1</v>
          </cell>
          <cell r="W62" t="str">
            <v>NA</v>
          </cell>
          <cell r="Y62">
            <v>8</v>
          </cell>
          <cell r="Z62" t="b">
            <v>0</v>
          </cell>
          <cell r="AA62" t="b">
            <v>0</v>
          </cell>
          <cell r="AB62" t="b">
            <v>0</v>
          </cell>
          <cell r="AC62">
            <v>0</v>
          </cell>
          <cell r="AD62" t="b">
            <v>1</v>
          </cell>
          <cell r="AH62" t="str">
            <v/>
          </cell>
          <cell r="AI62">
            <v>0</v>
          </cell>
          <cell r="AL62" t="str">
            <v/>
          </cell>
        </row>
        <row r="63">
          <cell r="C63" t="str">
            <v>37e3f031-24fa-4fef-af89-1526e71a67ab</v>
          </cell>
          <cell r="D63">
            <v>30</v>
          </cell>
          <cell r="E63">
            <v>100</v>
          </cell>
          <cell r="G63" t="str">
            <v>AddB</v>
          </cell>
          <cell r="O63" t="str">
            <v>}</v>
          </cell>
          <cell r="Q63" t="str">
            <v>37e3f031-24fa-4fef-af89-1526e71a67ab-100</v>
          </cell>
          <cell r="R63" t="str">
            <v>LinkSheet</v>
          </cell>
          <cell r="S63" t="str">
            <v>fc220ba2-25fe-40ab-9b7b-e45ad4390009</v>
          </cell>
          <cell r="T63" t="str">
            <v>df15c8b5-4a3e-4550-868c-a5ed27eb4cef</v>
          </cell>
          <cell r="U63">
            <v>17091.27</v>
          </cell>
          <cell r="V63" t="e">
            <v>#N/A</v>
          </cell>
          <cell r="W63">
            <v>0</v>
          </cell>
          <cell r="X63" t="str">
            <v>37e3f031-24fa-4fef-af89-1526e71a67ab-0</v>
          </cell>
          <cell r="Y63">
            <v>8</v>
          </cell>
          <cell r="Z63" t="b">
            <v>0</v>
          </cell>
          <cell r="AA63" t="b">
            <v>0</v>
          </cell>
          <cell r="AB63" t="b">
            <v>0</v>
          </cell>
          <cell r="AC63">
            <v>0</v>
          </cell>
          <cell r="AD63" t="b">
            <v>0</v>
          </cell>
          <cell r="AE63">
            <v>0</v>
          </cell>
          <cell r="AF63" t="str">
            <v>G10 Fixed Assets Dep</v>
          </cell>
          <cell r="AG63" t="str">
            <v>P</v>
          </cell>
          <cell r="AH63" t="str">
            <v>]</v>
          </cell>
          <cell r="AI63" t="str">
            <v/>
          </cell>
          <cell r="AJ63" t="str">
            <v>✓</v>
          </cell>
          <cell r="AL63" t="str">
            <v>Complete</v>
          </cell>
          <cell r="AM63" t="str">
            <v>Adam Volcov</v>
          </cell>
          <cell r="AN63">
            <v>44896</v>
          </cell>
          <cell r="AO63" t="str">
            <v>O</v>
          </cell>
          <cell r="AP63" t="str">
            <v>P</v>
          </cell>
          <cell r="AQ63" t="str">
            <v>Q</v>
          </cell>
        </row>
        <row r="64">
          <cell r="C64" t="str">
            <v>a1051ad3-6ca5-40d0-a6ee-39a139b1c845</v>
          </cell>
          <cell r="D64">
            <v>31</v>
          </cell>
          <cell r="E64">
            <v>2</v>
          </cell>
          <cell r="F64" t="str">
            <v>Line_2</v>
          </cell>
          <cell r="G64" t="str">
            <v>AddB</v>
          </cell>
          <cell r="I64" t="str">
            <v>Less Accumulated Depreciation on Plant &amp; Equipment (716)</v>
          </cell>
          <cell r="J64">
            <v>-5817.22</v>
          </cell>
          <cell r="K64">
            <v>0</v>
          </cell>
          <cell r="L64">
            <v>-5817.22</v>
          </cell>
          <cell r="M64">
            <v>0</v>
          </cell>
          <cell r="N64">
            <v>0</v>
          </cell>
          <cell r="O64" t="str">
            <v>Add</v>
          </cell>
          <cell r="P64">
            <v>0</v>
          </cell>
          <cell r="W64" t="str">
            <v>NA</v>
          </cell>
          <cell r="Y64">
            <v>0</v>
          </cell>
          <cell r="Z64" t="b">
            <v>0</v>
          </cell>
          <cell r="AA64" t="b">
            <v>0</v>
          </cell>
          <cell r="AB64" t="b">
            <v>0</v>
          </cell>
          <cell r="AC64">
            <v>0</v>
          </cell>
          <cell r="AD64" t="b">
            <v>1</v>
          </cell>
          <cell r="AH64" t="str">
            <v/>
          </cell>
          <cell r="AI64">
            <v>0</v>
          </cell>
          <cell r="AL64" t="str">
            <v/>
          </cell>
        </row>
        <row r="65">
          <cell r="C65" t="str">
            <v>7c660d96-bbba-43e6-8106-5d3520151707</v>
          </cell>
          <cell r="D65">
            <v>32</v>
          </cell>
          <cell r="E65">
            <v>2</v>
          </cell>
          <cell r="F65" t="str">
            <v>Line_2</v>
          </cell>
          <cell r="G65" t="str">
            <v>AddB</v>
          </cell>
          <cell r="I65" t="str">
            <v>Motor Vehicles at Cost (717)</v>
          </cell>
          <cell r="J65">
            <v>42461</v>
          </cell>
          <cell r="K65">
            <v>0</v>
          </cell>
          <cell r="L65">
            <v>42461</v>
          </cell>
          <cell r="M65">
            <v>0</v>
          </cell>
          <cell r="N65" t="str">
            <v>–</v>
          </cell>
          <cell r="O65" t="str">
            <v>Add</v>
          </cell>
          <cell r="P65">
            <v>1</v>
          </cell>
          <cell r="W65" t="str">
            <v>NA</v>
          </cell>
          <cell r="Y65">
            <v>8</v>
          </cell>
          <cell r="Z65" t="b">
            <v>0</v>
          </cell>
          <cell r="AA65" t="b">
            <v>0</v>
          </cell>
          <cell r="AB65" t="b">
            <v>0</v>
          </cell>
          <cell r="AC65">
            <v>0</v>
          </cell>
          <cell r="AD65" t="b">
            <v>1</v>
          </cell>
          <cell r="AH65" t="str">
            <v/>
          </cell>
          <cell r="AI65">
            <v>0</v>
          </cell>
          <cell r="AL65" t="str">
            <v/>
          </cell>
        </row>
        <row r="66">
          <cell r="C66" t="str">
            <v>7c660d96-bbba-43e6-8106-5d3520151707</v>
          </cell>
          <cell r="D66">
            <v>32</v>
          </cell>
          <cell r="E66">
            <v>100</v>
          </cell>
          <cell r="G66" t="str">
            <v>AddB</v>
          </cell>
          <cell r="O66" t="str">
            <v>}</v>
          </cell>
          <cell r="Q66" t="str">
            <v>7c660d96-bbba-43e6-8106-5d3520151707-100</v>
          </cell>
          <cell r="R66" t="str">
            <v>LinkSheet</v>
          </cell>
          <cell r="S66" t="str">
            <v>fc220ba2-25fe-40ab-9b7b-e45ad4390009</v>
          </cell>
          <cell r="T66" t="str">
            <v>df15c8b5-4a3e-4550-868c-a5ed27eb4cef</v>
          </cell>
          <cell r="U66">
            <v>42461</v>
          </cell>
          <cell r="V66" t="e">
            <v>#N/A</v>
          </cell>
          <cell r="W66">
            <v>0</v>
          </cell>
          <cell r="X66" t="str">
            <v>7c660d96-bbba-43e6-8106-5d3520151707-0</v>
          </cell>
          <cell r="Y66">
            <v>8</v>
          </cell>
          <cell r="Z66" t="b">
            <v>0</v>
          </cell>
          <cell r="AA66" t="b">
            <v>0</v>
          </cell>
          <cell r="AB66" t="b">
            <v>0</v>
          </cell>
          <cell r="AC66">
            <v>0</v>
          </cell>
          <cell r="AD66" t="b">
            <v>0</v>
          </cell>
          <cell r="AE66">
            <v>0</v>
          </cell>
          <cell r="AF66" t="str">
            <v>G10 Fixed Assets Dep</v>
          </cell>
          <cell r="AG66" t="str">
            <v>P</v>
          </cell>
          <cell r="AH66" t="str">
            <v>]</v>
          </cell>
          <cell r="AI66" t="str">
            <v/>
          </cell>
          <cell r="AJ66" t="str">
            <v>✓</v>
          </cell>
          <cell r="AL66" t="str">
            <v>Complete</v>
          </cell>
          <cell r="AM66" t="str">
            <v>Adam Volcov</v>
          </cell>
          <cell r="AN66">
            <v>44896</v>
          </cell>
          <cell r="AO66" t="str">
            <v>O</v>
          </cell>
          <cell r="AP66" t="str">
            <v>P</v>
          </cell>
          <cell r="AQ66" t="str">
            <v>Q</v>
          </cell>
        </row>
        <row r="67">
          <cell r="C67" t="str">
            <v>42eae23f-1c6d-4116-84a7-67bded23de27</v>
          </cell>
          <cell r="D67">
            <v>33</v>
          </cell>
          <cell r="E67">
            <v>2</v>
          </cell>
          <cell r="F67" t="str">
            <v>Line_2</v>
          </cell>
          <cell r="G67" t="str">
            <v>AddB</v>
          </cell>
          <cell r="I67" t="str">
            <v>Less Accumulated Depreciation on MV at Cost (718)</v>
          </cell>
          <cell r="J67">
            <v>-11676.63</v>
          </cell>
          <cell r="K67">
            <v>0</v>
          </cell>
          <cell r="L67">
            <v>-11676.63</v>
          </cell>
          <cell r="M67">
            <v>0</v>
          </cell>
          <cell r="N67">
            <v>0</v>
          </cell>
          <cell r="O67" t="str">
            <v>Add</v>
          </cell>
          <cell r="P67">
            <v>0</v>
          </cell>
          <cell r="W67" t="str">
            <v>NA</v>
          </cell>
          <cell r="Y67">
            <v>0</v>
          </cell>
          <cell r="Z67" t="b">
            <v>0</v>
          </cell>
          <cell r="AA67" t="b">
            <v>0</v>
          </cell>
          <cell r="AB67" t="b">
            <v>0</v>
          </cell>
          <cell r="AC67">
            <v>0</v>
          </cell>
          <cell r="AD67" t="b">
            <v>1</v>
          </cell>
          <cell r="AH67" t="str">
            <v/>
          </cell>
          <cell r="AI67">
            <v>0</v>
          </cell>
          <cell r="AL67" t="str">
            <v/>
          </cell>
        </row>
        <row r="68">
          <cell r="C68" t="str">
            <v>f5c61384-339f-46f4-a18c-02d65815ab42</v>
          </cell>
          <cell r="D68">
            <v>37</v>
          </cell>
          <cell r="E68">
            <v>2</v>
          </cell>
          <cell r="F68" t="str">
            <v>Line_2</v>
          </cell>
          <cell r="G68" t="str">
            <v>AddB</v>
          </cell>
          <cell r="I68" t="str">
            <v>Small Business Pool (725)</v>
          </cell>
          <cell r="J68">
            <v>0</v>
          </cell>
          <cell r="K68">
            <v>50000.84</v>
          </cell>
          <cell r="L68">
            <v>-50000.84</v>
          </cell>
          <cell r="M68">
            <v>-1</v>
          </cell>
          <cell r="N68">
            <v>0</v>
          </cell>
          <cell r="O68" t="str">
            <v>Add</v>
          </cell>
          <cell r="P68">
            <v>0</v>
          </cell>
          <cell r="W68" t="str">
            <v>NA</v>
          </cell>
          <cell r="Y68">
            <v>0</v>
          </cell>
          <cell r="Z68" t="b">
            <v>0</v>
          </cell>
          <cell r="AA68" t="b">
            <v>0</v>
          </cell>
          <cell r="AB68" t="b">
            <v>0</v>
          </cell>
          <cell r="AC68">
            <v>0</v>
          </cell>
          <cell r="AD68" t="b">
            <v>1</v>
          </cell>
          <cell r="AG68" t="str">
            <v>P</v>
          </cell>
          <cell r="AH68" t="str">
            <v/>
          </cell>
          <cell r="AI68">
            <v>0</v>
          </cell>
          <cell r="AL68" t="str">
            <v/>
          </cell>
        </row>
        <row r="69">
          <cell r="C69" t="str">
            <v>eac12d57-e632-4b0b-950f-8d34584776f4</v>
          </cell>
          <cell r="D69">
            <v>39</v>
          </cell>
          <cell r="E69">
            <v>2</v>
          </cell>
          <cell r="F69" t="str">
            <v>Line_2</v>
          </cell>
          <cell r="G69" t="str">
            <v>AddB</v>
          </cell>
          <cell r="I69" t="str">
            <v>Shopify Payment Balance (SH-00000)</v>
          </cell>
          <cell r="J69">
            <v>1869.13</v>
          </cell>
          <cell r="K69">
            <v>0</v>
          </cell>
          <cell r="L69">
            <v>1869.13</v>
          </cell>
          <cell r="M69">
            <v>0</v>
          </cell>
          <cell r="N69" t="str">
            <v>–</v>
          </cell>
          <cell r="O69" t="str">
            <v>Add</v>
          </cell>
          <cell r="P69">
            <v>1</v>
          </cell>
          <cell r="W69" t="str">
            <v>NA</v>
          </cell>
          <cell r="Y69">
            <v>8</v>
          </cell>
          <cell r="Z69" t="b">
            <v>0</v>
          </cell>
          <cell r="AA69" t="b">
            <v>0</v>
          </cell>
          <cell r="AB69" t="b">
            <v>0</v>
          </cell>
          <cell r="AC69">
            <v>0</v>
          </cell>
          <cell r="AD69" t="b">
            <v>1</v>
          </cell>
          <cell r="AG69" t="str">
            <v>P</v>
          </cell>
          <cell r="AH69" t="str">
            <v/>
          </cell>
          <cell r="AI69">
            <v>0</v>
          </cell>
          <cell r="AL69" t="str">
            <v/>
          </cell>
        </row>
        <row r="70">
          <cell r="C70" t="str">
            <v>eac12d57-e632-4b0b-950f-8d34584776f4</v>
          </cell>
          <cell r="D70">
            <v>39</v>
          </cell>
          <cell r="E70">
            <v>100</v>
          </cell>
          <cell r="G70" t="str">
            <v>AddB</v>
          </cell>
          <cell r="O70" t="str">
            <v>}</v>
          </cell>
          <cell r="Q70" t="str">
            <v>eac12d57-e632-4b0b-950f-8d34584776f4-100</v>
          </cell>
          <cell r="R70" t="str">
            <v>Worksheet</v>
          </cell>
          <cell r="S70" t="str">
            <v>4940d07c-b17d-419b-af55-3567910abcc2</v>
          </cell>
          <cell r="T70" t="str">
            <v>5176ef2d-dddd-4d01-a079-1b795620e4b5</v>
          </cell>
          <cell r="U70">
            <v>1869.13</v>
          </cell>
          <cell r="V70" t="e">
            <v>#NAME?</v>
          </cell>
          <cell r="W70">
            <v>0</v>
          </cell>
          <cell r="X70" t="str">
            <v>eac12d57-e632-4b0b-950f-8d34584776f4-0</v>
          </cell>
          <cell r="Y70">
            <v>8</v>
          </cell>
          <cell r="Z70" t="b">
            <v>0</v>
          </cell>
          <cell r="AA70" t="b">
            <v>0</v>
          </cell>
          <cell r="AB70" t="b">
            <v>0</v>
          </cell>
          <cell r="AC70">
            <v>0</v>
          </cell>
          <cell r="AD70" t="b">
            <v>0</v>
          </cell>
          <cell r="AE70" t="str">
            <v/>
          </cell>
          <cell r="AF70" t="str">
            <v>G25-3 Other Assets</v>
          </cell>
          <cell r="AG70" t="str">
            <v>P</v>
          </cell>
          <cell r="AH70" t="str">
            <v>]</v>
          </cell>
          <cell r="AI70" t="str">
            <v/>
          </cell>
          <cell r="AJ70" t="str">
            <v/>
          </cell>
          <cell r="AK70" t="str">
            <v>Other Assets</v>
          </cell>
          <cell r="AL70" t="str">
            <v>Complete</v>
          </cell>
          <cell r="AM70" t="str">
            <v>Adam Volcov</v>
          </cell>
          <cell r="AN70">
            <v>44896</v>
          </cell>
          <cell r="AO70" t="str">
            <v>O</v>
          </cell>
          <cell r="AP70" t="str">
            <v>P</v>
          </cell>
          <cell r="AQ70" t="str">
            <v>Q</v>
          </cell>
        </row>
        <row r="71">
          <cell r="C71" t="str">
            <v>ce1c9e68-684e-47f4-ae5f-dfdbff8424f3</v>
          </cell>
          <cell r="D71">
            <v>41</v>
          </cell>
          <cell r="E71">
            <v>2</v>
          </cell>
          <cell r="F71" t="str">
            <v>Line_2</v>
          </cell>
          <cell r="G71" t="str">
            <v>AddB</v>
          </cell>
          <cell r="I71" t="str">
            <v>Shopify Other Payment Clearing (SH-60001)</v>
          </cell>
          <cell r="J71">
            <v>549.12</v>
          </cell>
          <cell r="K71">
            <v>0</v>
          </cell>
          <cell r="L71">
            <v>549.12</v>
          </cell>
          <cell r="M71">
            <v>0</v>
          </cell>
          <cell r="N71" t="str">
            <v>–</v>
          </cell>
          <cell r="O71" t="str">
            <v>Add</v>
          </cell>
          <cell r="P71">
            <v>1</v>
          </cell>
          <cell r="W71" t="str">
            <v>NA</v>
          </cell>
          <cell r="Y71">
            <v>8</v>
          </cell>
          <cell r="Z71" t="b">
            <v>0</v>
          </cell>
          <cell r="AA71" t="b">
            <v>0</v>
          </cell>
          <cell r="AB71" t="b">
            <v>0</v>
          </cell>
          <cell r="AC71">
            <v>0</v>
          </cell>
          <cell r="AD71" t="b">
            <v>1</v>
          </cell>
          <cell r="AG71" t="str">
            <v>P</v>
          </cell>
          <cell r="AH71" t="str">
            <v/>
          </cell>
          <cell r="AI71">
            <v>0</v>
          </cell>
          <cell r="AL71" t="str">
            <v/>
          </cell>
        </row>
        <row r="72">
          <cell r="C72" t="str">
            <v>ce1c9e68-684e-47f4-ae5f-dfdbff8424f3</v>
          </cell>
          <cell r="D72">
            <v>41</v>
          </cell>
          <cell r="E72">
            <v>100</v>
          </cell>
          <cell r="G72" t="str">
            <v>AddB</v>
          </cell>
          <cell r="O72" t="str">
            <v>}</v>
          </cell>
          <cell r="Q72" t="str">
            <v>ce1c9e68-684e-47f4-ae5f-dfdbff8424f3-100</v>
          </cell>
          <cell r="R72" t="str">
            <v>LinkSheet</v>
          </cell>
          <cell r="S72" t="str">
            <v>4940d07c-b17d-419b-af55-3567910abcc2</v>
          </cell>
          <cell r="T72" t="str">
            <v>5176ef2d-dddd-4d01-a079-1b795620e4b5</v>
          </cell>
          <cell r="U72">
            <v>549.12</v>
          </cell>
          <cell r="V72" t="e">
            <v>#N/A</v>
          </cell>
          <cell r="W72">
            <v>0</v>
          </cell>
          <cell r="X72" t="str">
            <v>ce1c9e68-684e-47f4-ae5f-dfdbff8424f3-0</v>
          </cell>
          <cell r="Y72">
            <v>8</v>
          </cell>
          <cell r="Z72" t="b">
            <v>0</v>
          </cell>
          <cell r="AA72" t="b">
            <v>0</v>
          </cell>
          <cell r="AB72" t="b">
            <v>0</v>
          </cell>
          <cell r="AC72">
            <v>0</v>
          </cell>
          <cell r="AD72" t="b">
            <v>0</v>
          </cell>
          <cell r="AE72" t="str">
            <v/>
          </cell>
          <cell r="AF72" t="str">
            <v>G25-3 Other Assets</v>
          </cell>
          <cell r="AG72" t="str">
            <v>P</v>
          </cell>
          <cell r="AH72" t="str">
            <v>]</v>
          </cell>
          <cell r="AI72" t="str">
            <v/>
          </cell>
          <cell r="AJ72" t="str">
            <v/>
          </cell>
          <cell r="AL72" t="str">
            <v>Complete</v>
          </cell>
          <cell r="AM72" t="str">
            <v>Adam Volcov</v>
          </cell>
          <cell r="AN72">
            <v>44896</v>
          </cell>
          <cell r="AO72" t="str">
            <v>O</v>
          </cell>
          <cell r="AP72" t="str">
            <v>P</v>
          </cell>
          <cell r="AQ72" t="str">
            <v>Q</v>
          </cell>
        </row>
        <row r="73">
          <cell r="C73" t="str">
            <v>ASSETTotal</v>
          </cell>
          <cell r="D73">
            <v>43</v>
          </cell>
          <cell r="E73">
            <v>1</v>
          </cell>
          <cell r="F73" t="str">
            <v>Total_1</v>
          </cell>
          <cell r="G73" t="str">
            <v>AddB</v>
          </cell>
          <cell r="I73" t="str">
            <v>Total ASSET</v>
          </cell>
          <cell r="J73">
            <v>142382.37</v>
          </cell>
          <cell r="K73">
            <v>158559.46</v>
          </cell>
          <cell r="L73">
            <v>-16177.09</v>
          </cell>
          <cell r="M73">
            <v>-0.10202538530340606</v>
          </cell>
          <cell r="N73">
            <v>0</v>
          </cell>
          <cell r="O73" t="str">
            <v>Add</v>
          </cell>
          <cell r="P73">
            <v>0</v>
          </cell>
          <cell r="W73" t="str">
            <v>NA</v>
          </cell>
          <cell r="Y73">
            <v>0</v>
          </cell>
          <cell r="Z73" t="b">
            <v>0</v>
          </cell>
          <cell r="AA73" t="b">
            <v>0</v>
          </cell>
          <cell r="AB73" t="b">
            <v>0</v>
          </cell>
          <cell r="AC73">
            <v>0</v>
          </cell>
          <cell r="AD73" t="b">
            <v>1</v>
          </cell>
          <cell r="AG73" t="str">
            <v>P</v>
          </cell>
          <cell r="AH73" t="str">
            <v/>
          </cell>
          <cell r="AI73">
            <v>0</v>
          </cell>
          <cell r="AL73" t="str">
            <v/>
          </cell>
        </row>
        <row r="74">
          <cell r="C74" t="str">
            <v>LIABILITY</v>
          </cell>
          <cell r="D74">
            <v>44</v>
          </cell>
          <cell r="E74">
            <v>1</v>
          </cell>
          <cell r="F74" t="str">
            <v>Header_1</v>
          </cell>
          <cell r="G74" t="str">
            <v>AddC</v>
          </cell>
          <cell r="I74" t="str">
            <v>LIABILITY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P74">
            <v>0</v>
          </cell>
          <cell r="W74" t="str">
            <v>NA</v>
          </cell>
          <cell r="Y74">
            <v>0</v>
          </cell>
          <cell r="Z74" t="b">
            <v>0</v>
          </cell>
          <cell r="AA74" t="b">
            <v>0</v>
          </cell>
          <cell r="AB74" t="b">
            <v>0</v>
          </cell>
          <cell r="AC74">
            <v>0</v>
          </cell>
          <cell r="AD74" t="b">
            <v>1</v>
          </cell>
          <cell r="AH74" t="str">
            <v/>
          </cell>
          <cell r="AI74">
            <v>0</v>
          </cell>
          <cell r="AL74" t="str">
            <v/>
          </cell>
        </row>
        <row r="75">
          <cell r="C75" t="str">
            <v>87f76231-9e2e-48cb-ae2f-c3c5c8c8affb</v>
          </cell>
          <cell r="D75">
            <v>45</v>
          </cell>
          <cell r="E75">
            <v>2</v>
          </cell>
          <cell r="F75" t="str">
            <v>Line_2</v>
          </cell>
          <cell r="G75" t="str">
            <v>AddC</v>
          </cell>
          <cell r="H75" t="str">
            <v>ImportCreditors</v>
          </cell>
          <cell r="I75" t="str">
            <v>Accounts Payable (800)</v>
          </cell>
          <cell r="J75">
            <v>31154.66</v>
          </cell>
          <cell r="K75">
            <v>21158.55</v>
          </cell>
          <cell r="L75">
            <v>9996.11</v>
          </cell>
          <cell r="M75">
            <v>0.47243832871345154</v>
          </cell>
          <cell r="N75" t="str">
            <v>–</v>
          </cell>
          <cell r="O75" t="str">
            <v>Add</v>
          </cell>
          <cell r="P75">
            <v>1</v>
          </cell>
          <cell r="W75" t="str">
            <v>NA</v>
          </cell>
          <cell r="Y75">
            <v>8</v>
          </cell>
          <cell r="Z75" t="b">
            <v>0</v>
          </cell>
          <cell r="AA75" t="b">
            <v>0</v>
          </cell>
          <cell r="AB75" t="b">
            <v>0</v>
          </cell>
          <cell r="AC75">
            <v>0</v>
          </cell>
          <cell r="AD75" t="b">
            <v>1</v>
          </cell>
          <cell r="AG75" t="str">
            <v>P</v>
          </cell>
          <cell r="AH75" t="str">
            <v/>
          </cell>
          <cell r="AI75">
            <v>0</v>
          </cell>
          <cell r="AL75" t="str">
            <v/>
          </cell>
        </row>
        <row r="76">
          <cell r="C76" t="str">
            <v>87f76231-9e2e-48cb-ae2f-c3c5c8c8affb</v>
          </cell>
          <cell r="D76">
            <v>45</v>
          </cell>
          <cell r="E76">
            <v>100</v>
          </cell>
          <cell r="G76" t="str">
            <v>AddC</v>
          </cell>
          <cell r="H76" t="str">
            <v>ImportCreditors</v>
          </cell>
          <cell r="O76" t="str">
            <v>}</v>
          </cell>
          <cell r="Q76" t="str">
            <v>87f76231-9e2e-48cb-ae2f-c3c5c8c8affb-100</v>
          </cell>
          <cell r="R76" t="str">
            <v>Worksheet</v>
          </cell>
          <cell r="S76" t="str">
            <v>53fe6b94-5ce5-41eb-ae1f-d8416cfcaec4</v>
          </cell>
          <cell r="T76" t="str">
            <v>abf281d3-da01-45ed-862d-6cbe17019916</v>
          </cell>
          <cell r="U76">
            <v>31154.66</v>
          </cell>
          <cell r="V76" t="e">
            <v>#NAME?</v>
          </cell>
          <cell r="W76">
            <v>0</v>
          </cell>
          <cell r="X76" t="str">
            <v>87f76231-9e2e-48cb-ae2f-c3c5c8c8affb-0</v>
          </cell>
          <cell r="Y76">
            <v>8</v>
          </cell>
          <cell r="Z76" t="b">
            <v>0</v>
          </cell>
          <cell r="AA76" t="b">
            <v>0</v>
          </cell>
          <cell r="AB76" t="b">
            <v>0</v>
          </cell>
          <cell r="AC76">
            <v>0</v>
          </cell>
          <cell r="AD76" t="b">
            <v>0</v>
          </cell>
          <cell r="AE76">
            <v>0</v>
          </cell>
          <cell r="AF76" t="str">
            <v>H05 Trade Creditors</v>
          </cell>
          <cell r="AG76" t="str">
            <v>P</v>
          </cell>
          <cell r="AH76" t="str">
            <v>]</v>
          </cell>
          <cell r="AI76" t="str">
            <v/>
          </cell>
          <cell r="AJ76" t="str">
            <v>✓</v>
          </cell>
          <cell r="AK76" t="str">
            <v>Trade Creditors</v>
          </cell>
          <cell r="AL76" t="str">
            <v>Complete</v>
          </cell>
          <cell r="AM76" t="str">
            <v>Adam Volcov</v>
          </cell>
          <cell r="AN76">
            <v>44873</v>
          </cell>
          <cell r="AO76" t="str">
            <v>O</v>
          </cell>
          <cell r="AP76" t="str">
            <v>P</v>
          </cell>
          <cell r="AQ76" t="str">
            <v>Q</v>
          </cell>
        </row>
        <row r="77">
          <cell r="C77" t="str">
            <v>8495d3dd-6b2e-456a-ba05-44213e382b25</v>
          </cell>
          <cell r="D77">
            <v>46</v>
          </cell>
          <cell r="E77">
            <v>2</v>
          </cell>
          <cell r="F77" t="str">
            <v>Line_2</v>
          </cell>
          <cell r="G77" t="str">
            <v>AddC</v>
          </cell>
          <cell r="I77" t="str">
            <v>Accounts Payable - Manual (800 -A)</v>
          </cell>
          <cell r="J77">
            <v>0</v>
          </cell>
          <cell r="K77">
            <v>-24.89</v>
          </cell>
          <cell r="L77">
            <v>24.89</v>
          </cell>
          <cell r="M77">
            <v>-1</v>
          </cell>
          <cell r="N77">
            <v>0</v>
          </cell>
          <cell r="O77" t="str">
            <v>Add</v>
          </cell>
          <cell r="P77">
            <v>0</v>
          </cell>
          <cell r="W77" t="str">
            <v>NA</v>
          </cell>
          <cell r="Y77">
            <v>0</v>
          </cell>
          <cell r="Z77" t="b">
            <v>0</v>
          </cell>
          <cell r="AA77" t="b">
            <v>0</v>
          </cell>
          <cell r="AB77" t="b">
            <v>0</v>
          </cell>
          <cell r="AC77">
            <v>0</v>
          </cell>
          <cell r="AD77" t="b">
            <v>1</v>
          </cell>
          <cell r="AH77" t="str">
            <v/>
          </cell>
          <cell r="AI77">
            <v>0</v>
          </cell>
          <cell r="AL77" t="str">
            <v/>
          </cell>
        </row>
        <row r="78">
          <cell r="C78" t="str">
            <v>3b330351-8a44-4f49-9188-6f7ab62c8bc4</v>
          </cell>
          <cell r="D78">
            <v>50</v>
          </cell>
          <cell r="E78">
            <v>2</v>
          </cell>
          <cell r="F78" t="str">
            <v>Line_2</v>
          </cell>
          <cell r="G78" t="str">
            <v>AddC</v>
          </cell>
          <cell r="I78" t="str">
            <v>Rev for Wedding Not Supplied Prior 1 July 2021 (809)</v>
          </cell>
          <cell r="J78">
            <v>0</v>
          </cell>
          <cell r="K78">
            <v>55540</v>
          </cell>
          <cell r="L78">
            <v>-55540</v>
          </cell>
          <cell r="M78">
            <v>-1</v>
          </cell>
          <cell r="N78">
            <v>0</v>
          </cell>
          <cell r="O78" t="str">
            <v>Add</v>
          </cell>
          <cell r="P78">
            <v>0</v>
          </cell>
          <cell r="W78" t="str">
            <v>NA</v>
          </cell>
          <cell r="Y78">
            <v>0</v>
          </cell>
          <cell r="Z78" t="b">
            <v>0</v>
          </cell>
          <cell r="AA78" t="b">
            <v>0</v>
          </cell>
          <cell r="AB78" t="b">
            <v>0</v>
          </cell>
          <cell r="AC78">
            <v>0</v>
          </cell>
          <cell r="AD78" t="b">
            <v>1</v>
          </cell>
          <cell r="AG78" t="str">
            <v>P</v>
          </cell>
          <cell r="AH78" t="str">
            <v/>
          </cell>
          <cell r="AI78">
            <v>0</v>
          </cell>
          <cell r="AL78" t="str">
            <v/>
          </cell>
        </row>
        <row r="79">
          <cell r="C79" t="str">
            <v>2f2c1bee-52f3-4edd-a5e1-e19191f004a8</v>
          </cell>
          <cell r="D79">
            <v>55</v>
          </cell>
          <cell r="E79">
            <v>2</v>
          </cell>
          <cell r="F79" t="str">
            <v>Line_2</v>
          </cell>
          <cell r="G79" t="str">
            <v>AddC</v>
          </cell>
          <cell r="I79" t="str">
            <v>Rev for Weddings Not  Supplied July - Sept 2022 (810d)</v>
          </cell>
          <cell r="J79">
            <v>45440.07</v>
          </cell>
          <cell r="K79">
            <v>0</v>
          </cell>
          <cell r="L79">
            <v>45440.07</v>
          </cell>
          <cell r="M79">
            <v>0</v>
          </cell>
          <cell r="N79" t="str">
            <v>–</v>
          </cell>
          <cell r="O79" t="str">
            <v>Add</v>
          </cell>
          <cell r="P79">
            <v>1</v>
          </cell>
          <cell r="W79" t="str">
            <v>NA</v>
          </cell>
          <cell r="Y79">
            <v>8</v>
          </cell>
          <cell r="Z79" t="b">
            <v>0</v>
          </cell>
          <cell r="AA79" t="b">
            <v>0</v>
          </cell>
          <cell r="AB79" t="b">
            <v>0</v>
          </cell>
          <cell r="AC79">
            <v>0</v>
          </cell>
          <cell r="AD79" t="b">
            <v>1</v>
          </cell>
          <cell r="AG79" t="str">
            <v>P</v>
          </cell>
          <cell r="AH79" t="str">
            <v/>
          </cell>
          <cell r="AI79">
            <v>0</v>
          </cell>
          <cell r="AL79" t="str">
            <v/>
          </cell>
        </row>
        <row r="80">
          <cell r="C80" t="str">
            <v>2f2c1bee-52f3-4edd-a5e1-e19191f004a8</v>
          </cell>
          <cell r="D80">
            <v>55</v>
          </cell>
          <cell r="E80">
            <v>100</v>
          </cell>
          <cell r="G80" t="str">
            <v>AddC</v>
          </cell>
          <cell r="O80" t="str">
            <v>}</v>
          </cell>
          <cell r="Q80" t="str">
            <v>2f2c1bee-52f3-4edd-a5e1-e19191f004a8-100</v>
          </cell>
          <cell r="R80" t="str">
            <v>Worksheet</v>
          </cell>
          <cell r="S80" t="str">
            <v>4efa881f-352b-4f62-bacd-6bfd1a5480ab</v>
          </cell>
          <cell r="T80" t="str">
            <v>8eb5a583-f7d0-48c6-98c0-a151a55edcb0</v>
          </cell>
          <cell r="U80">
            <v>45440.07</v>
          </cell>
          <cell r="V80" t="e">
            <v>#NAME?</v>
          </cell>
          <cell r="W80">
            <v>0</v>
          </cell>
          <cell r="X80" t="str">
            <v>2f2c1bee-52f3-4edd-a5e1-e19191f004a8-0</v>
          </cell>
          <cell r="Y80">
            <v>8</v>
          </cell>
          <cell r="Z80" t="b">
            <v>0</v>
          </cell>
          <cell r="AA80" t="b">
            <v>0</v>
          </cell>
          <cell r="AB80" t="b">
            <v>0</v>
          </cell>
          <cell r="AC80">
            <v>0</v>
          </cell>
          <cell r="AD80" t="b">
            <v>0</v>
          </cell>
          <cell r="AE80" t="str">
            <v/>
          </cell>
          <cell r="AF80" t="str">
            <v>H30-9 Other Liabilities</v>
          </cell>
          <cell r="AG80" t="str">
            <v>P</v>
          </cell>
          <cell r="AH80" t="str">
            <v>]</v>
          </cell>
          <cell r="AI80" t="str">
            <v/>
          </cell>
          <cell r="AJ80" t="str">
            <v/>
          </cell>
          <cell r="AK80" t="str">
            <v>Other Liabilities</v>
          </cell>
          <cell r="AL80" t="str">
            <v>Complete</v>
          </cell>
          <cell r="AM80" t="str">
            <v>Adam Volcov</v>
          </cell>
          <cell r="AN80">
            <v>44873</v>
          </cell>
          <cell r="AO80" t="str">
            <v>O</v>
          </cell>
          <cell r="AP80" t="str">
            <v>P</v>
          </cell>
          <cell r="AQ80" t="str">
            <v>Q</v>
          </cell>
        </row>
        <row r="81">
          <cell r="C81" t="str">
            <v>120c2fa2-d876-4164-bc00-8de73592b12e</v>
          </cell>
          <cell r="D81">
            <v>56</v>
          </cell>
          <cell r="E81">
            <v>2</v>
          </cell>
          <cell r="F81" t="str">
            <v>Line_2</v>
          </cell>
          <cell r="G81" t="str">
            <v>AddC</v>
          </cell>
          <cell r="I81" t="str">
            <v>Rev for Weddings not Supplied Oct - Dec 2022 (810e)</v>
          </cell>
          <cell r="J81">
            <v>10472.75</v>
          </cell>
          <cell r="K81">
            <v>0</v>
          </cell>
          <cell r="L81">
            <v>10472.75</v>
          </cell>
          <cell r="M81">
            <v>0</v>
          </cell>
          <cell r="N81" t="str">
            <v>–</v>
          </cell>
          <cell r="O81" t="str">
            <v>Add</v>
          </cell>
          <cell r="P81">
            <v>1</v>
          </cell>
          <cell r="W81" t="str">
            <v>NA</v>
          </cell>
          <cell r="Y81">
            <v>8</v>
          </cell>
          <cell r="Z81" t="b">
            <v>0</v>
          </cell>
          <cell r="AA81" t="b">
            <v>0</v>
          </cell>
          <cell r="AB81" t="b">
            <v>0</v>
          </cell>
          <cell r="AC81">
            <v>0</v>
          </cell>
          <cell r="AD81" t="b">
            <v>1</v>
          </cell>
          <cell r="AG81" t="str">
            <v>P</v>
          </cell>
          <cell r="AH81" t="str">
            <v/>
          </cell>
          <cell r="AI81">
            <v>0</v>
          </cell>
          <cell r="AL81" t="str">
            <v/>
          </cell>
        </row>
        <row r="82">
          <cell r="C82" t="str">
            <v>120c2fa2-d876-4164-bc00-8de73592b12e</v>
          </cell>
          <cell r="D82">
            <v>56</v>
          </cell>
          <cell r="E82">
            <v>100</v>
          </cell>
          <cell r="G82" t="str">
            <v>AddC</v>
          </cell>
          <cell r="O82" t="str">
            <v>}</v>
          </cell>
          <cell r="Q82" t="str">
            <v>120c2fa2-d876-4164-bc00-8de73592b12e-100</v>
          </cell>
          <cell r="R82" t="str">
            <v>LinkSheet</v>
          </cell>
          <cell r="S82" t="str">
            <v>4efa881f-352b-4f62-bacd-6bfd1a5480ab</v>
          </cell>
          <cell r="T82" t="str">
            <v>8eb5a583-f7d0-48c6-98c0-a151a55edcb0</v>
          </cell>
          <cell r="U82">
            <v>10472.75</v>
          </cell>
          <cell r="V82" t="e">
            <v>#N/A</v>
          </cell>
          <cell r="W82">
            <v>0</v>
          </cell>
          <cell r="X82" t="str">
            <v>120c2fa2-d876-4164-bc00-8de73592b12e-0</v>
          </cell>
          <cell r="Y82">
            <v>8</v>
          </cell>
          <cell r="Z82" t="b">
            <v>0</v>
          </cell>
          <cell r="AA82" t="b">
            <v>0</v>
          </cell>
          <cell r="AB82" t="b">
            <v>0</v>
          </cell>
          <cell r="AC82">
            <v>0</v>
          </cell>
          <cell r="AD82" t="b">
            <v>0</v>
          </cell>
          <cell r="AE82" t="str">
            <v/>
          </cell>
          <cell r="AF82" t="str">
            <v>H30-9 Other Liabilities</v>
          </cell>
          <cell r="AG82" t="str">
            <v>P</v>
          </cell>
          <cell r="AH82" t="str">
            <v>]</v>
          </cell>
          <cell r="AI82" t="str">
            <v/>
          </cell>
          <cell r="AJ82" t="str">
            <v/>
          </cell>
          <cell r="AL82" t="str">
            <v>Complete</v>
          </cell>
          <cell r="AM82" t="str">
            <v>Adam Volcov</v>
          </cell>
          <cell r="AN82">
            <v>44873</v>
          </cell>
          <cell r="AO82" t="str">
            <v>O</v>
          </cell>
          <cell r="AP82" t="str">
            <v>P</v>
          </cell>
          <cell r="AQ82" t="str">
            <v>Q</v>
          </cell>
        </row>
        <row r="83">
          <cell r="C83" t="str">
            <v>743dedc8-0b0a-4f22-8b4c-3b96229b0591</v>
          </cell>
          <cell r="D83">
            <v>58</v>
          </cell>
          <cell r="E83">
            <v>2</v>
          </cell>
          <cell r="F83" t="str">
            <v>Line_2</v>
          </cell>
          <cell r="G83" t="str">
            <v>AddC</v>
          </cell>
          <cell r="I83" t="str">
            <v>Rev for Weddings not Supplied April - June 2023 (810g)</v>
          </cell>
          <cell r="J83">
            <v>727.28</v>
          </cell>
          <cell r="K83">
            <v>0</v>
          </cell>
          <cell r="L83">
            <v>727.28</v>
          </cell>
          <cell r="M83">
            <v>0</v>
          </cell>
          <cell r="N83" t="str">
            <v>–</v>
          </cell>
          <cell r="O83" t="str">
            <v>Add</v>
          </cell>
          <cell r="P83">
            <v>1</v>
          </cell>
          <cell r="W83" t="str">
            <v>NA</v>
          </cell>
          <cell r="Y83">
            <v>8</v>
          </cell>
          <cell r="Z83" t="b">
            <v>0</v>
          </cell>
          <cell r="AA83" t="b">
            <v>0</v>
          </cell>
          <cell r="AB83" t="b">
            <v>0</v>
          </cell>
          <cell r="AC83">
            <v>0</v>
          </cell>
          <cell r="AD83" t="b">
            <v>1</v>
          </cell>
          <cell r="AG83" t="str">
            <v>P</v>
          </cell>
          <cell r="AH83" t="str">
            <v/>
          </cell>
          <cell r="AI83">
            <v>0</v>
          </cell>
          <cell r="AL83" t="str">
            <v/>
          </cell>
        </row>
        <row r="84">
          <cell r="C84" t="str">
            <v>743dedc8-0b0a-4f22-8b4c-3b96229b0591</v>
          </cell>
          <cell r="D84">
            <v>58</v>
          </cell>
          <cell r="E84">
            <v>100</v>
          </cell>
          <cell r="G84" t="str">
            <v>AddC</v>
          </cell>
          <cell r="O84" t="str">
            <v>}</v>
          </cell>
          <cell r="Q84" t="str">
            <v>743dedc8-0b0a-4f22-8b4c-3b96229b0591-100</v>
          </cell>
          <cell r="R84" t="str">
            <v>LinkSheet</v>
          </cell>
          <cell r="S84" t="str">
            <v>4efa881f-352b-4f62-bacd-6bfd1a5480ab</v>
          </cell>
          <cell r="T84" t="str">
            <v>8eb5a583-f7d0-48c6-98c0-a151a55edcb0</v>
          </cell>
          <cell r="U84">
            <v>727.28</v>
          </cell>
          <cell r="V84" t="e">
            <v>#N/A</v>
          </cell>
          <cell r="W84">
            <v>0</v>
          </cell>
          <cell r="X84" t="str">
            <v>743dedc8-0b0a-4f22-8b4c-3b96229b0591-0</v>
          </cell>
          <cell r="Y84">
            <v>8</v>
          </cell>
          <cell r="Z84" t="b">
            <v>0</v>
          </cell>
          <cell r="AA84" t="b">
            <v>0</v>
          </cell>
          <cell r="AB84" t="b">
            <v>0</v>
          </cell>
          <cell r="AC84">
            <v>0</v>
          </cell>
          <cell r="AD84" t="b">
            <v>0</v>
          </cell>
          <cell r="AE84" t="str">
            <v/>
          </cell>
          <cell r="AF84" t="str">
            <v>H30-9 Other Liabilities</v>
          </cell>
          <cell r="AG84" t="str">
            <v>P</v>
          </cell>
          <cell r="AH84" t="str">
            <v>]</v>
          </cell>
          <cell r="AI84" t="str">
            <v/>
          </cell>
          <cell r="AJ84" t="str">
            <v/>
          </cell>
          <cell r="AL84" t="str">
            <v>Complete</v>
          </cell>
          <cell r="AM84" t="str">
            <v>Adam Volcov</v>
          </cell>
          <cell r="AN84">
            <v>44873</v>
          </cell>
          <cell r="AO84" t="str">
            <v>O</v>
          </cell>
          <cell r="AP84" t="str">
            <v>P</v>
          </cell>
          <cell r="AQ84" t="str">
            <v>Q</v>
          </cell>
        </row>
        <row r="85">
          <cell r="C85" t="str">
            <v>2f8ce898-83aa-4d9b-af91-8fac482b38e3</v>
          </cell>
          <cell r="D85">
            <v>59</v>
          </cell>
          <cell r="E85">
            <v>2</v>
          </cell>
          <cell r="F85" t="str">
            <v>Line_2</v>
          </cell>
          <cell r="G85" t="str">
            <v>AddC</v>
          </cell>
          <cell r="I85" t="str">
            <v>Rev for Weddings not Supplied July - Sept 2023 (810h)</v>
          </cell>
          <cell r="J85">
            <v>1363.65</v>
          </cell>
          <cell r="K85">
            <v>0</v>
          </cell>
          <cell r="L85">
            <v>1363.65</v>
          </cell>
          <cell r="M85">
            <v>0</v>
          </cell>
          <cell r="N85" t="str">
            <v>–</v>
          </cell>
          <cell r="O85" t="str">
            <v>Add</v>
          </cell>
          <cell r="P85">
            <v>1</v>
          </cell>
          <cell r="W85" t="str">
            <v>NA</v>
          </cell>
          <cell r="Y85">
            <v>8</v>
          </cell>
          <cell r="Z85" t="b">
            <v>0</v>
          </cell>
          <cell r="AA85" t="b">
            <v>0</v>
          </cell>
          <cell r="AB85" t="b">
            <v>0</v>
          </cell>
          <cell r="AC85">
            <v>0</v>
          </cell>
          <cell r="AD85" t="b">
            <v>1</v>
          </cell>
          <cell r="AG85" t="str">
            <v>P</v>
          </cell>
          <cell r="AH85" t="str">
            <v/>
          </cell>
          <cell r="AI85">
            <v>0</v>
          </cell>
          <cell r="AL85" t="str">
            <v/>
          </cell>
        </row>
        <row r="86">
          <cell r="C86" t="str">
            <v>2f8ce898-83aa-4d9b-af91-8fac482b38e3</v>
          </cell>
          <cell r="D86">
            <v>59</v>
          </cell>
          <cell r="E86">
            <v>100</v>
          </cell>
          <cell r="G86" t="str">
            <v>AddC</v>
          </cell>
          <cell r="O86" t="str">
            <v>}</v>
          </cell>
          <cell r="Q86" t="str">
            <v>2f8ce898-83aa-4d9b-af91-8fac482b38e3-100</v>
          </cell>
          <cell r="R86" t="str">
            <v>LinkSheet</v>
          </cell>
          <cell r="S86" t="str">
            <v>4efa881f-352b-4f62-bacd-6bfd1a5480ab</v>
          </cell>
          <cell r="T86" t="str">
            <v>8eb5a583-f7d0-48c6-98c0-a151a55edcb0</v>
          </cell>
          <cell r="U86">
            <v>1363.65</v>
          </cell>
          <cell r="V86" t="e">
            <v>#N/A</v>
          </cell>
          <cell r="W86">
            <v>0</v>
          </cell>
          <cell r="X86" t="str">
            <v>2f8ce898-83aa-4d9b-af91-8fac482b38e3-0</v>
          </cell>
          <cell r="Y86">
            <v>8</v>
          </cell>
          <cell r="Z86" t="b">
            <v>0</v>
          </cell>
          <cell r="AA86" t="b">
            <v>0</v>
          </cell>
          <cell r="AB86" t="b">
            <v>0</v>
          </cell>
          <cell r="AC86">
            <v>0</v>
          </cell>
          <cell r="AD86" t="b">
            <v>0</v>
          </cell>
          <cell r="AE86" t="str">
            <v/>
          </cell>
          <cell r="AF86" t="str">
            <v>H30-9 Other Liabilities</v>
          </cell>
          <cell r="AG86" t="str">
            <v>P</v>
          </cell>
          <cell r="AH86" t="str">
            <v>]</v>
          </cell>
          <cell r="AI86" t="str">
            <v/>
          </cell>
          <cell r="AJ86" t="str">
            <v/>
          </cell>
          <cell r="AL86" t="str">
            <v>Complete</v>
          </cell>
          <cell r="AM86" t="str">
            <v>Adam Volcov</v>
          </cell>
          <cell r="AN86">
            <v>44873</v>
          </cell>
          <cell r="AO86" t="str">
            <v>O</v>
          </cell>
          <cell r="AP86" t="str">
            <v>P</v>
          </cell>
          <cell r="AQ86" t="str">
            <v>Q</v>
          </cell>
        </row>
        <row r="87">
          <cell r="C87" t="str">
            <v>6399b0d5-94f8-4a56-b71f-4b01204fcd2a</v>
          </cell>
          <cell r="D87">
            <v>63</v>
          </cell>
          <cell r="E87">
            <v>2</v>
          </cell>
          <cell r="F87" t="str">
            <v>Line_2</v>
          </cell>
          <cell r="G87" t="str">
            <v>AddC</v>
          </cell>
          <cell r="H87" t="str">
            <v>ImportBAS</v>
          </cell>
          <cell r="I87" t="str">
            <v>GST (820)</v>
          </cell>
          <cell r="J87">
            <v>21268.68</v>
          </cell>
          <cell r="K87">
            <v>5270.83</v>
          </cell>
          <cell r="L87">
            <v>15997.85</v>
          </cell>
          <cell r="M87">
            <v>3.0351671368645929</v>
          </cell>
          <cell r="N87" t="str">
            <v>–</v>
          </cell>
          <cell r="O87" t="str">
            <v>Add</v>
          </cell>
          <cell r="P87">
            <v>1</v>
          </cell>
          <cell r="W87" t="str">
            <v>NA</v>
          </cell>
          <cell r="Y87">
            <v>8</v>
          </cell>
          <cell r="Z87" t="b">
            <v>0</v>
          </cell>
          <cell r="AA87" t="b">
            <v>0</v>
          </cell>
          <cell r="AB87" t="b">
            <v>0</v>
          </cell>
          <cell r="AC87">
            <v>0</v>
          </cell>
          <cell r="AD87" t="b">
            <v>1</v>
          </cell>
          <cell r="AG87" t="str">
            <v>P</v>
          </cell>
          <cell r="AH87" t="str">
            <v/>
          </cell>
          <cell r="AI87">
            <v>0</v>
          </cell>
          <cell r="AL87" t="str">
            <v/>
          </cell>
        </row>
        <row r="88">
          <cell r="C88" t="str">
            <v>6399b0d5-94f8-4a56-b71f-4b01204fcd2a</v>
          </cell>
          <cell r="D88">
            <v>63</v>
          </cell>
          <cell r="E88">
            <v>100</v>
          </cell>
          <cell r="G88" t="str">
            <v>AddC</v>
          </cell>
          <cell r="H88" t="str">
            <v>ImportBAS</v>
          </cell>
          <cell r="O88" t="str">
            <v>}</v>
          </cell>
          <cell r="Q88" t="str">
            <v>6399b0d5-94f8-4a56-b71f-4b01204fcd2a-100</v>
          </cell>
          <cell r="R88" t="str">
            <v>LinkSheet</v>
          </cell>
          <cell r="S88" t="str">
            <v>af1a257d-e0be-4e7d-a24f-3634a9ff42d3</v>
          </cell>
          <cell r="U88">
            <v>21268.68</v>
          </cell>
          <cell r="V88" t="e">
            <v>#N/A</v>
          </cell>
          <cell r="W88">
            <v>0</v>
          </cell>
          <cell r="X88" t="str">
            <v>6399b0d5-94f8-4a56-b71f-4b01204fcd2a-0</v>
          </cell>
          <cell r="Y88">
            <v>8</v>
          </cell>
          <cell r="Z88" t="b">
            <v>0</v>
          </cell>
          <cell r="AA88" t="b">
            <v>0</v>
          </cell>
          <cell r="AB88" t="b">
            <v>0</v>
          </cell>
          <cell r="AC88">
            <v>0</v>
          </cell>
          <cell r="AD88" t="b">
            <v>0</v>
          </cell>
          <cell r="AE88" t="str">
            <v/>
          </cell>
          <cell r="AF88" t="str">
            <v>CL3 - BAS Reconciliation</v>
          </cell>
          <cell r="AG88" t="str">
            <v>P</v>
          </cell>
          <cell r="AH88" t="str">
            <v>]</v>
          </cell>
          <cell r="AI88" t="str">
            <v/>
          </cell>
          <cell r="AJ88" t="str">
            <v/>
          </cell>
          <cell r="AL88" t="str">
            <v>Complete</v>
          </cell>
          <cell r="AM88" t="str">
            <v>Adam Volcov</v>
          </cell>
          <cell r="AN88">
            <v>44896</v>
          </cell>
          <cell r="AO88" t="str">
            <v>O</v>
          </cell>
          <cell r="AP88" t="str">
            <v>P</v>
          </cell>
          <cell r="AQ88" t="str">
            <v>Q</v>
          </cell>
        </row>
        <row r="89">
          <cell r="C89" t="str">
            <v>75e6cd65-dfa1-43c7-a897-160aeac1878b</v>
          </cell>
          <cell r="D89">
            <v>64</v>
          </cell>
          <cell r="E89">
            <v>2</v>
          </cell>
          <cell r="F89" t="str">
            <v>Line_2</v>
          </cell>
          <cell r="G89" t="str">
            <v>AddC</v>
          </cell>
          <cell r="I89" t="str">
            <v>PAYG Withholdings Payable (825)</v>
          </cell>
          <cell r="J89">
            <v>2211</v>
          </cell>
          <cell r="K89">
            <v>1881</v>
          </cell>
          <cell r="L89">
            <v>330</v>
          </cell>
          <cell r="M89">
            <v>0.17543859649122809</v>
          </cell>
          <cell r="N89" t="str">
            <v>–</v>
          </cell>
          <cell r="O89" t="str">
            <v>Add</v>
          </cell>
          <cell r="P89">
            <v>1</v>
          </cell>
          <cell r="W89" t="str">
            <v>NA</v>
          </cell>
          <cell r="Y89">
            <v>8</v>
          </cell>
          <cell r="Z89" t="b">
            <v>0</v>
          </cell>
          <cell r="AA89" t="b">
            <v>0</v>
          </cell>
          <cell r="AB89" t="b">
            <v>0</v>
          </cell>
          <cell r="AC89">
            <v>0</v>
          </cell>
          <cell r="AD89" t="b">
            <v>1</v>
          </cell>
          <cell r="AG89" t="str">
            <v>P</v>
          </cell>
          <cell r="AH89" t="str">
            <v/>
          </cell>
          <cell r="AI89">
            <v>0</v>
          </cell>
          <cell r="AL89" t="str">
            <v/>
          </cell>
        </row>
        <row r="90">
          <cell r="C90" t="str">
            <v>75e6cd65-dfa1-43c7-a897-160aeac1878b</v>
          </cell>
          <cell r="D90">
            <v>64</v>
          </cell>
          <cell r="E90">
            <v>100</v>
          </cell>
          <cell r="G90" t="str">
            <v>AddC</v>
          </cell>
          <cell r="O90" t="str">
            <v>}</v>
          </cell>
          <cell r="Q90" t="str">
            <v>75e6cd65-dfa1-43c7-a897-160aeac1878b-100</v>
          </cell>
          <cell r="R90" t="str">
            <v>Worksheet</v>
          </cell>
          <cell r="S90" t="str">
            <v>4dfaec69-96c3-48ae-acc9-66e1b7d85449</v>
          </cell>
          <cell r="T90" t="str">
            <v>8eb5a583-f7d0-48c6-98c0-a151a55edcb0</v>
          </cell>
          <cell r="U90">
            <v>2211</v>
          </cell>
          <cell r="V90" t="e">
            <v>#NAME?</v>
          </cell>
          <cell r="W90">
            <v>0</v>
          </cell>
          <cell r="X90" t="str">
            <v>75e6cd65-dfa1-43c7-a897-160aeac1878b-0</v>
          </cell>
          <cell r="Y90">
            <v>8</v>
          </cell>
          <cell r="Z90" t="b">
            <v>0</v>
          </cell>
          <cell r="AA90" t="b">
            <v>0</v>
          </cell>
          <cell r="AB90" t="b">
            <v>0</v>
          </cell>
          <cell r="AC90">
            <v>0</v>
          </cell>
          <cell r="AD90" t="b">
            <v>0</v>
          </cell>
          <cell r="AE90" t="str">
            <v/>
          </cell>
          <cell r="AF90" t="str">
            <v>H30 Other Liabilities</v>
          </cell>
          <cell r="AG90" t="str">
            <v>P</v>
          </cell>
          <cell r="AH90" t="str">
            <v>]</v>
          </cell>
          <cell r="AI90" t="str">
            <v/>
          </cell>
          <cell r="AJ90" t="str">
            <v/>
          </cell>
          <cell r="AK90" t="str">
            <v>Other Liabilities</v>
          </cell>
          <cell r="AL90" t="str">
            <v>Complete</v>
          </cell>
          <cell r="AM90" t="str">
            <v>Adam Volcov</v>
          </cell>
          <cell r="AN90">
            <v>44873</v>
          </cell>
          <cell r="AO90" t="str">
            <v>O</v>
          </cell>
          <cell r="AP90" t="str">
            <v>P</v>
          </cell>
          <cell r="AQ90" t="str">
            <v>Q</v>
          </cell>
        </row>
        <row r="91">
          <cell r="C91" t="str">
            <v>842ae6b2-5bbe-4fb7-a08b-e318ffc9ec1b</v>
          </cell>
          <cell r="D91">
            <v>65</v>
          </cell>
          <cell r="E91">
            <v>2</v>
          </cell>
          <cell r="F91" t="str">
            <v>Line_2</v>
          </cell>
          <cell r="G91" t="str">
            <v>AddC</v>
          </cell>
          <cell r="I91" t="str">
            <v>Superannuation Payable (826)</v>
          </cell>
          <cell r="J91">
            <v>4340.71</v>
          </cell>
          <cell r="K91">
            <v>2898.3</v>
          </cell>
          <cell r="L91">
            <v>1442.41</v>
          </cell>
          <cell r="M91">
            <v>0.49767449884414999</v>
          </cell>
          <cell r="N91" t="str">
            <v>–</v>
          </cell>
          <cell r="O91" t="str">
            <v>Add</v>
          </cell>
          <cell r="P91">
            <v>1</v>
          </cell>
          <cell r="W91" t="str">
            <v>NA</v>
          </cell>
          <cell r="Y91">
            <v>8</v>
          </cell>
          <cell r="Z91" t="b">
            <v>0</v>
          </cell>
          <cell r="AA91" t="b">
            <v>0</v>
          </cell>
          <cell r="AB91" t="b">
            <v>0</v>
          </cell>
          <cell r="AC91">
            <v>0</v>
          </cell>
          <cell r="AD91" t="b">
            <v>1</v>
          </cell>
          <cell r="AG91" t="str">
            <v>P</v>
          </cell>
          <cell r="AH91" t="str">
            <v/>
          </cell>
          <cell r="AI91">
            <v>0</v>
          </cell>
          <cell r="AL91" t="str">
            <v/>
          </cell>
        </row>
        <row r="92">
          <cell r="C92" t="str">
            <v>842ae6b2-5bbe-4fb7-a08b-e318ffc9ec1b</v>
          </cell>
          <cell r="D92">
            <v>65</v>
          </cell>
          <cell r="E92">
            <v>100</v>
          </cell>
          <cell r="G92" t="str">
            <v>AddC</v>
          </cell>
          <cell r="O92" t="str">
            <v>}</v>
          </cell>
          <cell r="Q92" t="str">
            <v>842ae6b2-5bbe-4fb7-a08b-e318ffc9ec1b-100</v>
          </cell>
          <cell r="R92" t="str">
            <v>Worksheet</v>
          </cell>
          <cell r="S92" t="str">
            <v>cf57cb63-ffc5-4bea-9206-f416ad5f7778</v>
          </cell>
          <cell r="T92" t="str">
            <v>ec3a859e-ed52-4886-bca1-b275a14dd97a</v>
          </cell>
          <cell r="U92">
            <v>4340.71</v>
          </cell>
          <cell r="V92" t="e">
            <v>#NAME?</v>
          </cell>
          <cell r="W92">
            <v>0</v>
          </cell>
          <cell r="X92" t="str">
            <v>842ae6b2-5bbe-4fb7-a08b-e318ffc9ec1b-0</v>
          </cell>
          <cell r="Y92">
            <v>8</v>
          </cell>
          <cell r="Z92" t="b">
            <v>0</v>
          </cell>
          <cell r="AA92" t="b">
            <v>0</v>
          </cell>
          <cell r="AB92" t="b">
            <v>0</v>
          </cell>
          <cell r="AC92">
            <v>0</v>
          </cell>
          <cell r="AD92" t="b">
            <v>0</v>
          </cell>
          <cell r="AE92">
            <v>0</v>
          </cell>
          <cell r="AF92" t="str">
            <v>H08 Superannuation Liability</v>
          </cell>
          <cell r="AG92" t="str">
            <v>P</v>
          </cell>
          <cell r="AH92" t="str">
            <v>]</v>
          </cell>
          <cell r="AI92" t="str">
            <v/>
          </cell>
          <cell r="AJ92" t="str">
            <v>✓</v>
          </cell>
          <cell r="AK92" t="str">
            <v>Super Liability</v>
          </cell>
          <cell r="AL92" t="str">
            <v>Complete</v>
          </cell>
          <cell r="AM92" t="str">
            <v>Adam Volcov</v>
          </cell>
          <cell r="AN92">
            <v>44880</v>
          </cell>
          <cell r="AO92" t="str">
            <v>O</v>
          </cell>
          <cell r="AP92" t="str">
            <v>P</v>
          </cell>
          <cell r="AQ92" t="str">
            <v>Q</v>
          </cell>
        </row>
        <row r="93">
          <cell r="C93" t="str">
            <v>3cb042f6-9649-4bd3-ad60-da8fffef2d24</v>
          </cell>
          <cell r="D93">
            <v>66</v>
          </cell>
          <cell r="E93">
            <v>2</v>
          </cell>
          <cell r="F93" t="str">
            <v>Line_2</v>
          </cell>
          <cell r="G93" t="str">
            <v>AddC</v>
          </cell>
          <cell r="I93" t="str">
            <v>ATO Integrated Account (827)</v>
          </cell>
          <cell r="J93">
            <v>-2806</v>
          </cell>
          <cell r="K93">
            <v>1448</v>
          </cell>
          <cell r="L93">
            <v>-4254</v>
          </cell>
          <cell r="M93">
            <v>-2.9378453038674035</v>
          </cell>
          <cell r="N93" t="str">
            <v>–</v>
          </cell>
          <cell r="O93" t="str">
            <v>Add</v>
          </cell>
          <cell r="P93">
            <v>1</v>
          </cell>
          <cell r="W93" t="str">
            <v>NA</v>
          </cell>
          <cell r="Y93">
            <v>8</v>
          </cell>
          <cell r="Z93" t="b">
            <v>0</v>
          </cell>
          <cell r="AA93" t="b">
            <v>0</v>
          </cell>
          <cell r="AB93" t="b">
            <v>0</v>
          </cell>
          <cell r="AC93">
            <v>0</v>
          </cell>
          <cell r="AD93" t="b">
            <v>1</v>
          </cell>
          <cell r="AG93" t="str">
            <v>P</v>
          </cell>
          <cell r="AH93" t="str">
            <v/>
          </cell>
          <cell r="AI93">
            <v>0</v>
          </cell>
          <cell r="AL93" t="str">
            <v/>
          </cell>
        </row>
        <row r="94">
          <cell r="C94" t="str">
            <v>3cb042f6-9649-4bd3-ad60-da8fffef2d24</v>
          </cell>
          <cell r="D94">
            <v>66</v>
          </cell>
          <cell r="E94">
            <v>100</v>
          </cell>
          <cell r="G94" t="str">
            <v>AddC</v>
          </cell>
          <cell r="O94" t="str">
            <v>}</v>
          </cell>
          <cell r="Q94" t="str">
            <v>3cb042f6-9649-4bd3-ad60-da8fffef2d24-100</v>
          </cell>
          <cell r="R94" t="str">
            <v>Worksheet</v>
          </cell>
          <cell r="S94" t="str">
            <v>4d658c9a-12b3-4ae9-9d6e-b39f18f7c570</v>
          </cell>
          <cell r="T94" t="str">
            <v>8eb5a583-f7d0-48c6-98c0-a151a55edcb0</v>
          </cell>
          <cell r="U94">
            <v>2806</v>
          </cell>
          <cell r="V94" t="e">
            <v>#NAME?</v>
          </cell>
          <cell r="W94">
            <v>0</v>
          </cell>
          <cell r="X94" t="str">
            <v>3cb042f6-9649-4bd3-ad60-da8fffef2d24-0</v>
          </cell>
          <cell r="Y94">
            <v>8</v>
          </cell>
          <cell r="Z94" t="b">
            <v>0</v>
          </cell>
          <cell r="AA94" t="b">
            <v>0</v>
          </cell>
          <cell r="AB94" t="b">
            <v>0</v>
          </cell>
          <cell r="AC94">
            <v>0</v>
          </cell>
          <cell r="AD94" t="b">
            <v>0</v>
          </cell>
          <cell r="AE94" t="str">
            <v/>
          </cell>
          <cell r="AF94" t="str">
            <v>H30-3 Other Liabilities</v>
          </cell>
          <cell r="AG94" t="str">
            <v>P</v>
          </cell>
          <cell r="AH94" t="str">
            <v>]</v>
          </cell>
          <cell r="AI94" t="str">
            <v/>
          </cell>
          <cell r="AJ94" t="str">
            <v/>
          </cell>
          <cell r="AK94" t="str">
            <v>Other Liabilities</v>
          </cell>
          <cell r="AL94" t="str">
            <v>Complete</v>
          </cell>
          <cell r="AM94" t="str">
            <v>Adam Volcov</v>
          </cell>
          <cell r="AN94">
            <v>44873</v>
          </cell>
          <cell r="AO94" t="str">
            <v>O</v>
          </cell>
          <cell r="AP94" t="str">
            <v>P</v>
          </cell>
          <cell r="AQ94" t="str">
            <v>Q</v>
          </cell>
        </row>
        <row r="95">
          <cell r="C95" t="str">
            <v>719bf881-a779-439e-8734-28a386aae330</v>
          </cell>
          <cell r="D95">
            <v>73</v>
          </cell>
          <cell r="E95">
            <v>2</v>
          </cell>
          <cell r="F95" t="str">
            <v>Line_2</v>
          </cell>
          <cell r="G95" t="str">
            <v>AddC</v>
          </cell>
          <cell r="I95" t="str">
            <v>QRIDA Loan (900)</v>
          </cell>
          <cell r="J95">
            <v>131000</v>
          </cell>
          <cell r="K95">
            <v>131000</v>
          </cell>
          <cell r="L95">
            <v>0</v>
          </cell>
          <cell r="M95">
            <v>0</v>
          </cell>
          <cell r="N95" t="str">
            <v>–</v>
          </cell>
          <cell r="O95" t="str">
            <v>Add</v>
          </cell>
          <cell r="P95">
            <v>1</v>
          </cell>
          <cell r="W95" t="str">
            <v>NA</v>
          </cell>
          <cell r="Y95">
            <v>8</v>
          </cell>
          <cell r="Z95" t="b">
            <v>0</v>
          </cell>
          <cell r="AA95" t="b">
            <v>0</v>
          </cell>
          <cell r="AB95" t="b">
            <v>0</v>
          </cell>
          <cell r="AC95">
            <v>0</v>
          </cell>
          <cell r="AD95" t="b">
            <v>1</v>
          </cell>
          <cell r="AG95" t="str">
            <v>P</v>
          </cell>
          <cell r="AH95" t="str">
            <v/>
          </cell>
          <cell r="AI95">
            <v>0</v>
          </cell>
          <cell r="AL95" t="str">
            <v/>
          </cell>
        </row>
        <row r="96">
          <cell r="C96" t="str">
            <v>719bf881-a779-439e-8734-28a386aae330</v>
          </cell>
          <cell r="D96">
            <v>73</v>
          </cell>
          <cell r="E96">
            <v>100</v>
          </cell>
          <cell r="G96" t="str">
            <v>AddC</v>
          </cell>
          <cell r="O96" t="str">
            <v>}</v>
          </cell>
          <cell r="Q96" t="str">
            <v>719bf881-a779-439e-8734-28a386aae330-100</v>
          </cell>
          <cell r="R96" t="str">
            <v>Worksheet</v>
          </cell>
          <cell r="S96" t="str">
            <v>d66fbe9a-b20c-4df4-840b-63c41cd34fb2</v>
          </cell>
          <cell r="T96" t="str">
            <v>5730e787-abf1-4ec5-870a-8a8c16d86dc5</v>
          </cell>
          <cell r="U96">
            <v>131000</v>
          </cell>
          <cell r="V96" t="e">
            <v>#NAME?</v>
          </cell>
          <cell r="W96">
            <v>0</v>
          </cell>
          <cell r="X96" t="str">
            <v>719bf881-a779-439e-8734-28a386aae330-0</v>
          </cell>
          <cell r="Y96">
            <v>8</v>
          </cell>
          <cell r="Z96" t="b">
            <v>0</v>
          </cell>
          <cell r="AA96" t="b">
            <v>0</v>
          </cell>
          <cell r="AB96" t="b">
            <v>0</v>
          </cell>
          <cell r="AC96">
            <v>0</v>
          </cell>
          <cell r="AD96" t="b">
            <v>0</v>
          </cell>
          <cell r="AE96" t="str">
            <v/>
          </cell>
          <cell r="AF96" t="str">
            <v>H25 Loans</v>
          </cell>
          <cell r="AG96" t="str">
            <v>P</v>
          </cell>
          <cell r="AH96" t="str">
            <v>]</v>
          </cell>
          <cell r="AI96" t="str">
            <v/>
          </cell>
          <cell r="AJ96" t="str">
            <v/>
          </cell>
          <cell r="AK96" t="str">
            <v>Loan1</v>
          </cell>
          <cell r="AL96" t="str">
            <v>Complete</v>
          </cell>
          <cell r="AM96" t="str">
            <v>Adam Volcov</v>
          </cell>
          <cell r="AN96">
            <v>44873</v>
          </cell>
          <cell r="AO96" t="str">
            <v>O</v>
          </cell>
          <cell r="AP96" t="str">
            <v>P</v>
          </cell>
          <cell r="AQ96" t="str">
            <v>Q</v>
          </cell>
        </row>
        <row r="97">
          <cell r="C97" t="str">
            <v>d3fb1e89-b327-4386-aab8-7627d2056de0</v>
          </cell>
          <cell r="D97">
            <v>76</v>
          </cell>
          <cell r="E97">
            <v>2</v>
          </cell>
          <cell r="F97" t="str">
            <v>Line_2</v>
          </cell>
          <cell r="G97" t="str">
            <v>AddC</v>
          </cell>
          <cell r="I97" t="str">
            <v>BOQ Equipment Finance - Hyundai iLoad 2020 (902)</v>
          </cell>
          <cell r="J97">
            <v>14103.22</v>
          </cell>
          <cell r="K97">
            <v>20932.419999999998</v>
          </cell>
          <cell r="L97">
            <v>-6829.2</v>
          </cell>
          <cell r="M97">
            <v>-0.32624990326011044</v>
          </cell>
          <cell r="N97" t="str">
            <v>–</v>
          </cell>
          <cell r="O97" t="str">
            <v>Add</v>
          </cell>
          <cell r="P97">
            <v>1</v>
          </cell>
          <cell r="W97" t="str">
            <v>NA</v>
          </cell>
          <cell r="Y97">
            <v>8</v>
          </cell>
          <cell r="Z97" t="b">
            <v>0</v>
          </cell>
          <cell r="AA97" t="b">
            <v>0</v>
          </cell>
          <cell r="AB97" t="b">
            <v>0</v>
          </cell>
          <cell r="AC97">
            <v>0</v>
          </cell>
          <cell r="AD97" t="b">
            <v>1</v>
          </cell>
          <cell r="AG97" t="str">
            <v>P</v>
          </cell>
          <cell r="AH97" t="str">
            <v/>
          </cell>
          <cell r="AI97">
            <v>0</v>
          </cell>
          <cell r="AL97" t="str">
            <v/>
          </cell>
        </row>
        <row r="98">
          <cell r="C98" t="str">
            <v>d3fb1e89-b327-4386-aab8-7627d2056de0</v>
          </cell>
          <cell r="D98">
            <v>76</v>
          </cell>
          <cell r="E98">
            <v>100</v>
          </cell>
          <cell r="G98" t="str">
            <v>AddC</v>
          </cell>
          <cell r="O98" t="str">
            <v>}</v>
          </cell>
          <cell r="Q98" t="str">
            <v>d3fb1e89-b327-4386-aab8-7627d2056de0-100</v>
          </cell>
          <cell r="R98" t="str">
            <v>Worksheet</v>
          </cell>
          <cell r="S98" t="str">
            <v>ee46bbf6-4331-47c0-94e0-4b12f5ac843c</v>
          </cell>
          <cell r="T98" t="str">
            <v>961afb75-191d-4290-b33d-5ea679987d56</v>
          </cell>
          <cell r="U98">
            <v>14103.22</v>
          </cell>
          <cell r="V98" t="e">
            <v>#N/A</v>
          </cell>
          <cell r="W98">
            <v>0</v>
          </cell>
          <cell r="X98" t="str">
            <v>d3fb1e89-b327-4386-aab8-7627d2056de0-0</v>
          </cell>
          <cell r="Y98">
            <v>8</v>
          </cell>
          <cell r="Z98" t="b">
            <v>0</v>
          </cell>
          <cell r="AA98" t="b">
            <v>0</v>
          </cell>
          <cell r="AB98" t="b">
            <v>0</v>
          </cell>
          <cell r="AC98">
            <v>0</v>
          </cell>
          <cell r="AD98" t="b">
            <v>0</v>
          </cell>
          <cell r="AE98">
            <v>0</v>
          </cell>
          <cell r="AF98" t="str">
            <v>H10 Hire Purchase</v>
          </cell>
          <cell r="AG98" t="str">
            <v>P</v>
          </cell>
          <cell r="AH98" t="str">
            <v>]</v>
          </cell>
          <cell r="AI98" t="str">
            <v/>
          </cell>
          <cell r="AJ98" t="str">
            <v>✓</v>
          </cell>
          <cell r="AL98" t="str">
            <v>Complete</v>
          </cell>
          <cell r="AM98" t="str">
            <v>Adam Volcov</v>
          </cell>
          <cell r="AN98">
            <v>44873</v>
          </cell>
          <cell r="AO98" t="str">
            <v>O</v>
          </cell>
          <cell r="AP98" t="str">
            <v>P</v>
          </cell>
          <cell r="AQ98" t="str">
            <v>Q</v>
          </cell>
        </row>
        <row r="99">
          <cell r="C99" t="str">
            <v>5c58c5ea-7e07-4e8d-b205-72e4f3872f1d</v>
          </cell>
          <cell r="D99">
            <v>77</v>
          </cell>
          <cell r="E99">
            <v>2</v>
          </cell>
          <cell r="F99" t="str">
            <v>Line_2</v>
          </cell>
          <cell r="G99" t="str">
            <v>AddC</v>
          </cell>
          <cell r="I99" t="str">
            <v>Less: Unexpired Finance Charge - Hyundai iLoad 2020 (902a)</v>
          </cell>
          <cell r="J99">
            <v>-443.53</v>
          </cell>
          <cell r="K99">
            <v>-1182.72</v>
          </cell>
          <cell r="L99">
            <v>739.19</v>
          </cell>
          <cell r="M99">
            <v>-0.62499154491341991</v>
          </cell>
          <cell r="N99">
            <v>0</v>
          </cell>
          <cell r="O99" t="str">
            <v>Add</v>
          </cell>
          <cell r="P99">
            <v>0</v>
          </cell>
          <cell r="W99" t="str">
            <v>NA</v>
          </cell>
          <cell r="Y99">
            <v>0</v>
          </cell>
          <cell r="Z99" t="b">
            <v>0</v>
          </cell>
          <cell r="AA99" t="b">
            <v>0</v>
          </cell>
          <cell r="AB99" t="b">
            <v>0</v>
          </cell>
          <cell r="AC99">
            <v>0</v>
          </cell>
          <cell r="AD99" t="b">
            <v>1</v>
          </cell>
          <cell r="AG99" t="str">
            <v>P</v>
          </cell>
          <cell r="AH99" t="str">
            <v/>
          </cell>
          <cell r="AI99">
            <v>0</v>
          </cell>
          <cell r="AL99" t="str">
            <v/>
          </cell>
        </row>
        <row r="100">
          <cell r="C100" t="str">
            <v>LIABILITYTotal</v>
          </cell>
          <cell r="D100">
            <v>84</v>
          </cell>
          <cell r="E100">
            <v>1</v>
          </cell>
          <cell r="F100" t="str">
            <v>Total_1</v>
          </cell>
          <cell r="G100" t="str">
            <v>AddC</v>
          </cell>
          <cell r="I100" t="str">
            <v>Total LIABILITY</v>
          </cell>
          <cell r="J100">
            <v>258832.49</v>
          </cell>
          <cell r="K100">
            <v>238921.49</v>
          </cell>
          <cell r="L100">
            <v>19911</v>
          </cell>
          <cell r="M100">
            <v>8.3336999112135116E-2</v>
          </cell>
          <cell r="N100">
            <v>0</v>
          </cell>
          <cell r="O100" t="str">
            <v>Add</v>
          </cell>
          <cell r="P100">
            <v>0</v>
          </cell>
          <cell r="W100" t="str">
            <v>NA</v>
          </cell>
          <cell r="Y100">
            <v>0</v>
          </cell>
          <cell r="Z100" t="b">
            <v>0</v>
          </cell>
          <cell r="AA100" t="b">
            <v>0</v>
          </cell>
          <cell r="AB100" t="b">
            <v>0</v>
          </cell>
          <cell r="AC100">
            <v>0</v>
          </cell>
          <cell r="AD100" t="b">
            <v>1</v>
          </cell>
          <cell r="AG100" t="str">
            <v>P</v>
          </cell>
          <cell r="AH100" t="str">
            <v/>
          </cell>
          <cell r="AI100">
            <v>0</v>
          </cell>
          <cell r="AL100" t="str">
            <v/>
          </cell>
        </row>
        <row r="101">
          <cell r="C101" t="str">
            <v>EQUITY</v>
          </cell>
          <cell r="D101">
            <v>85</v>
          </cell>
          <cell r="E101">
            <v>1</v>
          </cell>
          <cell r="F101" t="str">
            <v>Header_1</v>
          </cell>
          <cell r="G101" t="str">
            <v>AddD</v>
          </cell>
          <cell r="I101" t="str">
            <v>EQUITY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P101">
            <v>0</v>
          </cell>
          <cell r="W101" t="str">
            <v>NA</v>
          </cell>
          <cell r="Y101">
            <v>0</v>
          </cell>
          <cell r="Z101" t="b">
            <v>0</v>
          </cell>
          <cell r="AA101" t="b">
            <v>0</v>
          </cell>
          <cell r="AB101" t="b">
            <v>0</v>
          </cell>
          <cell r="AC101">
            <v>0</v>
          </cell>
          <cell r="AD101" t="b">
            <v>1</v>
          </cell>
          <cell r="AH101" t="str">
            <v/>
          </cell>
          <cell r="AI101">
            <v>0</v>
          </cell>
          <cell r="AL101" t="str">
            <v/>
          </cell>
        </row>
        <row r="102">
          <cell r="C102" t="str">
            <v>4972f714-6d16-40ca-b188-9e740292aa46</v>
          </cell>
          <cell r="D102">
            <v>86</v>
          </cell>
          <cell r="E102">
            <v>2</v>
          </cell>
          <cell r="F102" t="str">
            <v>Line_2</v>
          </cell>
          <cell r="G102" t="str">
            <v>AddD</v>
          </cell>
          <cell r="I102" t="str">
            <v>Owner A Drawings (880)</v>
          </cell>
          <cell r="J102">
            <v>-72226.350000000006</v>
          </cell>
          <cell r="K102">
            <v>-64778.62</v>
          </cell>
          <cell r="L102">
            <v>-7447.73</v>
          </cell>
          <cell r="M102">
            <v>0.1149720386139748</v>
          </cell>
          <cell r="N102">
            <v>0</v>
          </cell>
          <cell r="O102" t="str">
            <v>Add</v>
          </cell>
          <cell r="P102">
            <v>0</v>
          </cell>
          <cell r="W102" t="str">
            <v>NA</v>
          </cell>
          <cell r="Y102">
            <v>0</v>
          </cell>
          <cell r="Z102" t="b">
            <v>0</v>
          </cell>
          <cell r="AA102" t="b">
            <v>0</v>
          </cell>
          <cell r="AB102" t="b">
            <v>0</v>
          </cell>
          <cell r="AC102">
            <v>0</v>
          </cell>
          <cell r="AD102" t="b">
            <v>1</v>
          </cell>
          <cell r="AG102" t="str">
            <v>P</v>
          </cell>
          <cell r="AH102" t="str">
            <v/>
          </cell>
          <cell r="AI102">
            <v>0</v>
          </cell>
          <cell r="AL102" t="str">
            <v/>
          </cell>
        </row>
        <row r="103">
          <cell r="C103" t="str">
            <v>a6a011a5-8847-469f-88ee-5f901bfc1f6c</v>
          </cell>
          <cell r="D103">
            <v>87</v>
          </cell>
          <cell r="E103">
            <v>2</v>
          </cell>
          <cell r="F103" t="str">
            <v>Line_2</v>
          </cell>
          <cell r="G103" t="str">
            <v>AddD</v>
          </cell>
          <cell r="I103" t="str">
            <v>Owner A Funds Introduced (881)</v>
          </cell>
          <cell r="J103">
            <v>18000</v>
          </cell>
          <cell r="K103">
            <v>0</v>
          </cell>
          <cell r="L103">
            <v>18000</v>
          </cell>
          <cell r="M103">
            <v>0</v>
          </cell>
          <cell r="N103">
            <v>0</v>
          </cell>
          <cell r="O103" t="str">
            <v>Add</v>
          </cell>
          <cell r="P103">
            <v>0</v>
          </cell>
          <cell r="W103" t="str">
            <v>NA</v>
          </cell>
          <cell r="Y103">
            <v>0</v>
          </cell>
          <cell r="Z103" t="b">
            <v>0</v>
          </cell>
          <cell r="AA103" t="b">
            <v>0</v>
          </cell>
          <cell r="AB103" t="b">
            <v>0</v>
          </cell>
          <cell r="AC103">
            <v>0</v>
          </cell>
          <cell r="AD103" t="b">
            <v>1</v>
          </cell>
          <cell r="AG103" t="str">
            <v>P</v>
          </cell>
          <cell r="AH103" t="str">
            <v/>
          </cell>
          <cell r="AI103">
            <v>0</v>
          </cell>
          <cell r="AL103" t="str">
            <v/>
          </cell>
        </row>
        <row r="104">
          <cell r="C104" t="str">
            <v>eee86ecc-f1de-415a-a619-aad89c7468e5</v>
          </cell>
          <cell r="D104">
            <v>88</v>
          </cell>
          <cell r="E104">
            <v>2</v>
          </cell>
          <cell r="F104" t="str">
            <v>Line_2</v>
          </cell>
          <cell r="G104" t="str">
            <v>AddD</v>
          </cell>
          <cell r="I104" t="str">
            <v>Owners Opening Equity (882)</v>
          </cell>
          <cell r="J104">
            <v>-80362.03</v>
          </cell>
          <cell r="K104">
            <v>-55311.88</v>
          </cell>
          <cell r="L104">
            <v>-25050.15</v>
          </cell>
          <cell r="M104">
            <v>0.45288914424893895</v>
          </cell>
          <cell r="N104">
            <v>0</v>
          </cell>
          <cell r="O104" t="str">
            <v>Add</v>
          </cell>
          <cell r="P104">
            <v>0</v>
          </cell>
          <cell r="W104" t="str">
            <v>NA</v>
          </cell>
          <cell r="Y104">
            <v>0</v>
          </cell>
          <cell r="Z104" t="b">
            <v>0</v>
          </cell>
          <cell r="AA104" t="b">
            <v>0</v>
          </cell>
          <cell r="AB104" t="b">
            <v>0</v>
          </cell>
          <cell r="AC104">
            <v>0</v>
          </cell>
          <cell r="AD104" t="b">
            <v>1</v>
          </cell>
          <cell r="AG104" t="str">
            <v>P</v>
          </cell>
          <cell r="AH104" t="str">
            <v/>
          </cell>
          <cell r="AI104">
            <v>0</v>
          </cell>
          <cell r="AL104" t="str">
            <v/>
          </cell>
        </row>
        <row r="105">
          <cell r="C105" t="str">
            <v>abababab-abab-abab-abab-abababababab</v>
          </cell>
          <cell r="D105">
            <v>92</v>
          </cell>
          <cell r="E105">
            <v>2</v>
          </cell>
          <cell r="F105" t="str">
            <v>Line_2</v>
          </cell>
          <cell r="G105" t="str">
            <v>AddD</v>
          </cell>
          <cell r="I105" t="str">
            <v>Current Year Earnings</v>
          </cell>
          <cell r="J105">
            <v>18138.259999999998</v>
          </cell>
          <cell r="K105">
            <v>39728.47</v>
          </cell>
          <cell r="L105">
            <v>-21590.21</v>
          </cell>
          <cell r="M105">
            <v>-0.54344428567221448</v>
          </cell>
          <cell r="N105">
            <v>0</v>
          </cell>
          <cell r="O105" t="str">
            <v>Add</v>
          </cell>
          <cell r="P105">
            <v>0</v>
          </cell>
          <cell r="W105" t="str">
            <v>NA</v>
          </cell>
          <cell r="Y105">
            <v>0</v>
          </cell>
          <cell r="Z105" t="b">
            <v>0</v>
          </cell>
          <cell r="AA105" t="b">
            <v>0</v>
          </cell>
          <cell r="AB105" t="b">
            <v>0</v>
          </cell>
          <cell r="AC105">
            <v>0</v>
          </cell>
          <cell r="AD105" t="b">
            <v>1</v>
          </cell>
          <cell r="AG105" t="str">
            <v>P</v>
          </cell>
          <cell r="AH105" t="str">
            <v/>
          </cell>
          <cell r="AI105">
            <v>0</v>
          </cell>
          <cell r="AL105" t="str">
            <v/>
          </cell>
        </row>
        <row r="106">
          <cell r="C106" t="str">
            <v>EQUITYTotal</v>
          </cell>
          <cell r="D106">
            <v>93</v>
          </cell>
          <cell r="E106">
            <v>1</v>
          </cell>
          <cell r="F106" t="str">
            <v>Total_1</v>
          </cell>
          <cell r="G106" t="str">
            <v>AddD</v>
          </cell>
          <cell r="I106" t="str">
            <v>Total EQUITY</v>
          </cell>
          <cell r="J106">
            <v>-116450.12</v>
          </cell>
          <cell r="K106">
            <v>-80362.03</v>
          </cell>
          <cell r="L106">
            <v>-36088.089999999997</v>
          </cell>
          <cell r="M106">
            <v>0.44906891973734364</v>
          </cell>
          <cell r="N106">
            <v>0</v>
          </cell>
          <cell r="O106" t="str">
            <v>Add</v>
          </cell>
          <cell r="P106">
            <v>0</v>
          </cell>
          <cell r="W106" t="str">
            <v>NA</v>
          </cell>
          <cell r="Y106">
            <v>0</v>
          </cell>
          <cell r="Z106" t="b">
            <v>0</v>
          </cell>
          <cell r="AA106" t="b">
            <v>0</v>
          </cell>
          <cell r="AB106" t="b">
            <v>0</v>
          </cell>
          <cell r="AC106">
            <v>0</v>
          </cell>
          <cell r="AD106" t="b">
            <v>1</v>
          </cell>
          <cell r="AG106" t="str">
            <v>P</v>
          </cell>
          <cell r="AH106" t="str">
            <v/>
          </cell>
          <cell r="AI106">
            <v>0</v>
          </cell>
          <cell r="AL106" t="str">
            <v/>
          </cell>
        </row>
        <row r="107">
          <cell r="C107" t="str">
            <v>REVENUE</v>
          </cell>
          <cell r="D107">
            <v>94</v>
          </cell>
          <cell r="E107">
            <v>1</v>
          </cell>
          <cell r="F107" t="str">
            <v>Header_1</v>
          </cell>
          <cell r="G107" t="str">
            <v>AddE</v>
          </cell>
          <cell r="I107" t="str">
            <v>REVENUE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P107">
            <v>0</v>
          </cell>
          <cell r="W107" t="str">
            <v>NA</v>
          </cell>
          <cell r="Y107">
            <v>0</v>
          </cell>
          <cell r="Z107" t="b">
            <v>0</v>
          </cell>
          <cell r="AA107" t="b">
            <v>0</v>
          </cell>
          <cell r="AB107" t="b">
            <v>0</v>
          </cell>
          <cell r="AC107">
            <v>0</v>
          </cell>
          <cell r="AD107" t="b">
            <v>1</v>
          </cell>
          <cell r="AH107" t="str">
            <v/>
          </cell>
          <cell r="AI107">
            <v>0</v>
          </cell>
          <cell r="AL107" t="str">
            <v/>
          </cell>
        </row>
        <row r="108">
          <cell r="C108" t="str">
            <v>7658554f-3cf5-4206-9345-15c31186fc36</v>
          </cell>
          <cell r="D108">
            <v>95</v>
          </cell>
          <cell r="E108">
            <v>2</v>
          </cell>
          <cell r="F108" t="str">
            <v>Line_2</v>
          </cell>
          <cell r="G108" t="str">
            <v>AddE</v>
          </cell>
          <cell r="I108" t="str">
            <v>Sales (200)</v>
          </cell>
          <cell r="J108">
            <v>418077.74</v>
          </cell>
          <cell r="K108">
            <v>419930.77</v>
          </cell>
          <cell r="L108">
            <v>-1853.03</v>
          </cell>
          <cell r="M108">
            <v>-4.4127035511115319E-3</v>
          </cell>
          <cell r="N108" t="str">
            <v>–</v>
          </cell>
          <cell r="O108" t="str">
            <v>Add</v>
          </cell>
          <cell r="P108">
            <v>1</v>
          </cell>
          <cell r="W108" t="str">
            <v>NA</v>
          </cell>
          <cell r="Y108">
            <v>8</v>
          </cell>
          <cell r="Z108" t="b">
            <v>0</v>
          </cell>
          <cell r="AA108" t="b">
            <v>0</v>
          </cell>
          <cell r="AB108" t="b">
            <v>0</v>
          </cell>
          <cell r="AC108">
            <v>0</v>
          </cell>
          <cell r="AD108" t="b">
            <v>1</v>
          </cell>
          <cell r="AG108" t="str">
            <v>P</v>
          </cell>
          <cell r="AH108" t="str">
            <v/>
          </cell>
          <cell r="AI108">
            <v>0</v>
          </cell>
          <cell r="AL108" t="str">
            <v/>
          </cell>
        </row>
        <row r="109">
          <cell r="C109" t="str">
            <v>7658554f-3cf5-4206-9345-15c31186fc36</v>
          </cell>
          <cell r="D109">
            <v>95</v>
          </cell>
          <cell r="E109">
            <v>100</v>
          </cell>
          <cell r="G109" t="str">
            <v>AddE</v>
          </cell>
          <cell r="O109" t="str">
            <v>}</v>
          </cell>
          <cell r="Q109" t="str">
            <v>7658554f-3cf5-4206-9345-15c31186fc36-100</v>
          </cell>
          <cell r="R109" t="str">
            <v>Worksheet</v>
          </cell>
          <cell r="S109" t="str">
            <v>3b38a67b-b5d6-48af-9d16-7e92dc5b6b4d</v>
          </cell>
          <cell r="T109" t="str">
            <v>30f7fb52-80ed-4947-b429-947eb5221b88</v>
          </cell>
          <cell r="U109">
            <v>418077.74</v>
          </cell>
          <cell r="V109" t="e">
            <v>#NAME?</v>
          </cell>
          <cell r="W109">
            <v>0</v>
          </cell>
          <cell r="X109" t="str">
            <v>7658554f-3cf5-4206-9345-15c31186fc36-0</v>
          </cell>
          <cell r="Y109">
            <v>8</v>
          </cell>
          <cell r="Z109" t="b">
            <v>0</v>
          </cell>
          <cell r="AA109" t="b">
            <v>0</v>
          </cell>
          <cell r="AB109" t="b">
            <v>0</v>
          </cell>
          <cell r="AC109">
            <v>0</v>
          </cell>
          <cell r="AD109" t="b">
            <v>0</v>
          </cell>
          <cell r="AE109" t="str">
            <v/>
          </cell>
          <cell r="AF109" t="str">
            <v>M35 Sales Trading Account</v>
          </cell>
          <cell r="AG109" t="str">
            <v>P</v>
          </cell>
          <cell r="AH109" t="str">
            <v>]</v>
          </cell>
          <cell r="AI109" t="str">
            <v/>
          </cell>
          <cell r="AJ109" t="str">
            <v/>
          </cell>
          <cell r="AK109" t="str">
            <v>Goods For Own Use</v>
          </cell>
          <cell r="AL109" t="str">
            <v>Complete</v>
          </cell>
          <cell r="AM109" t="str">
            <v>Adam Volcov</v>
          </cell>
          <cell r="AN109">
            <v>44896</v>
          </cell>
          <cell r="AO109" t="str">
            <v>O</v>
          </cell>
          <cell r="AP109" t="str">
            <v>P</v>
          </cell>
          <cell r="AQ109" t="str">
            <v>Q</v>
          </cell>
        </row>
        <row r="110">
          <cell r="C110" t="str">
            <v>fa0aa83e-67b2-44ce-b4d8-3077ae18d1e2</v>
          </cell>
          <cell r="D110">
            <v>96</v>
          </cell>
          <cell r="E110">
            <v>2</v>
          </cell>
          <cell r="F110" t="str">
            <v>Line_2</v>
          </cell>
          <cell r="G110" t="str">
            <v>AddE</v>
          </cell>
          <cell r="I110" t="str">
            <v>Interflora Sales (200A)</v>
          </cell>
          <cell r="J110">
            <v>34920.82</v>
          </cell>
          <cell r="K110">
            <v>208264.61</v>
          </cell>
          <cell r="L110">
            <v>-173343.79</v>
          </cell>
          <cell r="M110">
            <v>-0.83232475263079986</v>
          </cell>
          <cell r="N110">
            <v>0</v>
          </cell>
          <cell r="O110" t="str">
            <v>Add</v>
          </cell>
          <cell r="P110">
            <v>0</v>
          </cell>
          <cell r="W110" t="str">
            <v>NA</v>
          </cell>
          <cell r="Y110">
            <v>0</v>
          </cell>
          <cell r="Z110" t="b">
            <v>0</v>
          </cell>
          <cell r="AA110" t="b">
            <v>0</v>
          </cell>
          <cell r="AB110" t="b">
            <v>0</v>
          </cell>
          <cell r="AC110">
            <v>0</v>
          </cell>
          <cell r="AD110" t="b">
            <v>1</v>
          </cell>
          <cell r="AF110" t="str">
            <v xml:space="preserve">Refer M35 </v>
          </cell>
          <cell r="AG110" t="str">
            <v>P</v>
          </cell>
          <cell r="AH110" t="str">
            <v/>
          </cell>
          <cell r="AI110">
            <v>0</v>
          </cell>
          <cell r="AL110" t="str">
            <v/>
          </cell>
        </row>
        <row r="111">
          <cell r="C111" t="str">
            <v>487715f8-48b9-497b-a420-234f347f289c</v>
          </cell>
          <cell r="D111">
            <v>97</v>
          </cell>
          <cell r="E111">
            <v>2</v>
          </cell>
          <cell r="F111" t="str">
            <v>Line_2</v>
          </cell>
          <cell r="G111" t="str">
            <v>AddE</v>
          </cell>
          <cell r="I111" t="str">
            <v>Interflora Commission (200AA)</v>
          </cell>
          <cell r="J111">
            <v>2333.2399999999998</v>
          </cell>
          <cell r="K111">
            <v>0</v>
          </cell>
          <cell r="L111">
            <v>2333.2399999999998</v>
          </cell>
          <cell r="M111">
            <v>0</v>
          </cell>
          <cell r="N111">
            <v>0</v>
          </cell>
          <cell r="O111" t="str">
            <v>Add</v>
          </cell>
          <cell r="P111">
            <v>0</v>
          </cell>
          <cell r="W111" t="str">
            <v>NA</v>
          </cell>
          <cell r="Y111">
            <v>0</v>
          </cell>
          <cell r="Z111" t="b">
            <v>0</v>
          </cell>
          <cell r="AA111" t="b">
            <v>0</v>
          </cell>
          <cell r="AB111" t="b">
            <v>0</v>
          </cell>
          <cell r="AC111">
            <v>0</v>
          </cell>
          <cell r="AD111" t="b">
            <v>1</v>
          </cell>
          <cell r="AF111" t="str">
            <v xml:space="preserve">Refer M35 </v>
          </cell>
          <cell r="AG111" t="str">
            <v>P</v>
          </cell>
          <cell r="AH111" t="str">
            <v/>
          </cell>
          <cell r="AI111">
            <v>0</v>
          </cell>
          <cell r="AL111" t="str">
            <v/>
          </cell>
        </row>
        <row r="112">
          <cell r="C112" t="str">
            <v>b925cc01-027c-4471-a321-9f09a277790f</v>
          </cell>
          <cell r="D112">
            <v>98</v>
          </cell>
          <cell r="E112">
            <v>2</v>
          </cell>
          <cell r="F112" t="str">
            <v>Line_2</v>
          </cell>
          <cell r="G112" t="str">
            <v>AddE</v>
          </cell>
          <cell r="I112" t="str">
            <v>Easy Flowers Sales (200AAA)</v>
          </cell>
          <cell r="J112">
            <v>46015.64</v>
          </cell>
          <cell r="K112">
            <v>0</v>
          </cell>
          <cell r="L112">
            <v>46015.64</v>
          </cell>
          <cell r="M112">
            <v>0</v>
          </cell>
          <cell r="N112">
            <v>0</v>
          </cell>
          <cell r="O112" t="str">
            <v>Add</v>
          </cell>
          <cell r="P112">
            <v>0</v>
          </cell>
          <cell r="W112" t="str">
            <v>NA</v>
          </cell>
          <cell r="Y112">
            <v>0</v>
          </cell>
          <cell r="Z112" t="b">
            <v>0</v>
          </cell>
          <cell r="AA112" t="b">
            <v>0</v>
          </cell>
          <cell r="AB112" t="b">
            <v>0</v>
          </cell>
          <cell r="AC112">
            <v>0</v>
          </cell>
          <cell r="AD112" t="b">
            <v>1</v>
          </cell>
          <cell r="AF112" t="str">
            <v xml:space="preserve">Refer M35 </v>
          </cell>
          <cell r="AG112" t="str">
            <v>P</v>
          </cell>
          <cell r="AH112" t="str">
            <v/>
          </cell>
          <cell r="AI112">
            <v>0</v>
          </cell>
          <cell r="AL112" t="str">
            <v/>
          </cell>
        </row>
        <row r="113">
          <cell r="C113" t="str">
            <v>bcad2595-8c00-441b-8d6c-0208f4538447</v>
          </cell>
          <cell r="D113">
            <v>99</v>
          </cell>
          <cell r="E113">
            <v>2</v>
          </cell>
          <cell r="F113" t="str">
            <v>Line_2</v>
          </cell>
          <cell r="G113" t="str">
            <v>AddE</v>
          </cell>
          <cell r="I113" t="str">
            <v>Website Sales (200B)</v>
          </cell>
          <cell r="J113">
            <v>87264.28</v>
          </cell>
          <cell r="K113">
            <v>50263.82</v>
          </cell>
          <cell r="L113">
            <v>37000.46</v>
          </cell>
          <cell r="M113">
            <v>0.73612510947237997</v>
          </cell>
          <cell r="N113">
            <v>0</v>
          </cell>
          <cell r="O113" t="str">
            <v>Add</v>
          </cell>
          <cell r="P113">
            <v>0</v>
          </cell>
          <cell r="W113" t="str">
            <v>NA</v>
          </cell>
          <cell r="Y113">
            <v>0</v>
          </cell>
          <cell r="Z113" t="b">
            <v>0</v>
          </cell>
          <cell r="AA113" t="b">
            <v>0</v>
          </cell>
          <cell r="AB113" t="b">
            <v>0</v>
          </cell>
          <cell r="AC113">
            <v>0</v>
          </cell>
          <cell r="AD113" t="b">
            <v>1</v>
          </cell>
          <cell r="AF113" t="str">
            <v xml:space="preserve">Refer M35 </v>
          </cell>
          <cell r="AG113" t="str">
            <v>P</v>
          </cell>
          <cell r="AH113" t="str">
            <v/>
          </cell>
          <cell r="AI113">
            <v>0</v>
          </cell>
          <cell r="AL113" t="str">
            <v/>
          </cell>
        </row>
        <row r="114">
          <cell r="C114" t="str">
            <v>7507eaf2-e1d3-4339-bf3a-0eeaaf013d19</v>
          </cell>
          <cell r="D114">
            <v>100</v>
          </cell>
          <cell r="E114">
            <v>2</v>
          </cell>
          <cell r="F114" t="str">
            <v>Line_2</v>
          </cell>
          <cell r="G114" t="str">
            <v>AddE</v>
          </cell>
          <cell r="I114" t="str">
            <v>Afterpay Sales (200C)</v>
          </cell>
          <cell r="J114">
            <v>0</v>
          </cell>
          <cell r="K114">
            <v>6053.55</v>
          </cell>
          <cell r="L114">
            <v>-6053.55</v>
          </cell>
          <cell r="M114">
            <v>-1</v>
          </cell>
          <cell r="N114">
            <v>0</v>
          </cell>
          <cell r="O114" t="str">
            <v>Add</v>
          </cell>
          <cell r="P114">
            <v>0</v>
          </cell>
          <cell r="W114" t="str">
            <v>NA</v>
          </cell>
          <cell r="Y114">
            <v>0</v>
          </cell>
          <cell r="Z114" t="b">
            <v>0</v>
          </cell>
          <cell r="AA114" t="b">
            <v>0</v>
          </cell>
          <cell r="AB114" t="b">
            <v>0</v>
          </cell>
          <cell r="AC114">
            <v>0</v>
          </cell>
          <cell r="AD114" t="b">
            <v>1</v>
          </cell>
          <cell r="AG114" t="str">
            <v>P</v>
          </cell>
          <cell r="AH114" t="str">
            <v/>
          </cell>
          <cell r="AI114">
            <v>0</v>
          </cell>
          <cell r="AL114" t="str">
            <v/>
          </cell>
        </row>
        <row r="115">
          <cell r="C115" t="str">
            <v>2b8bf61d-57a2-476a-b487-8fed99e761ce</v>
          </cell>
          <cell r="D115">
            <v>101</v>
          </cell>
          <cell r="E115">
            <v>2</v>
          </cell>
          <cell r="F115" t="str">
            <v>Line_2</v>
          </cell>
          <cell r="G115" t="str">
            <v>AddE</v>
          </cell>
          <cell r="I115" t="str">
            <v>Giftware Sales (200D)</v>
          </cell>
          <cell r="J115">
            <v>15229.51</v>
          </cell>
          <cell r="K115">
            <v>12428.97</v>
          </cell>
          <cell r="L115">
            <v>2800.54</v>
          </cell>
          <cell r="M115">
            <v>0.22532357870362549</v>
          </cell>
          <cell r="N115">
            <v>0</v>
          </cell>
          <cell r="O115" t="str">
            <v>Add</v>
          </cell>
          <cell r="P115">
            <v>0</v>
          </cell>
          <cell r="W115" t="str">
            <v>NA</v>
          </cell>
          <cell r="Y115">
            <v>0</v>
          </cell>
          <cell r="Z115" t="b">
            <v>0</v>
          </cell>
          <cell r="AA115" t="b">
            <v>0</v>
          </cell>
          <cell r="AB115" t="b">
            <v>0</v>
          </cell>
          <cell r="AC115">
            <v>0</v>
          </cell>
          <cell r="AD115" t="b">
            <v>1</v>
          </cell>
          <cell r="AF115" t="str">
            <v xml:space="preserve">Refer M35 </v>
          </cell>
          <cell r="AG115" t="str">
            <v>P</v>
          </cell>
          <cell r="AH115" t="str">
            <v/>
          </cell>
          <cell r="AI115">
            <v>0</v>
          </cell>
          <cell r="AL115" t="str">
            <v/>
          </cell>
        </row>
        <row r="116">
          <cell r="C116" t="str">
            <v>4517ebbe-7475-4ec3-adff-fc148d51d150</v>
          </cell>
          <cell r="D116">
            <v>103</v>
          </cell>
          <cell r="E116">
            <v>2</v>
          </cell>
          <cell r="F116" t="str">
            <v>Line_2</v>
          </cell>
          <cell r="G116" t="str">
            <v>AddE</v>
          </cell>
          <cell r="I116" t="str">
            <v>Funeral Florals (201)</v>
          </cell>
          <cell r="J116">
            <v>70383.520000000004</v>
          </cell>
          <cell r="K116">
            <v>80533.02</v>
          </cell>
          <cell r="L116">
            <v>-10149.5</v>
          </cell>
          <cell r="M116">
            <v>-0.12602904994746256</v>
          </cell>
          <cell r="N116">
            <v>0</v>
          </cell>
          <cell r="O116" t="str">
            <v>Add</v>
          </cell>
          <cell r="P116">
            <v>0</v>
          </cell>
          <cell r="W116" t="str">
            <v>NA</v>
          </cell>
          <cell r="Y116">
            <v>0</v>
          </cell>
          <cell r="Z116" t="b">
            <v>0</v>
          </cell>
          <cell r="AA116" t="b">
            <v>0</v>
          </cell>
          <cell r="AB116" t="b">
            <v>0</v>
          </cell>
          <cell r="AC116">
            <v>0</v>
          </cell>
          <cell r="AD116" t="b">
            <v>1</v>
          </cell>
          <cell r="AF116" t="str">
            <v xml:space="preserve">Refer M35 </v>
          </cell>
          <cell r="AG116" t="str">
            <v>P</v>
          </cell>
          <cell r="AH116" t="str">
            <v/>
          </cell>
          <cell r="AI116">
            <v>0</v>
          </cell>
          <cell r="AL116" t="str">
            <v/>
          </cell>
        </row>
        <row r="117">
          <cell r="C117" t="str">
            <v>3aa89c74-81c5-416b-9ea6-9db55ec3e4ce</v>
          </cell>
          <cell r="D117">
            <v>104</v>
          </cell>
          <cell r="E117">
            <v>2</v>
          </cell>
          <cell r="F117" t="str">
            <v>Line_2</v>
          </cell>
          <cell r="G117" t="str">
            <v>AddE</v>
          </cell>
          <cell r="I117" t="str">
            <v>Funeral Discounts (201a)</v>
          </cell>
          <cell r="J117">
            <v>-6560.14</v>
          </cell>
          <cell r="K117">
            <v>0</v>
          </cell>
          <cell r="L117">
            <v>-6560.14</v>
          </cell>
          <cell r="M117">
            <v>0</v>
          </cell>
          <cell r="N117">
            <v>0</v>
          </cell>
          <cell r="O117" t="str">
            <v>Add</v>
          </cell>
          <cell r="P117">
            <v>0</v>
          </cell>
          <cell r="W117" t="str">
            <v>NA</v>
          </cell>
          <cell r="Y117">
            <v>0</v>
          </cell>
          <cell r="Z117" t="b">
            <v>0</v>
          </cell>
          <cell r="AA117" t="b">
            <v>0</v>
          </cell>
          <cell r="AB117" t="b">
            <v>0</v>
          </cell>
          <cell r="AC117">
            <v>0</v>
          </cell>
          <cell r="AD117" t="b">
            <v>1</v>
          </cell>
          <cell r="AF117" t="str">
            <v xml:space="preserve">Refer M35 </v>
          </cell>
          <cell r="AG117" t="str">
            <v>P</v>
          </cell>
          <cell r="AH117" t="str">
            <v/>
          </cell>
          <cell r="AI117">
            <v>0</v>
          </cell>
          <cell r="AL117" t="str">
            <v/>
          </cell>
        </row>
        <row r="118">
          <cell r="C118" t="str">
            <v>4a7d7870-fccb-47c4-b04c-97638e6b2c32</v>
          </cell>
          <cell r="D118">
            <v>105</v>
          </cell>
          <cell r="E118">
            <v>2</v>
          </cell>
          <cell r="F118" t="str">
            <v>Line_2</v>
          </cell>
          <cell r="G118" t="str">
            <v>AddE</v>
          </cell>
          <cell r="I118" t="str">
            <v>Weddings (202)</v>
          </cell>
          <cell r="J118">
            <v>217011.7</v>
          </cell>
          <cell r="K118">
            <v>76841.42</v>
          </cell>
          <cell r="L118">
            <v>140170.28</v>
          </cell>
          <cell r="M118">
            <v>1.8241500482422111</v>
          </cell>
          <cell r="N118">
            <v>0</v>
          </cell>
          <cell r="O118" t="str">
            <v>Add</v>
          </cell>
          <cell r="P118">
            <v>0</v>
          </cell>
          <cell r="W118" t="str">
            <v>NA</v>
          </cell>
          <cell r="Y118">
            <v>0</v>
          </cell>
          <cell r="Z118" t="b">
            <v>0</v>
          </cell>
          <cell r="AA118" t="b">
            <v>0</v>
          </cell>
          <cell r="AB118" t="b">
            <v>0</v>
          </cell>
          <cell r="AC118">
            <v>0</v>
          </cell>
          <cell r="AD118" t="b">
            <v>1</v>
          </cell>
          <cell r="AF118" t="str">
            <v xml:space="preserve">Refer M35 </v>
          </cell>
          <cell r="AG118" t="str">
            <v>P</v>
          </cell>
          <cell r="AH118" t="str">
            <v/>
          </cell>
          <cell r="AI118">
            <v>0</v>
          </cell>
          <cell r="AL118" t="str">
            <v/>
          </cell>
        </row>
        <row r="119">
          <cell r="C119" t="str">
            <v>78aee140-a2ab-4b70-866c-db786a723fc2</v>
          </cell>
          <cell r="D119">
            <v>106</v>
          </cell>
          <cell r="E119">
            <v>2</v>
          </cell>
          <cell r="F119" t="str">
            <v>Line_2</v>
          </cell>
          <cell r="G119" t="str">
            <v>AddE</v>
          </cell>
          <cell r="I119" t="str">
            <v>Event Sales (202A)</v>
          </cell>
          <cell r="J119">
            <v>7118.18</v>
          </cell>
          <cell r="K119">
            <v>0</v>
          </cell>
          <cell r="L119">
            <v>7118.18</v>
          </cell>
          <cell r="M119">
            <v>0</v>
          </cell>
          <cell r="N119">
            <v>0</v>
          </cell>
          <cell r="O119" t="str">
            <v>Add</v>
          </cell>
          <cell r="P119">
            <v>0</v>
          </cell>
          <cell r="W119" t="str">
            <v>NA</v>
          </cell>
          <cell r="Y119">
            <v>0</v>
          </cell>
          <cell r="Z119" t="b">
            <v>0</v>
          </cell>
          <cell r="AA119" t="b">
            <v>0</v>
          </cell>
          <cell r="AB119" t="b">
            <v>0</v>
          </cell>
          <cell r="AC119">
            <v>0</v>
          </cell>
          <cell r="AD119" t="b">
            <v>1</v>
          </cell>
          <cell r="AF119" t="str">
            <v xml:space="preserve">Refer M35 </v>
          </cell>
          <cell r="AG119" t="str">
            <v>P</v>
          </cell>
          <cell r="AH119" t="str">
            <v/>
          </cell>
          <cell r="AI119">
            <v>0</v>
          </cell>
          <cell r="AL119" t="str">
            <v/>
          </cell>
        </row>
        <row r="120">
          <cell r="C120" t="str">
            <v>f07bbf30-549a-47e1-83f4-715da884df19</v>
          </cell>
          <cell r="D120">
            <v>107</v>
          </cell>
          <cell r="E120">
            <v>2</v>
          </cell>
          <cell r="F120" t="str">
            <v>Line_2</v>
          </cell>
          <cell r="G120" t="str">
            <v>AddE</v>
          </cell>
          <cell r="I120" t="str">
            <v>Qoin Sales (203)</v>
          </cell>
          <cell r="J120">
            <v>4550.45</v>
          </cell>
          <cell r="K120">
            <v>4143.6400000000003</v>
          </cell>
          <cell r="L120">
            <v>406.81</v>
          </cell>
          <cell r="M120">
            <v>9.8176965180372805E-2</v>
          </cell>
          <cell r="N120">
            <v>0</v>
          </cell>
          <cell r="O120" t="str">
            <v>Add</v>
          </cell>
          <cell r="P120">
            <v>0</v>
          </cell>
          <cell r="W120" t="str">
            <v>NA</v>
          </cell>
          <cell r="Y120">
            <v>0</v>
          </cell>
          <cell r="Z120" t="b">
            <v>0</v>
          </cell>
          <cell r="AA120" t="b">
            <v>0</v>
          </cell>
          <cell r="AB120" t="b">
            <v>0</v>
          </cell>
          <cell r="AC120">
            <v>0</v>
          </cell>
          <cell r="AD120" t="b">
            <v>1</v>
          </cell>
          <cell r="AF120" t="str">
            <v xml:space="preserve">Refer M35 </v>
          </cell>
          <cell r="AG120" t="str">
            <v>P</v>
          </cell>
          <cell r="AH120" t="str">
            <v/>
          </cell>
          <cell r="AI120">
            <v>0</v>
          </cell>
          <cell r="AL120" t="str">
            <v/>
          </cell>
        </row>
        <row r="121">
          <cell r="C121" t="str">
            <v>1030205f-8364-4595-922e-f430634353f3</v>
          </cell>
          <cell r="D121">
            <v>108</v>
          </cell>
          <cell r="E121">
            <v>2</v>
          </cell>
          <cell r="F121" t="str">
            <v>Line_2</v>
          </cell>
          <cell r="G121" t="str">
            <v>AddE</v>
          </cell>
          <cell r="I121" t="str">
            <v>Deliveries to Customers (204)</v>
          </cell>
          <cell r="J121">
            <v>50039.6</v>
          </cell>
          <cell r="K121">
            <v>11425.47</v>
          </cell>
          <cell r="L121">
            <v>38614.129999999997</v>
          </cell>
          <cell r="M121">
            <v>3.3796535284762905</v>
          </cell>
          <cell r="N121">
            <v>0</v>
          </cell>
          <cell r="O121" t="str">
            <v>Add</v>
          </cell>
          <cell r="P121">
            <v>0</v>
          </cell>
          <cell r="W121" t="str">
            <v>NA</v>
          </cell>
          <cell r="Y121">
            <v>0</v>
          </cell>
          <cell r="Z121" t="b">
            <v>0</v>
          </cell>
          <cell r="AA121" t="b">
            <v>0</v>
          </cell>
          <cell r="AB121" t="b">
            <v>0</v>
          </cell>
          <cell r="AC121">
            <v>0</v>
          </cell>
          <cell r="AD121" t="b">
            <v>1</v>
          </cell>
          <cell r="AF121" t="str">
            <v xml:space="preserve">Refer M35 </v>
          </cell>
          <cell r="AG121" t="str">
            <v>P</v>
          </cell>
          <cell r="AH121" t="str">
            <v/>
          </cell>
          <cell r="AI121">
            <v>0</v>
          </cell>
          <cell r="AL121" t="str">
            <v/>
          </cell>
        </row>
        <row r="122">
          <cell r="C122" t="str">
            <v>fbeb48a7-129f-41c8-9fc5-a13ea6a5a192</v>
          </cell>
          <cell r="D122">
            <v>109</v>
          </cell>
          <cell r="E122">
            <v>2</v>
          </cell>
          <cell r="F122" t="str">
            <v>Line_2</v>
          </cell>
          <cell r="G122" t="str">
            <v>AddE</v>
          </cell>
          <cell r="I122" t="str">
            <v>Other Revenue (260)</v>
          </cell>
          <cell r="J122">
            <v>12443.38</v>
          </cell>
          <cell r="K122">
            <v>0</v>
          </cell>
          <cell r="L122">
            <v>12443.38</v>
          </cell>
          <cell r="M122">
            <v>0</v>
          </cell>
          <cell r="N122" t="str">
            <v>–</v>
          </cell>
          <cell r="O122" t="str">
            <v>Add</v>
          </cell>
          <cell r="P122">
            <v>1</v>
          </cell>
          <cell r="W122" t="str">
            <v>NA</v>
          </cell>
          <cell r="Y122">
            <v>8</v>
          </cell>
          <cell r="Z122" t="b">
            <v>0</v>
          </cell>
          <cell r="AA122" t="b">
            <v>0</v>
          </cell>
          <cell r="AB122" t="b">
            <v>0</v>
          </cell>
          <cell r="AC122">
            <v>0</v>
          </cell>
          <cell r="AD122" t="b">
            <v>1</v>
          </cell>
          <cell r="AG122" t="str">
            <v>P</v>
          </cell>
          <cell r="AH122" t="str">
            <v/>
          </cell>
          <cell r="AI122">
            <v>0</v>
          </cell>
          <cell r="AL122" t="str">
            <v/>
          </cell>
        </row>
        <row r="123">
          <cell r="C123" t="str">
            <v>fbeb48a7-129f-41c8-9fc5-a13ea6a5a192</v>
          </cell>
          <cell r="D123">
            <v>109</v>
          </cell>
          <cell r="E123">
            <v>100</v>
          </cell>
          <cell r="G123" t="str">
            <v>AddE</v>
          </cell>
          <cell r="O123" t="str">
            <v>}</v>
          </cell>
          <cell r="Q123" t="str">
            <v>fbeb48a7-129f-41c8-9fc5-a13ea6a5a192-100</v>
          </cell>
          <cell r="R123" t="str">
            <v>Worksheet</v>
          </cell>
          <cell r="S123" t="str">
            <v>1337796b-1c51-4954-987c-9c51b3b558d4</v>
          </cell>
          <cell r="T123" t="str">
            <v>5e1a5b92-5b24-4743-8c1c-1c58a63580dd</v>
          </cell>
          <cell r="U123">
            <v>12443.38</v>
          </cell>
          <cell r="V123" t="e">
            <v>#NAME?</v>
          </cell>
          <cell r="W123">
            <v>0</v>
          </cell>
          <cell r="X123" t="str">
            <v>fbeb48a7-129f-41c8-9fc5-a13ea6a5a192-0</v>
          </cell>
          <cell r="Y123">
            <v>8</v>
          </cell>
          <cell r="Z123" t="b">
            <v>0</v>
          </cell>
          <cell r="AA123" t="b">
            <v>0</v>
          </cell>
          <cell r="AB123" t="b">
            <v>0</v>
          </cell>
          <cell r="AC123">
            <v>0</v>
          </cell>
          <cell r="AD123" t="b">
            <v>0</v>
          </cell>
          <cell r="AE123" t="str">
            <v/>
          </cell>
          <cell r="AF123" t="str">
            <v>M20-2 Other Income</v>
          </cell>
          <cell r="AG123" t="str">
            <v>P</v>
          </cell>
          <cell r="AH123" t="str">
            <v>]</v>
          </cell>
          <cell r="AI123" t="str">
            <v/>
          </cell>
          <cell r="AJ123" t="str">
            <v/>
          </cell>
          <cell r="AK123" t="str">
            <v>Total Other Income</v>
          </cell>
          <cell r="AL123" t="str">
            <v>Complete</v>
          </cell>
          <cell r="AM123" t="str">
            <v>Adam Volcov</v>
          </cell>
          <cell r="AN123">
            <v>44873</v>
          </cell>
          <cell r="AO123" t="str">
            <v>O</v>
          </cell>
          <cell r="AP123" t="str">
            <v>P</v>
          </cell>
          <cell r="AQ123" t="str">
            <v>Q</v>
          </cell>
        </row>
        <row r="124">
          <cell r="C124" t="str">
            <v>7c883071-53ac-414e-b765-4da890baaa60</v>
          </cell>
          <cell r="D124">
            <v>110</v>
          </cell>
          <cell r="E124">
            <v>2</v>
          </cell>
          <cell r="F124" t="str">
            <v>Line_2</v>
          </cell>
          <cell r="G124" t="str">
            <v>AddE</v>
          </cell>
          <cell r="I124" t="str">
            <v>ATO Stimulus (261)</v>
          </cell>
          <cell r="J124">
            <v>0</v>
          </cell>
          <cell r="K124">
            <v>17054</v>
          </cell>
          <cell r="L124">
            <v>-17054</v>
          </cell>
          <cell r="M124">
            <v>-1</v>
          </cell>
          <cell r="N124">
            <v>0</v>
          </cell>
          <cell r="O124" t="str">
            <v>Add</v>
          </cell>
          <cell r="P124">
            <v>0</v>
          </cell>
          <cell r="W124" t="str">
            <v>NA</v>
          </cell>
          <cell r="Y124">
            <v>0</v>
          </cell>
          <cell r="Z124" t="b">
            <v>0</v>
          </cell>
          <cell r="AA124" t="b">
            <v>0</v>
          </cell>
          <cell r="AB124" t="b">
            <v>0</v>
          </cell>
          <cell r="AC124">
            <v>0</v>
          </cell>
          <cell r="AD124" t="b">
            <v>1</v>
          </cell>
          <cell r="AG124" t="str">
            <v>P</v>
          </cell>
          <cell r="AH124" t="str">
            <v/>
          </cell>
          <cell r="AI124">
            <v>0</v>
          </cell>
          <cell r="AL124" t="str">
            <v/>
          </cell>
        </row>
        <row r="125">
          <cell r="C125" t="str">
            <v>2d3598bf-f0c6-486e-a9c1-9e1be34c749a</v>
          </cell>
          <cell r="D125">
            <v>111</v>
          </cell>
          <cell r="E125">
            <v>2</v>
          </cell>
          <cell r="F125" t="str">
            <v>Line_2</v>
          </cell>
          <cell r="G125" t="str">
            <v>AddE</v>
          </cell>
          <cell r="I125" t="str">
            <v>Jobkeeper Subsidy ( No Gst ) (262)</v>
          </cell>
          <cell r="J125">
            <v>0</v>
          </cell>
          <cell r="K125">
            <v>75000</v>
          </cell>
          <cell r="L125">
            <v>-75000</v>
          </cell>
          <cell r="M125">
            <v>-1</v>
          </cell>
          <cell r="N125">
            <v>0</v>
          </cell>
          <cell r="O125" t="str">
            <v>Add</v>
          </cell>
          <cell r="P125">
            <v>0</v>
          </cell>
          <cell r="W125" t="str">
            <v>NA</v>
          </cell>
          <cell r="Y125">
            <v>0</v>
          </cell>
          <cell r="Z125" t="b">
            <v>0</v>
          </cell>
          <cell r="AA125" t="b">
            <v>0</v>
          </cell>
          <cell r="AB125" t="b">
            <v>0</v>
          </cell>
          <cell r="AC125">
            <v>0</v>
          </cell>
          <cell r="AD125" t="b">
            <v>1</v>
          </cell>
          <cell r="AG125" t="str">
            <v>P</v>
          </cell>
          <cell r="AH125" t="str">
            <v/>
          </cell>
          <cell r="AI125">
            <v>0</v>
          </cell>
          <cell r="AL125" t="str">
            <v/>
          </cell>
        </row>
        <row r="126">
          <cell r="C126" t="str">
            <v>f5a15dcd-362f-4fe5-92af-f50a0c110177</v>
          </cell>
          <cell r="D126">
            <v>112</v>
          </cell>
          <cell r="E126">
            <v>2</v>
          </cell>
          <cell r="F126" t="str">
            <v>Line_2</v>
          </cell>
          <cell r="G126" t="str">
            <v>AddE</v>
          </cell>
          <cell r="I126" t="str">
            <v>Government Grants (263)</v>
          </cell>
          <cell r="J126">
            <v>10000</v>
          </cell>
          <cell r="K126">
            <v>9975</v>
          </cell>
          <cell r="L126">
            <v>25</v>
          </cell>
          <cell r="M126">
            <v>2.5062656641604009E-3</v>
          </cell>
          <cell r="N126" t="str">
            <v>–</v>
          </cell>
          <cell r="O126" t="str">
            <v>Add</v>
          </cell>
          <cell r="P126">
            <v>1</v>
          </cell>
          <cell r="W126" t="str">
            <v>NA</v>
          </cell>
          <cell r="Y126">
            <v>8</v>
          </cell>
          <cell r="Z126" t="b">
            <v>0</v>
          </cell>
          <cell r="AA126" t="b">
            <v>0</v>
          </cell>
          <cell r="AB126" t="b">
            <v>0</v>
          </cell>
          <cell r="AC126">
            <v>0</v>
          </cell>
          <cell r="AD126" t="b">
            <v>1</v>
          </cell>
          <cell r="AG126" t="str">
            <v>P</v>
          </cell>
          <cell r="AH126" t="str">
            <v/>
          </cell>
          <cell r="AI126">
            <v>0</v>
          </cell>
          <cell r="AL126" t="str">
            <v/>
          </cell>
        </row>
        <row r="127">
          <cell r="C127" t="str">
            <v>f5a15dcd-362f-4fe5-92af-f50a0c110177</v>
          </cell>
          <cell r="D127">
            <v>112</v>
          </cell>
          <cell r="E127">
            <v>100</v>
          </cell>
          <cell r="G127" t="str">
            <v>AddE</v>
          </cell>
          <cell r="O127" t="str">
            <v>}</v>
          </cell>
          <cell r="Q127" t="str">
            <v>f5a15dcd-362f-4fe5-92af-f50a0c110177-100</v>
          </cell>
          <cell r="R127" t="str">
            <v>Worksheet</v>
          </cell>
          <cell r="S127" t="str">
            <v>6ae14992-8870-4715-8448-067d275d4e0a</v>
          </cell>
          <cell r="T127" t="str">
            <v>5e1a5b92-5b24-4743-8c1c-1c58a63580dd</v>
          </cell>
          <cell r="U127">
            <v>10000</v>
          </cell>
          <cell r="V127" t="e">
            <v>#NAME?</v>
          </cell>
          <cell r="W127">
            <v>0</v>
          </cell>
          <cell r="X127" t="str">
            <v>f5a15dcd-362f-4fe5-92af-f50a0c110177-0</v>
          </cell>
          <cell r="Y127">
            <v>8</v>
          </cell>
          <cell r="Z127" t="b">
            <v>0</v>
          </cell>
          <cell r="AA127" t="b">
            <v>0</v>
          </cell>
          <cell r="AB127" t="b">
            <v>0</v>
          </cell>
          <cell r="AC127">
            <v>0</v>
          </cell>
          <cell r="AD127" t="b">
            <v>0</v>
          </cell>
          <cell r="AE127" t="str">
            <v/>
          </cell>
          <cell r="AF127" t="str">
            <v>M20 Other Income</v>
          </cell>
          <cell r="AG127" t="str">
            <v>P</v>
          </cell>
          <cell r="AH127" t="str">
            <v>]</v>
          </cell>
          <cell r="AI127" t="str">
            <v/>
          </cell>
          <cell r="AJ127" t="str">
            <v/>
          </cell>
          <cell r="AK127" t="str">
            <v>Total Other Income</v>
          </cell>
          <cell r="AL127" t="str">
            <v>Complete</v>
          </cell>
          <cell r="AM127" t="str">
            <v>Adam Volcov</v>
          </cell>
          <cell r="AN127">
            <v>44873</v>
          </cell>
          <cell r="AO127" t="str">
            <v>O</v>
          </cell>
          <cell r="AP127" t="str">
            <v>P</v>
          </cell>
          <cell r="AQ127" t="str">
            <v>Q</v>
          </cell>
        </row>
        <row r="128">
          <cell r="C128" t="str">
            <v>ef3cc454-d249-429a-9086-8c07a532936a</v>
          </cell>
          <cell r="D128">
            <v>114</v>
          </cell>
          <cell r="E128">
            <v>2</v>
          </cell>
          <cell r="F128" t="str">
            <v>Line_2</v>
          </cell>
          <cell r="G128" t="str">
            <v>AddE</v>
          </cell>
          <cell r="I128" t="str">
            <v>Interest Income (270)</v>
          </cell>
          <cell r="J128">
            <v>0</v>
          </cell>
          <cell r="K128">
            <v>62.16</v>
          </cell>
          <cell r="L128">
            <v>-62.16</v>
          </cell>
          <cell r="M128">
            <v>-1</v>
          </cell>
          <cell r="N128">
            <v>0</v>
          </cell>
          <cell r="O128" t="str">
            <v>Add</v>
          </cell>
          <cell r="P128">
            <v>0</v>
          </cell>
          <cell r="W128" t="str">
            <v>NA</v>
          </cell>
          <cell r="Y128">
            <v>0</v>
          </cell>
          <cell r="Z128" t="b">
            <v>0</v>
          </cell>
          <cell r="AA128" t="b">
            <v>0</v>
          </cell>
          <cell r="AB128" t="b">
            <v>0</v>
          </cell>
          <cell r="AC128">
            <v>0</v>
          </cell>
          <cell r="AD128" t="b">
            <v>1</v>
          </cell>
          <cell r="AG128" t="str">
            <v>P</v>
          </cell>
          <cell r="AH128" t="str">
            <v/>
          </cell>
          <cell r="AI128">
            <v>0</v>
          </cell>
          <cell r="AL128" t="str">
            <v/>
          </cell>
        </row>
        <row r="129">
          <cell r="C129" t="str">
            <v>ae3b5327-1596-4f4b-8f62-8e01290f22c7</v>
          </cell>
          <cell r="D129">
            <v>115</v>
          </cell>
          <cell r="E129">
            <v>2</v>
          </cell>
          <cell r="F129" t="str">
            <v>Line_2</v>
          </cell>
          <cell r="G129" t="str">
            <v>AddE</v>
          </cell>
          <cell r="I129" t="str">
            <v>Shopify Sales (SH-20000)</v>
          </cell>
          <cell r="J129">
            <v>1137.0899999999999</v>
          </cell>
          <cell r="K129">
            <v>0</v>
          </cell>
          <cell r="L129">
            <v>1137.0899999999999</v>
          </cell>
          <cell r="M129">
            <v>0</v>
          </cell>
          <cell r="N129">
            <v>0</v>
          </cell>
          <cell r="O129" t="str">
            <v>Add</v>
          </cell>
          <cell r="P129">
            <v>0</v>
          </cell>
          <cell r="W129" t="str">
            <v>NA</v>
          </cell>
          <cell r="Y129">
            <v>0</v>
          </cell>
          <cell r="Z129" t="b">
            <v>0</v>
          </cell>
          <cell r="AA129" t="b">
            <v>0</v>
          </cell>
          <cell r="AB129" t="b">
            <v>0</v>
          </cell>
          <cell r="AC129">
            <v>0</v>
          </cell>
          <cell r="AD129" t="b">
            <v>1</v>
          </cell>
          <cell r="AH129" t="str">
            <v/>
          </cell>
          <cell r="AI129">
            <v>0</v>
          </cell>
          <cell r="AL129" t="str">
            <v/>
          </cell>
        </row>
        <row r="130">
          <cell r="C130" t="str">
            <v>REVENUETotal</v>
          </cell>
          <cell r="D130">
            <v>118</v>
          </cell>
          <cell r="E130">
            <v>1</v>
          </cell>
          <cell r="F130" t="str">
            <v>Total_1</v>
          </cell>
          <cell r="G130" t="str">
            <v>AddE</v>
          </cell>
          <cell r="I130" t="str">
            <v>Total REVENUE</v>
          </cell>
          <cell r="J130">
            <v>969965.01</v>
          </cell>
          <cell r="K130">
            <v>971976.43</v>
          </cell>
          <cell r="L130">
            <v>-2011.42</v>
          </cell>
          <cell r="M130">
            <v>-2.0694123210374558E-3</v>
          </cell>
          <cell r="N130">
            <v>0</v>
          </cell>
          <cell r="O130" t="str">
            <v>Add</v>
          </cell>
          <cell r="P130">
            <v>0</v>
          </cell>
          <cell r="W130" t="str">
            <v>NA</v>
          </cell>
          <cell r="Y130">
            <v>0</v>
          </cell>
          <cell r="Z130" t="b">
            <v>0</v>
          </cell>
          <cell r="AA130" t="b">
            <v>0</v>
          </cell>
          <cell r="AB130" t="b">
            <v>0</v>
          </cell>
          <cell r="AC130">
            <v>0</v>
          </cell>
          <cell r="AD130" t="b">
            <v>1</v>
          </cell>
          <cell r="AG130" t="str">
            <v>P</v>
          </cell>
          <cell r="AH130" t="str">
            <v/>
          </cell>
          <cell r="AI130">
            <v>0</v>
          </cell>
          <cell r="AL130" t="str">
            <v/>
          </cell>
        </row>
        <row r="131">
          <cell r="C131" t="str">
            <v>EXPENSE</v>
          </cell>
          <cell r="D131">
            <v>119</v>
          </cell>
          <cell r="E131">
            <v>1</v>
          </cell>
          <cell r="F131" t="str">
            <v>Header_1</v>
          </cell>
          <cell r="G131" t="str">
            <v>AddF</v>
          </cell>
          <cell r="I131" t="str">
            <v>EXPENSE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P131">
            <v>0</v>
          </cell>
          <cell r="W131" t="str">
            <v>NA</v>
          </cell>
          <cell r="Y131">
            <v>0</v>
          </cell>
          <cell r="Z131" t="b">
            <v>0</v>
          </cell>
          <cell r="AA131" t="b">
            <v>0</v>
          </cell>
          <cell r="AB131" t="b">
            <v>0</v>
          </cell>
          <cell r="AC131">
            <v>0</v>
          </cell>
          <cell r="AD131" t="b">
            <v>1</v>
          </cell>
          <cell r="AH131" t="str">
            <v/>
          </cell>
          <cell r="AI131">
            <v>0</v>
          </cell>
          <cell r="AL131" t="str">
            <v/>
          </cell>
        </row>
        <row r="132">
          <cell r="C132" t="str">
            <v>cec8fcc5-4cd4-4335-900b-5fb195821a9f</v>
          </cell>
          <cell r="D132">
            <v>120</v>
          </cell>
          <cell r="E132">
            <v>2</v>
          </cell>
          <cell r="F132" t="str">
            <v>Line_2</v>
          </cell>
          <cell r="G132" t="str">
            <v>AddF</v>
          </cell>
          <cell r="I132" t="str">
            <v>Opening Stock on Hand (309)</v>
          </cell>
          <cell r="J132">
            <v>36000</v>
          </cell>
          <cell r="K132">
            <v>36000</v>
          </cell>
          <cell r="L132">
            <v>0</v>
          </cell>
          <cell r="M132">
            <v>0</v>
          </cell>
          <cell r="N132">
            <v>0</v>
          </cell>
          <cell r="O132" t="str">
            <v>Add</v>
          </cell>
          <cell r="P132">
            <v>0</v>
          </cell>
          <cell r="W132" t="str">
            <v>NA</v>
          </cell>
          <cell r="Y132">
            <v>0</v>
          </cell>
          <cell r="Z132" t="b">
            <v>0</v>
          </cell>
          <cell r="AA132" t="b">
            <v>0</v>
          </cell>
          <cell r="AB132" t="b">
            <v>0</v>
          </cell>
          <cell r="AC132">
            <v>0</v>
          </cell>
          <cell r="AD132" t="b">
            <v>1</v>
          </cell>
          <cell r="AG132" t="str">
            <v>P</v>
          </cell>
          <cell r="AH132" t="str">
            <v/>
          </cell>
          <cell r="AI132">
            <v>0</v>
          </cell>
          <cell r="AL132" t="str">
            <v/>
          </cell>
        </row>
        <row r="133">
          <cell r="C133" t="str">
            <v>df59a556-602b-4878-a4a8-050f127e8ce1</v>
          </cell>
          <cell r="D133">
            <v>122</v>
          </cell>
          <cell r="E133">
            <v>2</v>
          </cell>
          <cell r="F133" t="str">
            <v>Line_2</v>
          </cell>
          <cell r="G133" t="str">
            <v>AddF</v>
          </cell>
          <cell r="I133" t="str">
            <v>Flower Purchases (311)</v>
          </cell>
          <cell r="J133">
            <v>366295.39</v>
          </cell>
          <cell r="K133">
            <v>336109.35</v>
          </cell>
          <cell r="L133">
            <v>30186.04</v>
          </cell>
          <cell r="M133">
            <v>8.9810176360758789E-2</v>
          </cell>
          <cell r="N133">
            <v>0</v>
          </cell>
          <cell r="O133" t="str">
            <v>Add</v>
          </cell>
          <cell r="P133">
            <v>0</v>
          </cell>
          <cell r="W133" t="str">
            <v>NA</v>
          </cell>
          <cell r="Y133">
            <v>0</v>
          </cell>
          <cell r="Z133" t="b">
            <v>0</v>
          </cell>
          <cell r="AA133" t="b">
            <v>0</v>
          </cell>
          <cell r="AB133" t="b">
            <v>0</v>
          </cell>
          <cell r="AC133">
            <v>0</v>
          </cell>
          <cell r="AD133" t="b">
            <v>1</v>
          </cell>
          <cell r="AF133" t="str">
            <v xml:space="preserve">Refer M35 </v>
          </cell>
          <cell r="AG133" t="str">
            <v>P</v>
          </cell>
          <cell r="AH133" t="str">
            <v/>
          </cell>
          <cell r="AI133">
            <v>0</v>
          </cell>
          <cell r="AL133" t="str">
            <v/>
          </cell>
        </row>
        <row r="134">
          <cell r="C134" t="str">
            <v>edcc6dc9-b98d-48b3-97ff-401e42a5dd40</v>
          </cell>
          <cell r="D134">
            <v>123</v>
          </cell>
          <cell r="E134">
            <v>2</v>
          </cell>
          <cell r="F134" t="str">
            <v>Line_2</v>
          </cell>
          <cell r="G134" t="str">
            <v>AddF</v>
          </cell>
          <cell r="I134" t="str">
            <v>Floral Materials (312)</v>
          </cell>
          <cell r="J134">
            <v>38722.43</v>
          </cell>
          <cell r="K134">
            <v>35796.53</v>
          </cell>
          <cell r="L134">
            <v>2925.9</v>
          </cell>
          <cell r="M134">
            <v>8.1736972829489343E-2</v>
          </cell>
          <cell r="N134">
            <v>0</v>
          </cell>
          <cell r="O134" t="str">
            <v>Add</v>
          </cell>
          <cell r="P134">
            <v>0</v>
          </cell>
          <cell r="W134" t="str">
            <v>NA</v>
          </cell>
          <cell r="Y134">
            <v>0</v>
          </cell>
          <cell r="Z134" t="b">
            <v>0</v>
          </cell>
          <cell r="AA134" t="b">
            <v>0</v>
          </cell>
          <cell r="AB134" t="b">
            <v>0</v>
          </cell>
          <cell r="AC134">
            <v>0</v>
          </cell>
          <cell r="AD134" t="b">
            <v>1</v>
          </cell>
          <cell r="AF134" t="str">
            <v xml:space="preserve">Refer M35 </v>
          </cell>
          <cell r="AG134" t="str">
            <v>P</v>
          </cell>
          <cell r="AH134" t="str">
            <v/>
          </cell>
          <cell r="AI134">
            <v>0</v>
          </cell>
          <cell r="AL134" t="str">
            <v/>
          </cell>
        </row>
        <row r="135">
          <cell r="C135" t="str">
            <v>f27ae121-3dd4-4d8e-a572-675b4473ad55</v>
          </cell>
          <cell r="D135">
            <v>125</v>
          </cell>
          <cell r="E135">
            <v>2</v>
          </cell>
          <cell r="F135" t="str">
            <v>Line_2</v>
          </cell>
          <cell r="G135" t="str">
            <v>AddF</v>
          </cell>
          <cell r="I135" t="str">
            <v>Floral Consumables - Beverages (314)</v>
          </cell>
          <cell r="J135">
            <v>7418.39</v>
          </cell>
          <cell r="K135">
            <v>7290.71</v>
          </cell>
          <cell r="L135">
            <v>127.68</v>
          </cell>
          <cell r="M135">
            <v>1.7512697665933771E-2</v>
          </cell>
          <cell r="N135">
            <v>0</v>
          </cell>
          <cell r="O135" t="str">
            <v>Add</v>
          </cell>
          <cell r="P135">
            <v>0</v>
          </cell>
          <cell r="W135" t="str">
            <v>NA</v>
          </cell>
          <cell r="Y135">
            <v>0</v>
          </cell>
          <cell r="Z135" t="b">
            <v>0</v>
          </cell>
          <cell r="AA135" t="b">
            <v>0</v>
          </cell>
          <cell r="AB135" t="b">
            <v>0</v>
          </cell>
          <cell r="AC135">
            <v>0</v>
          </cell>
          <cell r="AD135" t="b">
            <v>1</v>
          </cell>
          <cell r="AF135" t="str">
            <v xml:space="preserve">Refer M35 </v>
          </cell>
          <cell r="AG135" t="str">
            <v>P</v>
          </cell>
          <cell r="AH135" t="str">
            <v/>
          </cell>
          <cell r="AI135">
            <v>0</v>
          </cell>
          <cell r="AL135" t="str">
            <v/>
          </cell>
        </row>
        <row r="136">
          <cell r="C136" t="str">
            <v>7e65fcc7-6812-4742-afec-5feec0b95897</v>
          </cell>
          <cell r="D136">
            <v>126</v>
          </cell>
          <cell r="E136">
            <v>2</v>
          </cell>
          <cell r="F136" t="str">
            <v>Line_2</v>
          </cell>
          <cell r="G136" t="str">
            <v>AddF</v>
          </cell>
          <cell r="I136" t="str">
            <v>Floral Consumables - Food (315)</v>
          </cell>
          <cell r="J136">
            <v>10542.08</v>
          </cell>
          <cell r="K136">
            <v>6542.6</v>
          </cell>
          <cell r="L136">
            <v>3999.48</v>
          </cell>
          <cell r="M136">
            <v>0.61129826063033055</v>
          </cell>
          <cell r="N136">
            <v>0</v>
          </cell>
          <cell r="O136" t="str">
            <v>Add</v>
          </cell>
          <cell r="P136">
            <v>0</v>
          </cell>
          <cell r="W136" t="str">
            <v>NA</v>
          </cell>
          <cell r="Y136">
            <v>0</v>
          </cell>
          <cell r="Z136" t="b">
            <v>0</v>
          </cell>
          <cell r="AA136" t="b">
            <v>0</v>
          </cell>
          <cell r="AB136" t="b">
            <v>0</v>
          </cell>
          <cell r="AC136">
            <v>0</v>
          </cell>
          <cell r="AD136" t="b">
            <v>1</v>
          </cell>
          <cell r="AF136" t="str">
            <v xml:space="preserve">Refer M35 </v>
          </cell>
          <cell r="AG136" t="str">
            <v>P</v>
          </cell>
          <cell r="AH136" t="str">
            <v/>
          </cell>
          <cell r="AI136">
            <v>0</v>
          </cell>
          <cell r="AL136" t="str">
            <v/>
          </cell>
        </row>
        <row r="137">
          <cell r="C137" t="str">
            <v>548202e1-23d8-4e07-bfbe-d31729a770de</v>
          </cell>
          <cell r="D137">
            <v>127</v>
          </cell>
          <cell r="E137">
            <v>2</v>
          </cell>
          <cell r="F137" t="str">
            <v>Line_2</v>
          </cell>
          <cell r="G137" t="str">
            <v>AddF</v>
          </cell>
          <cell r="I137" t="str">
            <v>Other Floral Giftware Purchase (316)</v>
          </cell>
          <cell r="J137">
            <v>9084.59</v>
          </cell>
          <cell r="K137">
            <v>35304.78</v>
          </cell>
          <cell r="L137">
            <v>-26220.19</v>
          </cell>
          <cell r="M137">
            <v>-0.74268101939737341</v>
          </cell>
          <cell r="N137">
            <v>0</v>
          </cell>
          <cell r="O137" t="str">
            <v>Add</v>
          </cell>
          <cell r="P137">
            <v>0</v>
          </cell>
          <cell r="W137" t="str">
            <v>NA</v>
          </cell>
          <cell r="Y137">
            <v>0</v>
          </cell>
          <cell r="Z137" t="b">
            <v>0</v>
          </cell>
          <cell r="AA137" t="b">
            <v>0</v>
          </cell>
          <cell r="AB137" t="b">
            <v>0</v>
          </cell>
          <cell r="AC137">
            <v>0</v>
          </cell>
          <cell r="AD137" t="b">
            <v>1</v>
          </cell>
          <cell r="AF137" t="str">
            <v xml:space="preserve">Refer M35 </v>
          </cell>
          <cell r="AG137" t="str">
            <v>P</v>
          </cell>
          <cell r="AH137" t="str">
            <v/>
          </cell>
          <cell r="AI137">
            <v>0</v>
          </cell>
          <cell r="AL137" t="str">
            <v/>
          </cell>
        </row>
        <row r="138">
          <cell r="C138" t="str">
            <v>fb2d9aa7-ca02-4888-8ff6-5ceed3a1435c</v>
          </cell>
          <cell r="D138">
            <v>128</v>
          </cell>
          <cell r="E138">
            <v>2</v>
          </cell>
          <cell r="F138" t="str">
            <v>Line_2</v>
          </cell>
          <cell r="G138" t="str">
            <v>AddF</v>
          </cell>
          <cell r="I138" t="str">
            <v>Freight on purchases (320)</v>
          </cell>
          <cell r="J138">
            <v>18104.91</v>
          </cell>
          <cell r="K138">
            <v>20377.62</v>
          </cell>
          <cell r="L138">
            <v>-2272.71</v>
          </cell>
          <cell r="M138">
            <v>-0.11152970759097482</v>
          </cell>
          <cell r="N138">
            <v>0</v>
          </cell>
          <cell r="O138" t="str">
            <v>Add</v>
          </cell>
          <cell r="P138">
            <v>0</v>
          </cell>
          <cell r="W138" t="str">
            <v>NA</v>
          </cell>
          <cell r="Y138">
            <v>0</v>
          </cell>
          <cell r="Z138" t="b">
            <v>0</v>
          </cell>
          <cell r="AA138" t="b">
            <v>0</v>
          </cell>
          <cell r="AB138" t="b">
            <v>0</v>
          </cell>
          <cell r="AC138">
            <v>0</v>
          </cell>
          <cell r="AD138" t="b">
            <v>1</v>
          </cell>
          <cell r="AF138" t="str">
            <v xml:space="preserve">Refer M35 </v>
          </cell>
          <cell r="AG138" t="str">
            <v>P</v>
          </cell>
          <cell r="AH138" t="str">
            <v/>
          </cell>
          <cell r="AI138">
            <v>0</v>
          </cell>
          <cell r="AL138" t="str">
            <v/>
          </cell>
        </row>
        <row r="139">
          <cell r="C139" t="str">
            <v>8a869b69-5110-4013-a2ca-b81e176eea52</v>
          </cell>
          <cell r="D139">
            <v>129</v>
          </cell>
          <cell r="E139">
            <v>2</v>
          </cell>
          <cell r="F139" t="str">
            <v>Line_2</v>
          </cell>
          <cell r="G139" t="str">
            <v>AddF</v>
          </cell>
          <cell r="I139" t="str">
            <v>Inflora Commission on Sales (320B)</v>
          </cell>
          <cell r="J139">
            <v>8317.2000000000007</v>
          </cell>
          <cell r="K139">
            <v>0</v>
          </cell>
          <cell r="L139">
            <v>8317.2000000000007</v>
          </cell>
          <cell r="M139">
            <v>0</v>
          </cell>
          <cell r="N139">
            <v>0</v>
          </cell>
          <cell r="O139" t="str">
            <v>Add</v>
          </cell>
          <cell r="P139">
            <v>0</v>
          </cell>
          <cell r="W139" t="str">
            <v>NA</v>
          </cell>
          <cell r="Y139">
            <v>0</v>
          </cell>
          <cell r="Z139" t="b">
            <v>0</v>
          </cell>
          <cell r="AA139" t="b">
            <v>0</v>
          </cell>
          <cell r="AB139" t="b">
            <v>0</v>
          </cell>
          <cell r="AC139">
            <v>0</v>
          </cell>
          <cell r="AD139" t="b">
            <v>1</v>
          </cell>
          <cell r="AF139" t="str">
            <v xml:space="preserve">Refer M35 </v>
          </cell>
          <cell r="AG139" t="str">
            <v>P</v>
          </cell>
          <cell r="AH139" t="str">
            <v/>
          </cell>
          <cell r="AI139">
            <v>0</v>
          </cell>
          <cell r="AL139" t="str">
            <v/>
          </cell>
        </row>
        <row r="140">
          <cell r="C140" t="str">
            <v>1d512c1e-bcc7-4228-9568-2e087b4706fa</v>
          </cell>
          <cell r="D140">
            <v>130</v>
          </cell>
          <cell r="E140">
            <v>2</v>
          </cell>
          <cell r="F140" t="str">
            <v>Line_2</v>
          </cell>
          <cell r="G140" t="str">
            <v>AddF</v>
          </cell>
          <cell r="I140" t="str">
            <v>Deliveries - Jacaranda Couriers (321)</v>
          </cell>
          <cell r="J140">
            <v>16783.09</v>
          </cell>
          <cell r="K140">
            <v>0</v>
          </cell>
          <cell r="L140">
            <v>16783.09</v>
          </cell>
          <cell r="M140">
            <v>0</v>
          </cell>
          <cell r="N140">
            <v>0</v>
          </cell>
          <cell r="O140" t="str">
            <v>Add</v>
          </cell>
          <cell r="P140">
            <v>0</v>
          </cell>
          <cell r="W140" t="str">
            <v>NA</v>
          </cell>
          <cell r="Y140">
            <v>0</v>
          </cell>
          <cell r="Z140" t="b">
            <v>0</v>
          </cell>
          <cell r="AA140" t="b">
            <v>0</v>
          </cell>
          <cell r="AB140" t="b">
            <v>0</v>
          </cell>
          <cell r="AC140">
            <v>0</v>
          </cell>
          <cell r="AD140" t="b">
            <v>1</v>
          </cell>
          <cell r="AF140" t="str">
            <v xml:space="preserve">Refer M35 </v>
          </cell>
          <cell r="AG140" t="str">
            <v>P</v>
          </cell>
          <cell r="AH140" t="str">
            <v/>
          </cell>
          <cell r="AI140">
            <v>0</v>
          </cell>
          <cell r="AL140" t="str">
            <v/>
          </cell>
        </row>
        <row r="141">
          <cell r="C141" t="str">
            <v>be4068a6-ac7f-433a-9088-b194017ce1f7</v>
          </cell>
          <cell r="D141">
            <v>131</v>
          </cell>
          <cell r="E141">
            <v>2</v>
          </cell>
          <cell r="F141" t="str">
            <v>Line_2</v>
          </cell>
          <cell r="G141" t="str">
            <v>AddF</v>
          </cell>
          <cell r="I141" t="str">
            <v>Deliveries - Wild About Flowers (321A)</v>
          </cell>
          <cell r="J141">
            <v>21659.5</v>
          </cell>
          <cell r="K141">
            <v>0</v>
          </cell>
          <cell r="L141">
            <v>21659.5</v>
          </cell>
          <cell r="M141">
            <v>0</v>
          </cell>
          <cell r="N141">
            <v>0</v>
          </cell>
          <cell r="O141" t="str">
            <v>Add</v>
          </cell>
          <cell r="P141">
            <v>0</v>
          </cell>
          <cell r="W141" t="str">
            <v>NA</v>
          </cell>
          <cell r="Y141">
            <v>0</v>
          </cell>
          <cell r="Z141" t="b">
            <v>0</v>
          </cell>
          <cell r="AA141" t="b">
            <v>0</v>
          </cell>
          <cell r="AB141" t="b">
            <v>0</v>
          </cell>
          <cell r="AC141">
            <v>0</v>
          </cell>
          <cell r="AD141" t="b">
            <v>1</v>
          </cell>
          <cell r="AF141" t="str">
            <v xml:space="preserve">Refer M35 </v>
          </cell>
          <cell r="AG141" t="str">
            <v>P</v>
          </cell>
          <cell r="AH141" t="str">
            <v/>
          </cell>
          <cell r="AI141">
            <v>0</v>
          </cell>
          <cell r="AL141" t="str">
            <v/>
          </cell>
        </row>
        <row r="142">
          <cell r="C142" t="str">
            <v>2a57c61a-18e2-4855-9cbc-f6fdbaccf1af</v>
          </cell>
          <cell r="D142">
            <v>132</v>
          </cell>
          <cell r="E142">
            <v>2</v>
          </cell>
          <cell r="F142" t="str">
            <v>Line_2</v>
          </cell>
          <cell r="G142" t="str">
            <v>AddF</v>
          </cell>
          <cell r="I142" t="str">
            <v>Delivery - Contract Drivers (321B)</v>
          </cell>
          <cell r="J142">
            <v>699.64</v>
          </cell>
          <cell r="K142">
            <v>47616.51</v>
          </cell>
          <cell r="L142">
            <v>-46916.87</v>
          </cell>
          <cell r="M142">
            <v>-0.98530677699814628</v>
          </cell>
          <cell r="N142">
            <v>0</v>
          </cell>
          <cell r="O142" t="str">
            <v>Add</v>
          </cell>
          <cell r="P142">
            <v>0</v>
          </cell>
          <cell r="W142" t="str">
            <v>NA</v>
          </cell>
          <cell r="Y142">
            <v>0</v>
          </cell>
          <cell r="Z142" t="b">
            <v>0</v>
          </cell>
          <cell r="AA142" t="b">
            <v>0</v>
          </cell>
          <cell r="AB142" t="b">
            <v>0</v>
          </cell>
          <cell r="AC142">
            <v>0</v>
          </cell>
          <cell r="AD142" t="b">
            <v>1</v>
          </cell>
          <cell r="AF142" t="str">
            <v xml:space="preserve">Refer M35 </v>
          </cell>
          <cell r="AG142" t="str">
            <v>P</v>
          </cell>
          <cell r="AH142" t="str">
            <v/>
          </cell>
          <cell r="AI142">
            <v>0</v>
          </cell>
          <cell r="AL142" t="str">
            <v/>
          </cell>
        </row>
        <row r="143">
          <cell r="C143" t="str">
            <v>b5fe2725-0440-4a99-a09c-7a832dc85282</v>
          </cell>
          <cell r="D143">
            <v>133</v>
          </cell>
          <cell r="E143">
            <v>2</v>
          </cell>
          <cell r="F143" t="str">
            <v>Line_2</v>
          </cell>
          <cell r="G143" t="str">
            <v>AddF</v>
          </cell>
          <cell r="I143" t="str">
            <v>Deliveries - Julie Anne Presley (321C)</v>
          </cell>
          <cell r="J143">
            <v>2048</v>
          </cell>
          <cell r="K143">
            <v>0</v>
          </cell>
          <cell r="L143">
            <v>2048</v>
          </cell>
          <cell r="M143">
            <v>0</v>
          </cell>
          <cell r="N143">
            <v>0</v>
          </cell>
          <cell r="O143" t="str">
            <v>Add</v>
          </cell>
          <cell r="P143">
            <v>0</v>
          </cell>
          <cell r="W143" t="str">
            <v>NA</v>
          </cell>
          <cell r="Y143">
            <v>0</v>
          </cell>
          <cell r="Z143" t="b">
            <v>0</v>
          </cell>
          <cell r="AA143" t="b">
            <v>0</v>
          </cell>
          <cell r="AB143" t="b">
            <v>0</v>
          </cell>
          <cell r="AC143">
            <v>0</v>
          </cell>
          <cell r="AD143" t="b">
            <v>1</v>
          </cell>
          <cell r="AF143" t="str">
            <v xml:space="preserve">Refer M35 </v>
          </cell>
          <cell r="AG143" t="str">
            <v>P</v>
          </cell>
          <cell r="AH143" t="str">
            <v/>
          </cell>
          <cell r="AI143">
            <v>0</v>
          </cell>
          <cell r="AL143" t="str">
            <v/>
          </cell>
        </row>
        <row r="144">
          <cell r="C144" t="str">
            <v>36ba55af-64f4-45d8-8186-e0f809dfc5bb</v>
          </cell>
          <cell r="D144">
            <v>134</v>
          </cell>
          <cell r="E144">
            <v>2</v>
          </cell>
          <cell r="F144" t="str">
            <v>Line_2</v>
          </cell>
          <cell r="G144" t="str">
            <v>AddF</v>
          </cell>
          <cell r="I144" t="str">
            <v>Wedding Expenses (330)</v>
          </cell>
          <cell r="J144">
            <v>33783.93</v>
          </cell>
          <cell r="K144">
            <v>9982.02</v>
          </cell>
          <cell r="L144">
            <v>23801.91</v>
          </cell>
          <cell r="M144">
            <v>2.3844782919689602</v>
          </cell>
          <cell r="N144">
            <v>0</v>
          </cell>
          <cell r="O144" t="str">
            <v>Add</v>
          </cell>
          <cell r="P144">
            <v>0</v>
          </cell>
          <cell r="W144" t="str">
            <v>NA</v>
          </cell>
          <cell r="Y144">
            <v>0</v>
          </cell>
          <cell r="Z144" t="b">
            <v>0</v>
          </cell>
          <cell r="AA144" t="b">
            <v>0</v>
          </cell>
          <cell r="AB144" t="b">
            <v>0</v>
          </cell>
          <cell r="AC144">
            <v>0</v>
          </cell>
          <cell r="AD144" t="b">
            <v>1</v>
          </cell>
          <cell r="AF144" t="str">
            <v xml:space="preserve">Refer M35 </v>
          </cell>
          <cell r="AG144" t="str">
            <v>P</v>
          </cell>
          <cell r="AH144" t="str">
            <v/>
          </cell>
          <cell r="AI144">
            <v>0</v>
          </cell>
          <cell r="AL144" t="str">
            <v/>
          </cell>
        </row>
        <row r="145">
          <cell r="C145" t="str">
            <v>1e519d88-828d-431b-a33b-ac50f4d3dfba</v>
          </cell>
          <cell r="D145">
            <v>135</v>
          </cell>
          <cell r="E145">
            <v>2</v>
          </cell>
          <cell r="F145" t="str">
            <v>Line_2</v>
          </cell>
          <cell r="G145" t="str">
            <v>AddF</v>
          </cell>
          <cell r="I145" t="str">
            <v>Closing Stock on Hand (331)</v>
          </cell>
          <cell r="J145">
            <v>-36000</v>
          </cell>
          <cell r="K145">
            <v>-36000</v>
          </cell>
          <cell r="L145">
            <v>0</v>
          </cell>
          <cell r="M145">
            <v>0</v>
          </cell>
          <cell r="N145">
            <v>0</v>
          </cell>
          <cell r="O145" t="str">
            <v>Add</v>
          </cell>
          <cell r="P145">
            <v>0</v>
          </cell>
          <cell r="W145" t="str">
            <v>NA</v>
          </cell>
          <cell r="Y145">
            <v>0</v>
          </cell>
          <cell r="Z145" t="b">
            <v>0</v>
          </cell>
          <cell r="AA145" t="b">
            <v>0</v>
          </cell>
          <cell r="AB145" t="b">
            <v>0</v>
          </cell>
          <cell r="AC145">
            <v>0</v>
          </cell>
          <cell r="AD145" t="b">
            <v>1</v>
          </cell>
          <cell r="AG145" t="str">
            <v>P</v>
          </cell>
          <cell r="AH145" t="str">
            <v/>
          </cell>
          <cell r="AI145">
            <v>0</v>
          </cell>
          <cell r="AL145" t="str">
            <v/>
          </cell>
        </row>
        <row r="146">
          <cell r="C146" t="str">
            <v>5b2aa3bf-4977-43f4-8283-01756d5387a4</v>
          </cell>
          <cell r="D146">
            <v>136</v>
          </cell>
          <cell r="E146">
            <v>2</v>
          </cell>
          <cell r="F146" t="str">
            <v>Line_2</v>
          </cell>
          <cell r="G146" t="str">
            <v>AddF</v>
          </cell>
          <cell r="I146" t="str">
            <v>Advertising (400)</v>
          </cell>
          <cell r="J146">
            <v>8563.93</v>
          </cell>
          <cell r="K146">
            <v>19764.099999999999</v>
          </cell>
          <cell r="L146">
            <v>-11200.17</v>
          </cell>
          <cell r="M146">
            <v>-0.56669263968508565</v>
          </cell>
          <cell r="N146">
            <v>0</v>
          </cell>
          <cell r="O146" t="str">
            <v>Add</v>
          </cell>
          <cell r="P146">
            <v>0</v>
          </cell>
          <cell r="W146" t="str">
            <v>NA</v>
          </cell>
          <cell r="Y146">
            <v>0</v>
          </cell>
          <cell r="Z146" t="b">
            <v>0</v>
          </cell>
          <cell r="AA146" t="b">
            <v>0</v>
          </cell>
          <cell r="AB146" t="b">
            <v>0</v>
          </cell>
          <cell r="AC146">
            <v>0</v>
          </cell>
          <cell r="AD146" t="b">
            <v>1</v>
          </cell>
          <cell r="AG146" t="str">
            <v>P</v>
          </cell>
          <cell r="AH146" t="str">
            <v/>
          </cell>
          <cell r="AI146">
            <v>0</v>
          </cell>
          <cell r="AL146" t="str">
            <v/>
          </cell>
        </row>
        <row r="147">
          <cell r="C147" t="str">
            <v>90d872d9-33ad-4609-9c28-ffd759a165da</v>
          </cell>
          <cell r="D147">
            <v>137</v>
          </cell>
          <cell r="E147">
            <v>2</v>
          </cell>
          <cell r="F147" t="str">
            <v>Line_2</v>
          </cell>
          <cell r="G147" t="str">
            <v>AddF</v>
          </cell>
          <cell r="I147" t="str">
            <v>Bad Debts (403)</v>
          </cell>
          <cell r="J147">
            <v>115</v>
          </cell>
          <cell r="K147">
            <v>90.91</v>
          </cell>
          <cell r="L147">
            <v>24.09</v>
          </cell>
          <cell r="M147">
            <v>0.26498735012649877</v>
          </cell>
          <cell r="N147">
            <v>0</v>
          </cell>
          <cell r="O147" t="str">
            <v>Add</v>
          </cell>
          <cell r="P147">
            <v>0</v>
          </cell>
          <cell r="W147" t="str">
            <v>NA</v>
          </cell>
          <cell r="Y147">
            <v>0</v>
          </cell>
          <cell r="Z147" t="b">
            <v>0</v>
          </cell>
          <cell r="AA147" t="b">
            <v>0</v>
          </cell>
          <cell r="AB147" t="b">
            <v>0</v>
          </cell>
          <cell r="AC147">
            <v>0</v>
          </cell>
          <cell r="AD147" t="b">
            <v>1</v>
          </cell>
          <cell r="AG147" t="str">
            <v>P</v>
          </cell>
          <cell r="AH147" t="str">
            <v/>
          </cell>
          <cell r="AI147">
            <v>0</v>
          </cell>
          <cell r="AL147" t="str">
            <v/>
          </cell>
        </row>
        <row r="148">
          <cell r="C148" t="str">
            <v>f87b7688-9b8d-4b30-bda0-4a3e9dde1a8f</v>
          </cell>
          <cell r="D148">
            <v>138</v>
          </cell>
          <cell r="E148">
            <v>2</v>
          </cell>
          <cell r="F148" t="str">
            <v>Line_2</v>
          </cell>
          <cell r="G148" t="str">
            <v>AddF</v>
          </cell>
          <cell r="I148" t="str">
            <v>Bank Fees (404)</v>
          </cell>
          <cell r="J148">
            <v>1208.01</v>
          </cell>
          <cell r="K148">
            <v>2004.93</v>
          </cell>
          <cell r="L148">
            <v>-796.92</v>
          </cell>
          <cell r="M148">
            <v>-0.3974802112791968</v>
          </cell>
          <cell r="N148">
            <v>0</v>
          </cell>
          <cell r="O148" t="str">
            <v>Add</v>
          </cell>
          <cell r="P148">
            <v>0</v>
          </cell>
          <cell r="W148" t="str">
            <v>NA</v>
          </cell>
          <cell r="Y148">
            <v>0</v>
          </cell>
          <cell r="Z148" t="b">
            <v>0</v>
          </cell>
          <cell r="AA148" t="b">
            <v>0</v>
          </cell>
          <cell r="AB148" t="b">
            <v>0</v>
          </cell>
          <cell r="AC148">
            <v>0</v>
          </cell>
          <cell r="AD148" t="b">
            <v>1</v>
          </cell>
          <cell r="AG148" t="str">
            <v>P</v>
          </cell>
          <cell r="AH148" t="str">
            <v/>
          </cell>
          <cell r="AI148">
            <v>0</v>
          </cell>
          <cell r="AL148" t="str">
            <v/>
          </cell>
        </row>
        <row r="149">
          <cell r="C149" t="str">
            <v>9fdca558-62c0-411a-a625-a14a3de47bc1</v>
          </cell>
          <cell r="D149">
            <v>139</v>
          </cell>
          <cell r="E149">
            <v>2</v>
          </cell>
          <cell r="F149" t="str">
            <v>Line_2</v>
          </cell>
          <cell r="G149" t="str">
            <v>AddF</v>
          </cell>
          <cell r="I149" t="str">
            <v>Merchant Fees (404a)</v>
          </cell>
          <cell r="J149">
            <v>3835.66</v>
          </cell>
          <cell r="K149">
            <v>3953.42</v>
          </cell>
          <cell r="L149">
            <v>-117.76</v>
          </cell>
          <cell r="M149">
            <v>-2.9786868078777361E-2</v>
          </cell>
          <cell r="N149">
            <v>0</v>
          </cell>
          <cell r="O149" t="str">
            <v>Add</v>
          </cell>
          <cell r="P149">
            <v>0</v>
          </cell>
          <cell r="W149" t="str">
            <v>NA</v>
          </cell>
          <cell r="Y149">
            <v>0</v>
          </cell>
          <cell r="Z149" t="b">
            <v>0</v>
          </cell>
          <cell r="AA149" t="b">
            <v>0</v>
          </cell>
          <cell r="AB149" t="b">
            <v>0</v>
          </cell>
          <cell r="AC149">
            <v>0</v>
          </cell>
          <cell r="AD149" t="b">
            <v>1</v>
          </cell>
          <cell r="AG149" t="str">
            <v>P</v>
          </cell>
          <cell r="AH149" t="str">
            <v/>
          </cell>
          <cell r="AI149">
            <v>0</v>
          </cell>
          <cell r="AL149" t="str">
            <v/>
          </cell>
        </row>
        <row r="150">
          <cell r="C150" t="str">
            <v>0ce8f49e-5bbd-4d9f-a7e8-1cd8623ca6eb</v>
          </cell>
          <cell r="D150">
            <v>140</v>
          </cell>
          <cell r="E150">
            <v>2</v>
          </cell>
          <cell r="F150" t="str">
            <v>Line_2</v>
          </cell>
          <cell r="G150" t="str">
            <v>AddF</v>
          </cell>
          <cell r="I150" t="str">
            <v>Bookkeeping (405)</v>
          </cell>
          <cell r="J150">
            <v>23033.1</v>
          </cell>
          <cell r="K150">
            <v>25186.61</v>
          </cell>
          <cell r="L150">
            <v>-2153.5100000000002</v>
          </cell>
          <cell r="M150">
            <v>-8.5502177545926192E-2</v>
          </cell>
          <cell r="N150">
            <v>0</v>
          </cell>
          <cell r="O150" t="str">
            <v>Add</v>
          </cell>
          <cell r="P150">
            <v>0</v>
          </cell>
          <cell r="W150" t="str">
            <v>NA</v>
          </cell>
          <cell r="Y150">
            <v>0</v>
          </cell>
          <cell r="Z150" t="b">
            <v>0</v>
          </cell>
          <cell r="AA150" t="b">
            <v>0</v>
          </cell>
          <cell r="AB150" t="b">
            <v>0</v>
          </cell>
          <cell r="AC150">
            <v>0</v>
          </cell>
          <cell r="AD150" t="b">
            <v>1</v>
          </cell>
          <cell r="AG150" t="str">
            <v>P</v>
          </cell>
          <cell r="AH150" t="str">
            <v/>
          </cell>
          <cell r="AI150">
            <v>0</v>
          </cell>
          <cell r="AL150" t="str">
            <v/>
          </cell>
        </row>
        <row r="151">
          <cell r="C151" t="str">
            <v>6bacad32-1146-406b-842c-9f325f75b501</v>
          </cell>
          <cell r="D151">
            <v>141</v>
          </cell>
          <cell r="E151">
            <v>2</v>
          </cell>
          <cell r="F151" t="str">
            <v>Line_2</v>
          </cell>
          <cell r="G151" t="str">
            <v>AddF</v>
          </cell>
          <cell r="I151" t="str">
            <v>Accounting (406)</v>
          </cell>
          <cell r="J151">
            <v>4150</v>
          </cell>
          <cell r="K151">
            <v>1700</v>
          </cell>
          <cell r="L151">
            <v>2450</v>
          </cell>
          <cell r="M151">
            <v>1.4411764705882355</v>
          </cell>
          <cell r="N151" t="str">
            <v>–</v>
          </cell>
          <cell r="O151" t="str">
            <v>Add</v>
          </cell>
          <cell r="P151">
            <v>1</v>
          </cell>
          <cell r="W151" t="str">
            <v>NA</v>
          </cell>
          <cell r="Y151">
            <v>8</v>
          </cell>
          <cell r="Z151" t="b">
            <v>0</v>
          </cell>
          <cell r="AA151" t="b">
            <v>0</v>
          </cell>
          <cell r="AB151" t="b">
            <v>0</v>
          </cell>
          <cell r="AC151">
            <v>0</v>
          </cell>
          <cell r="AD151" t="b">
            <v>1</v>
          </cell>
          <cell r="AG151" t="str">
            <v>P</v>
          </cell>
          <cell r="AH151" t="str">
            <v/>
          </cell>
          <cell r="AI151">
            <v>0</v>
          </cell>
          <cell r="AL151" t="str">
            <v/>
          </cell>
        </row>
        <row r="152">
          <cell r="C152" t="str">
            <v>6bacad32-1146-406b-842c-9f325f75b501</v>
          </cell>
          <cell r="D152">
            <v>141</v>
          </cell>
          <cell r="E152">
            <v>100</v>
          </cell>
          <cell r="G152" t="str">
            <v>AddF</v>
          </cell>
          <cell r="O152" t="str">
            <v>}</v>
          </cell>
          <cell r="Q152" t="str">
            <v>6bacad32-1146-406b-842c-9f325f75b501-100</v>
          </cell>
          <cell r="R152" t="str">
            <v>Worksheet</v>
          </cell>
          <cell r="S152" t="str">
            <v>6589ac0b-a626-4862-90c3-20ad3f498ab6</v>
          </cell>
          <cell r="T152" t="str">
            <v>64fdad39-6399-4a0a-834e-6d2769c92898</v>
          </cell>
          <cell r="U152">
            <v>4150</v>
          </cell>
          <cell r="V152" t="e">
            <v>#NAME?</v>
          </cell>
          <cell r="W152">
            <v>0</v>
          </cell>
          <cell r="X152" t="str">
            <v>6bacad32-1146-406b-842c-9f325f75b501-0</v>
          </cell>
          <cell r="Y152">
            <v>8</v>
          </cell>
          <cell r="Z152" t="b">
            <v>0</v>
          </cell>
          <cell r="AA152" t="b">
            <v>0</v>
          </cell>
          <cell r="AB152" t="b">
            <v>0</v>
          </cell>
          <cell r="AC152">
            <v>0</v>
          </cell>
          <cell r="AD152" t="b">
            <v>0</v>
          </cell>
          <cell r="AE152" t="str">
            <v/>
          </cell>
          <cell r="AF152" t="str">
            <v>N05 Accountancy</v>
          </cell>
          <cell r="AG152" t="str">
            <v>P</v>
          </cell>
          <cell r="AH152" t="str">
            <v>]</v>
          </cell>
          <cell r="AI152" t="str">
            <v/>
          </cell>
          <cell r="AJ152" t="str">
            <v/>
          </cell>
          <cell r="AK152" t="str">
            <v>Accountancy</v>
          </cell>
          <cell r="AL152" t="str">
            <v>Complete</v>
          </cell>
          <cell r="AM152" t="str">
            <v>Adam Volcov</v>
          </cell>
          <cell r="AN152">
            <v>44873</v>
          </cell>
          <cell r="AO152" t="str">
            <v>O</v>
          </cell>
          <cell r="AP152" t="str">
            <v>P</v>
          </cell>
          <cell r="AQ152" t="str">
            <v>Q</v>
          </cell>
        </row>
        <row r="153">
          <cell r="C153" t="str">
            <v>f7db01c2-feb4-4274-8f61-05b393482d5a</v>
          </cell>
          <cell r="D153">
            <v>144</v>
          </cell>
          <cell r="E153">
            <v>2</v>
          </cell>
          <cell r="F153" t="str">
            <v>Line_2</v>
          </cell>
          <cell r="G153" t="str">
            <v>AddF</v>
          </cell>
          <cell r="I153" t="str">
            <v>Cleaning (408)</v>
          </cell>
          <cell r="J153">
            <v>4093.39</v>
          </cell>
          <cell r="K153">
            <v>1420.82</v>
          </cell>
          <cell r="L153">
            <v>2672.57</v>
          </cell>
          <cell r="M153">
            <v>1.8810053349474247</v>
          </cell>
          <cell r="N153">
            <v>0</v>
          </cell>
          <cell r="O153" t="str">
            <v>Add</v>
          </cell>
          <cell r="P153">
            <v>0</v>
          </cell>
          <cell r="W153" t="str">
            <v>NA</v>
          </cell>
          <cell r="Y153">
            <v>0</v>
          </cell>
          <cell r="Z153" t="b">
            <v>0</v>
          </cell>
          <cell r="AA153" t="b">
            <v>0</v>
          </cell>
          <cell r="AB153" t="b">
            <v>0</v>
          </cell>
          <cell r="AC153">
            <v>0</v>
          </cell>
          <cell r="AD153" t="b">
            <v>1</v>
          </cell>
          <cell r="AG153" t="str">
            <v>P</v>
          </cell>
          <cell r="AH153" t="str">
            <v/>
          </cell>
          <cell r="AI153">
            <v>0</v>
          </cell>
          <cell r="AL153" t="str">
            <v/>
          </cell>
        </row>
        <row r="154">
          <cell r="C154" t="str">
            <v>21fb08f5-24c6-415c-8e10-dd9dc436332f</v>
          </cell>
          <cell r="D154">
            <v>145</v>
          </cell>
          <cell r="E154">
            <v>2</v>
          </cell>
          <cell r="F154" t="str">
            <v>Line_2</v>
          </cell>
          <cell r="G154" t="str">
            <v>AddF</v>
          </cell>
          <cell r="I154" t="str">
            <v>Borrowing Expenses (409)</v>
          </cell>
          <cell r="J154">
            <v>81.2</v>
          </cell>
          <cell r="K154">
            <v>81.2</v>
          </cell>
          <cell r="L154">
            <v>0</v>
          </cell>
          <cell r="M154">
            <v>0</v>
          </cell>
          <cell r="N154" t="str">
            <v>–</v>
          </cell>
          <cell r="O154" t="str">
            <v>Add</v>
          </cell>
          <cell r="P154">
            <v>1</v>
          </cell>
          <cell r="W154" t="str">
            <v>NA</v>
          </cell>
          <cell r="Y154">
            <v>8</v>
          </cell>
          <cell r="Z154" t="b">
            <v>0</v>
          </cell>
          <cell r="AA154" t="b">
            <v>0</v>
          </cell>
          <cell r="AB154" t="b">
            <v>0</v>
          </cell>
          <cell r="AC154">
            <v>0</v>
          </cell>
          <cell r="AD154" t="b">
            <v>1</v>
          </cell>
          <cell r="AG154" t="str">
            <v>P</v>
          </cell>
          <cell r="AH154" t="str">
            <v/>
          </cell>
          <cell r="AI154">
            <v>0</v>
          </cell>
          <cell r="AL154" t="str">
            <v/>
          </cell>
        </row>
        <row r="155">
          <cell r="C155" t="str">
            <v>21fb08f5-24c6-415c-8e10-dd9dc436332f</v>
          </cell>
          <cell r="D155">
            <v>145</v>
          </cell>
          <cell r="E155">
            <v>100</v>
          </cell>
          <cell r="G155" t="str">
            <v>AddF</v>
          </cell>
          <cell r="O155" t="str">
            <v>}</v>
          </cell>
          <cell r="Q155" t="str">
            <v>21fb08f5-24c6-415c-8e10-dd9dc436332f-100</v>
          </cell>
          <cell r="R155" t="str">
            <v>LinkSheet</v>
          </cell>
          <cell r="S155" t="str">
            <v>5bd606b0-c1d3-44fa-85d6-5d1f8169ee00</v>
          </cell>
          <cell r="T155" t="str">
            <v>94da70b1-fb6f-451d-b573-996e2134e923</v>
          </cell>
          <cell r="U155">
            <v>81.2</v>
          </cell>
          <cell r="V155" t="e">
            <v>#N/A</v>
          </cell>
          <cell r="W155">
            <v>0</v>
          </cell>
          <cell r="X155" t="str">
            <v>21fb08f5-24c6-415c-8e10-dd9dc436332f-0</v>
          </cell>
          <cell r="Y155">
            <v>8</v>
          </cell>
          <cell r="Z155" t="b">
            <v>0</v>
          </cell>
          <cell r="AA155" t="b">
            <v>0</v>
          </cell>
          <cell r="AB155" t="b">
            <v>0</v>
          </cell>
          <cell r="AC155">
            <v>0</v>
          </cell>
          <cell r="AD155" t="b">
            <v>0</v>
          </cell>
          <cell r="AE155">
            <v>0</v>
          </cell>
          <cell r="AF155" t="str">
            <v>G05 Borr Costs</v>
          </cell>
          <cell r="AG155" t="str">
            <v>P</v>
          </cell>
          <cell r="AH155" t="str">
            <v>]</v>
          </cell>
          <cell r="AI155" t="str">
            <v/>
          </cell>
          <cell r="AJ155" t="str">
            <v>✓</v>
          </cell>
          <cell r="AL155" t="str">
            <v>Complete</v>
          </cell>
          <cell r="AM155" t="str">
            <v>Adam Volcov</v>
          </cell>
          <cell r="AN155">
            <v>44873</v>
          </cell>
          <cell r="AO155" t="str">
            <v>O</v>
          </cell>
          <cell r="AP155" t="str">
            <v>P</v>
          </cell>
          <cell r="AQ155" t="str">
            <v>Q</v>
          </cell>
        </row>
        <row r="156">
          <cell r="C156" t="str">
            <v>379df302-f4b3-4a20-a037-505d5f3eafab</v>
          </cell>
          <cell r="D156">
            <v>146</v>
          </cell>
          <cell r="E156">
            <v>2</v>
          </cell>
          <cell r="F156" t="str">
            <v>Line_2</v>
          </cell>
          <cell r="G156" t="str">
            <v>AddF</v>
          </cell>
          <cell r="I156" t="str">
            <v>Computer Expenses (410)</v>
          </cell>
          <cell r="J156">
            <v>1516.95</v>
          </cell>
          <cell r="K156">
            <v>1788.29</v>
          </cell>
          <cell r="L156">
            <v>-271.33999999999997</v>
          </cell>
          <cell r="M156">
            <v>-0.15173154242320877</v>
          </cell>
          <cell r="N156">
            <v>0</v>
          </cell>
          <cell r="O156" t="str">
            <v>Add</v>
          </cell>
          <cell r="P156">
            <v>0</v>
          </cell>
          <cell r="W156" t="str">
            <v>NA</v>
          </cell>
          <cell r="Y156">
            <v>0</v>
          </cell>
          <cell r="Z156" t="b">
            <v>0</v>
          </cell>
          <cell r="AA156" t="b">
            <v>0</v>
          </cell>
          <cell r="AB156" t="b">
            <v>0</v>
          </cell>
          <cell r="AC156">
            <v>0</v>
          </cell>
          <cell r="AD156" t="b">
            <v>1</v>
          </cell>
          <cell r="AG156" t="str">
            <v>P</v>
          </cell>
          <cell r="AH156" t="str">
            <v/>
          </cell>
          <cell r="AI156">
            <v>0</v>
          </cell>
          <cell r="AL156" t="str">
            <v/>
          </cell>
        </row>
        <row r="157">
          <cell r="C157" t="str">
            <v>2ffb55aa-1899-4842-9f1e-3474b34e8060</v>
          </cell>
          <cell r="D157">
            <v>147</v>
          </cell>
          <cell r="E157">
            <v>2</v>
          </cell>
          <cell r="F157" t="str">
            <v>Line_2</v>
          </cell>
          <cell r="G157" t="str">
            <v>AddF</v>
          </cell>
          <cell r="I157" t="str">
            <v>Commission (411)</v>
          </cell>
          <cell r="J157">
            <v>9317.5499999999993</v>
          </cell>
          <cell r="K157">
            <v>1551.96</v>
          </cell>
          <cell r="L157">
            <v>7765.59</v>
          </cell>
          <cell r="M157">
            <v>5.0037307662568624</v>
          </cell>
          <cell r="N157">
            <v>0</v>
          </cell>
          <cell r="O157" t="str">
            <v>Add</v>
          </cell>
          <cell r="P157">
            <v>0</v>
          </cell>
          <cell r="W157" t="str">
            <v>NA</v>
          </cell>
          <cell r="Y157">
            <v>0</v>
          </cell>
          <cell r="Z157" t="b">
            <v>0</v>
          </cell>
          <cell r="AA157" t="b">
            <v>0</v>
          </cell>
          <cell r="AB157" t="b">
            <v>0</v>
          </cell>
          <cell r="AC157">
            <v>0</v>
          </cell>
          <cell r="AD157" t="b">
            <v>1</v>
          </cell>
          <cell r="AF157" t="str">
            <v xml:space="preserve">Refer M35 </v>
          </cell>
          <cell r="AG157" t="str">
            <v>P</v>
          </cell>
          <cell r="AH157" t="str">
            <v/>
          </cell>
          <cell r="AI157">
            <v>0</v>
          </cell>
          <cell r="AL157" t="str">
            <v/>
          </cell>
        </row>
        <row r="158">
          <cell r="C158" t="str">
            <v>b027abba-8ae7-433a-9c84-7e6a49c0925a</v>
          </cell>
          <cell r="D158">
            <v>148</v>
          </cell>
          <cell r="E158">
            <v>2</v>
          </cell>
          <cell r="F158" t="str">
            <v>Line_2</v>
          </cell>
          <cell r="G158" t="str">
            <v>AddF</v>
          </cell>
          <cell r="I158" t="str">
            <v>Consulting Fees (412)</v>
          </cell>
          <cell r="J158">
            <v>300</v>
          </cell>
          <cell r="K158">
            <v>0</v>
          </cell>
          <cell r="L158">
            <v>300</v>
          </cell>
          <cell r="M158">
            <v>0</v>
          </cell>
          <cell r="N158">
            <v>0</v>
          </cell>
          <cell r="O158" t="str">
            <v>Add</v>
          </cell>
          <cell r="P158">
            <v>0</v>
          </cell>
          <cell r="W158" t="str">
            <v>NA</v>
          </cell>
          <cell r="Y158">
            <v>0</v>
          </cell>
          <cell r="Z158" t="b">
            <v>0</v>
          </cell>
          <cell r="AA158" t="b">
            <v>0</v>
          </cell>
          <cell r="AB158" t="b">
            <v>0</v>
          </cell>
          <cell r="AC158">
            <v>0</v>
          </cell>
          <cell r="AD158" t="b">
            <v>1</v>
          </cell>
          <cell r="AG158" t="str">
            <v>P</v>
          </cell>
          <cell r="AH158" t="str">
            <v/>
          </cell>
          <cell r="AI158">
            <v>0</v>
          </cell>
          <cell r="AL158" t="str">
            <v/>
          </cell>
        </row>
        <row r="159">
          <cell r="C159" t="str">
            <v>5e05cd87-221e-4b2c-ae93-d272e77b8914</v>
          </cell>
          <cell r="D159">
            <v>149</v>
          </cell>
          <cell r="E159">
            <v>2</v>
          </cell>
          <cell r="F159" t="str">
            <v>Line_2</v>
          </cell>
          <cell r="G159" t="str">
            <v>AddF</v>
          </cell>
          <cell r="I159" t="str">
            <v>Depreciation (416)</v>
          </cell>
          <cell r="J159">
            <v>8669.69</v>
          </cell>
          <cell r="K159">
            <v>8824</v>
          </cell>
          <cell r="L159">
            <v>-154.31</v>
          </cell>
          <cell r="M159">
            <v>-1.7487533998186762E-2</v>
          </cell>
          <cell r="N159" t="str">
            <v>–</v>
          </cell>
          <cell r="O159" t="str">
            <v>Add</v>
          </cell>
          <cell r="P159">
            <v>1</v>
          </cell>
          <cell r="W159" t="str">
            <v>NA</v>
          </cell>
          <cell r="Y159">
            <v>8</v>
          </cell>
          <cell r="Z159" t="b">
            <v>0</v>
          </cell>
          <cell r="AA159" t="b">
            <v>0</v>
          </cell>
          <cell r="AB159" t="b">
            <v>0</v>
          </cell>
          <cell r="AC159">
            <v>0</v>
          </cell>
          <cell r="AD159" t="b">
            <v>1</v>
          </cell>
          <cell r="AG159" t="str">
            <v>P</v>
          </cell>
          <cell r="AH159" t="str">
            <v/>
          </cell>
          <cell r="AI159">
            <v>0</v>
          </cell>
          <cell r="AL159" t="str">
            <v/>
          </cell>
        </row>
        <row r="160">
          <cell r="C160" t="str">
            <v>5e05cd87-221e-4b2c-ae93-d272e77b8914</v>
          </cell>
          <cell r="D160">
            <v>149</v>
          </cell>
          <cell r="E160">
            <v>100</v>
          </cell>
          <cell r="G160" t="str">
            <v>AddF</v>
          </cell>
          <cell r="O160" t="str">
            <v>}</v>
          </cell>
          <cell r="Q160" t="str">
            <v>5e05cd87-221e-4b2c-ae93-d272e77b8914-100</v>
          </cell>
          <cell r="R160" t="str">
            <v>LinkSheet</v>
          </cell>
          <cell r="S160" t="str">
            <v>fc220ba2-25fe-40ab-9b7b-e45ad4390009</v>
          </cell>
          <cell r="T160" t="str">
            <v>df15c8b5-4a3e-4550-868c-a5ed27eb4cef</v>
          </cell>
          <cell r="U160">
            <v>8669.69</v>
          </cell>
          <cell r="V160" t="e">
            <v>#N/A</v>
          </cell>
          <cell r="W160">
            <v>0</v>
          </cell>
          <cell r="X160" t="str">
            <v>5e05cd87-221e-4b2c-ae93-d272e77b8914-0</v>
          </cell>
          <cell r="Y160">
            <v>8</v>
          </cell>
          <cell r="Z160" t="b">
            <v>0</v>
          </cell>
          <cell r="AA160" t="b">
            <v>0</v>
          </cell>
          <cell r="AB160" t="b">
            <v>0</v>
          </cell>
          <cell r="AC160">
            <v>0</v>
          </cell>
          <cell r="AD160" t="b">
            <v>0</v>
          </cell>
          <cell r="AE160">
            <v>0</v>
          </cell>
          <cell r="AF160" t="str">
            <v>G10 Fixed Assets Dep</v>
          </cell>
          <cell r="AG160" t="str">
            <v>P</v>
          </cell>
          <cell r="AH160" t="str">
            <v>]</v>
          </cell>
          <cell r="AI160" t="str">
            <v/>
          </cell>
          <cell r="AJ160" t="str">
            <v>✓</v>
          </cell>
          <cell r="AL160" t="str">
            <v>Complete</v>
          </cell>
          <cell r="AM160" t="str">
            <v>Adam Volcov</v>
          </cell>
          <cell r="AN160">
            <v>44896</v>
          </cell>
          <cell r="AO160" t="str">
            <v>O</v>
          </cell>
          <cell r="AP160" t="str">
            <v>P</v>
          </cell>
          <cell r="AQ160" t="str">
            <v>Q</v>
          </cell>
        </row>
        <row r="161">
          <cell r="C161" t="str">
            <v>6d7988bc-bfb5-4ff3-aa3a-bca4d3406962</v>
          </cell>
          <cell r="D161">
            <v>150</v>
          </cell>
          <cell r="E161">
            <v>2</v>
          </cell>
          <cell r="F161" t="str">
            <v>Line_2</v>
          </cell>
          <cell r="G161" t="str">
            <v>AddF</v>
          </cell>
          <cell r="I161" t="str">
            <v>Donations (417)</v>
          </cell>
          <cell r="J161">
            <v>120.01</v>
          </cell>
          <cell r="K161">
            <v>60</v>
          </cell>
          <cell r="L161">
            <v>60.01</v>
          </cell>
          <cell r="M161">
            <v>1.0001666666666669</v>
          </cell>
          <cell r="N161" t="str">
            <v>–</v>
          </cell>
          <cell r="O161" t="str">
            <v>Add</v>
          </cell>
          <cell r="P161">
            <v>1</v>
          </cell>
          <cell r="W161" t="str">
            <v>NA</v>
          </cell>
          <cell r="Y161">
            <v>8</v>
          </cell>
          <cell r="Z161" t="b">
            <v>0</v>
          </cell>
          <cell r="AA161" t="b">
            <v>0</v>
          </cell>
          <cell r="AB161" t="b">
            <v>0</v>
          </cell>
          <cell r="AC161">
            <v>0</v>
          </cell>
          <cell r="AD161" t="b">
            <v>1</v>
          </cell>
          <cell r="AG161" t="str">
            <v>P</v>
          </cell>
          <cell r="AH161" t="str">
            <v/>
          </cell>
          <cell r="AI161">
            <v>0</v>
          </cell>
          <cell r="AL161" t="str">
            <v/>
          </cell>
        </row>
        <row r="162">
          <cell r="C162" t="str">
            <v>6d7988bc-bfb5-4ff3-aa3a-bca4d3406962</v>
          </cell>
          <cell r="D162">
            <v>150</v>
          </cell>
          <cell r="E162">
            <v>100</v>
          </cell>
          <cell r="G162" t="str">
            <v>AddF</v>
          </cell>
          <cell r="O162" t="str">
            <v>}</v>
          </cell>
          <cell r="Q162" t="str">
            <v>6d7988bc-bfb5-4ff3-aa3a-bca4d3406962-100</v>
          </cell>
          <cell r="R162" t="str">
            <v>Worksheet</v>
          </cell>
          <cell r="S162" t="str">
            <v>fbe8ec03-b80c-41f7-a39c-7bbb1fd77567</v>
          </cell>
          <cell r="T162" t="str">
            <v>c81ade84-faa4-4056-b871-600532785dd2</v>
          </cell>
          <cell r="U162">
            <v>120.01</v>
          </cell>
          <cell r="V162" t="e">
            <v>#NAME?</v>
          </cell>
          <cell r="W162">
            <v>0</v>
          </cell>
          <cell r="X162" t="str">
            <v>6d7988bc-bfb5-4ff3-aa3a-bca4d3406962-0</v>
          </cell>
          <cell r="Y162">
            <v>8</v>
          </cell>
          <cell r="Z162" t="b">
            <v>0</v>
          </cell>
          <cell r="AA162" t="b">
            <v>0</v>
          </cell>
          <cell r="AB162" t="b">
            <v>0</v>
          </cell>
          <cell r="AC162">
            <v>0</v>
          </cell>
          <cell r="AD162" t="b">
            <v>0</v>
          </cell>
          <cell r="AE162" t="str">
            <v/>
          </cell>
          <cell r="AF162" t="str">
            <v>N10 Donations</v>
          </cell>
          <cell r="AG162" t="str">
            <v>P</v>
          </cell>
          <cell r="AH162" t="str">
            <v>]</v>
          </cell>
          <cell r="AI162" t="str">
            <v/>
          </cell>
          <cell r="AJ162" t="str">
            <v/>
          </cell>
          <cell r="AK162" t="str">
            <v>Total Donations</v>
          </cell>
          <cell r="AL162" t="str">
            <v>Complete</v>
          </cell>
          <cell r="AM162" t="str">
            <v>Adam Volcov</v>
          </cell>
          <cell r="AN162">
            <v>44873</v>
          </cell>
          <cell r="AO162" t="str">
            <v>O</v>
          </cell>
          <cell r="AP162" t="str">
            <v>P</v>
          </cell>
          <cell r="AQ162" t="str">
            <v>Q</v>
          </cell>
        </row>
        <row r="163">
          <cell r="C163" t="str">
            <v>37dca2a9-d925-42ad-a8b0-7b9933032a93</v>
          </cell>
          <cell r="D163">
            <v>151</v>
          </cell>
          <cell r="E163">
            <v>2</v>
          </cell>
          <cell r="F163" t="str">
            <v>Line_2</v>
          </cell>
          <cell r="G163" t="str">
            <v>AddF</v>
          </cell>
          <cell r="I163" t="str">
            <v>Entertainment (420)</v>
          </cell>
          <cell r="J163">
            <v>1700</v>
          </cell>
          <cell r="K163">
            <v>0</v>
          </cell>
          <cell r="L163">
            <v>1700</v>
          </cell>
          <cell r="M163">
            <v>0</v>
          </cell>
          <cell r="N163" t="str">
            <v>–</v>
          </cell>
          <cell r="O163" t="str">
            <v>Add</v>
          </cell>
          <cell r="P163">
            <v>1</v>
          </cell>
          <cell r="W163" t="str">
            <v>NA</v>
          </cell>
          <cell r="Y163">
            <v>8</v>
          </cell>
          <cell r="Z163" t="b">
            <v>0</v>
          </cell>
          <cell r="AA163" t="b">
            <v>0</v>
          </cell>
          <cell r="AB163" t="b">
            <v>0</v>
          </cell>
          <cell r="AC163">
            <v>0</v>
          </cell>
          <cell r="AD163" t="b">
            <v>1</v>
          </cell>
          <cell r="AG163" t="str">
            <v>P</v>
          </cell>
          <cell r="AH163" t="str">
            <v/>
          </cell>
          <cell r="AI163">
            <v>0</v>
          </cell>
          <cell r="AL163" t="str">
            <v/>
          </cell>
        </row>
        <row r="164">
          <cell r="C164" t="str">
            <v>37dca2a9-d925-42ad-a8b0-7b9933032a93</v>
          </cell>
          <cell r="D164">
            <v>151</v>
          </cell>
          <cell r="E164">
            <v>100</v>
          </cell>
          <cell r="G164" t="str">
            <v>AddF</v>
          </cell>
          <cell r="O164" t="str">
            <v>}</v>
          </cell>
          <cell r="Q164" t="str">
            <v>37dca2a9-d925-42ad-a8b0-7b9933032a93-100</v>
          </cell>
          <cell r="R164" t="str">
            <v>Worksheet</v>
          </cell>
          <cell r="S164" t="str">
            <v>f1541c9f-1e54-430b-ad50-79963fd9768e</v>
          </cell>
          <cell r="T164" t="str">
            <v>f7bd4ba5-6bd6-40c5-83a7-8de50cbb2a30</v>
          </cell>
          <cell r="U164">
            <v>1700</v>
          </cell>
          <cell r="V164" t="e">
            <v>#NAME?</v>
          </cell>
          <cell r="W164">
            <v>0</v>
          </cell>
          <cell r="X164" t="str">
            <v>37dca2a9-d925-42ad-a8b0-7b9933032a93-0</v>
          </cell>
          <cell r="Y164">
            <v>8</v>
          </cell>
          <cell r="Z164" t="b">
            <v>0</v>
          </cell>
          <cell r="AA164" t="b">
            <v>0</v>
          </cell>
          <cell r="AB164" t="b">
            <v>0</v>
          </cell>
          <cell r="AC164">
            <v>0</v>
          </cell>
          <cell r="AD164" t="b">
            <v>0</v>
          </cell>
          <cell r="AE164">
            <v>0</v>
          </cell>
          <cell r="AF164" t="str">
            <v>N15 Entertainment</v>
          </cell>
          <cell r="AG164" t="str">
            <v>P</v>
          </cell>
          <cell r="AH164" t="str">
            <v>]</v>
          </cell>
          <cell r="AI164" t="str">
            <v/>
          </cell>
          <cell r="AJ164" t="str">
            <v>✓</v>
          </cell>
          <cell r="AK164" t="str">
            <v>Entertainment</v>
          </cell>
          <cell r="AL164" t="str">
            <v>Complete</v>
          </cell>
          <cell r="AM164" t="str">
            <v>Adam Volcov</v>
          </cell>
          <cell r="AN164">
            <v>44873</v>
          </cell>
          <cell r="AO164" t="str">
            <v>O</v>
          </cell>
          <cell r="AP164" t="str">
            <v>P</v>
          </cell>
          <cell r="AQ164" t="str">
            <v>Q</v>
          </cell>
        </row>
        <row r="165">
          <cell r="C165" t="str">
            <v>42f43797-9584-4033-a36b-225e17db6edf</v>
          </cell>
          <cell r="D165">
            <v>152</v>
          </cell>
          <cell r="E165">
            <v>2</v>
          </cell>
          <cell r="F165" t="str">
            <v>Line_2</v>
          </cell>
          <cell r="G165" t="str">
            <v>AddF</v>
          </cell>
          <cell r="I165" t="str">
            <v>ASIC Fees (421)</v>
          </cell>
          <cell r="J165">
            <v>88</v>
          </cell>
          <cell r="K165">
            <v>211</v>
          </cell>
          <cell r="L165">
            <v>-123</v>
          </cell>
          <cell r="M165">
            <v>-0.58293838862559244</v>
          </cell>
          <cell r="N165">
            <v>0</v>
          </cell>
          <cell r="O165" t="str">
            <v>Add</v>
          </cell>
          <cell r="P165">
            <v>0</v>
          </cell>
          <cell r="W165" t="str">
            <v>NA</v>
          </cell>
          <cell r="Y165">
            <v>0</v>
          </cell>
          <cell r="Z165" t="b">
            <v>0</v>
          </cell>
          <cell r="AA165" t="b">
            <v>0</v>
          </cell>
          <cell r="AB165" t="b">
            <v>0</v>
          </cell>
          <cell r="AC165">
            <v>0</v>
          </cell>
          <cell r="AD165" t="b">
            <v>1</v>
          </cell>
          <cell r="AG165" t="str">
            <v>P</v>
          </cell>
          <cell r="AH165" t="str">
            <v/>
          </cell>
          <cell r="AI165">
            <v>0</v>
          </cell>
          <cell r="AL165" t="str">
            <v/>
          </cell>
        </row>
        <row r="166">
          <cell r="C166" t="str">
            <v>945b2c46-f0b3-424f-ad12-201a3de6c3b7</v>
          </cell>
          <cell r="D166">
            <v>153</v>
          </cell>
          <cell r="E166">
            <v>2</v>
          </cell>
          <cell r="F166" t="str">
            <v>Line_2</v>
          </cell>
          <cell r="G166" t="str">
            <v>AddF</v>
          </cell>
          <cell r="I166" t="str">
            <v>Fines and Penalities (422)</v>
          </cell>
          <cell r="J166">
            <v>63</v>
          </cell>
          <cell r="K166">
            <v>0</v>
          </cell>
          <cell r="L166">
            <v>63</v>
          </cell>
          <cell r="M166">
            <v>0</v>
          </cell>
          <cell r="N166" t="str">
            <v>–</v>
          </cell>
          <cell r="O166" t="str">
            <v>Add</v>
          </cell>
          <cell r="P166">
            <v>1</v>
          </cell>
          <cell r="W166" t="str">
            <v>NA</v>
          </cell>
          <cell r="Y166">
            <v>8</v>
          </cell>
          <cell r="Z166" t="b">
            <v>0</v>
          </cell>
          <cell r="AA166" t="b">
            <v>0</v>
          </cell>
          <cell r="AB166" t="b">
            <v>0</v>
          </cell>
          <cell r="AC166">
            <v>0</v>
          </cell>
          <cell r="AD166" t="b">
            <v>1</v>
          </cell>
          <cell r="AH166" t="str">
            <v/>
          </cell>
          <cell r="AI166">
            <v>0</v>
          </cell>
          <cell r="AL166" t="str">
            <v/>
          </cell>
        </row>
        <row r="167">
          <cell r="C167" t="str">
            <v>945b2c46-f0b3-424f-ad12-201a3de6c3b7</v>
          </cell>
          <cell r="D167">
            <v>153</v>
          </cell>
          <cell r="E167">
            <v>100</v>
          </cell>
          <cell r="G167" t="str">
            <v>AddF</v>
          </cell>
          <cell r="O167" t="str">
            <v>}</v>
          </cell>
          <cell r="Q167" t="str">
            <v>945b2c46-f0b3-424f-ad12-201a3de6c3b7-100</v>
          </cell>
          <cell r="R167" t="str">
            <v>Worksheet</v>
          </cell>
          <cell r="S167" t="str">
            <v>19f7c5eb-c595-46c9-8ac3-88a6147ee5ef</v>
          </cell>
          <cell r="T167" t="str">
            <v>781a8378-cd11-45cb-b0c1-812d7332719f</v>
          </cell>
          <cell r="U167">
            <v>63</v>
          </cell>
          <cell r="V167" t="e">
            <v>#NAME?</v>
          </cell>
          <cell r="W167">
            <v>0</v>
          </cell>
          <cell r="X167" t="str">
            <v>945b2c46-f0b3-424f-ad12-201a3de6c3b7-0</v>
          </cell>
          <cell r="Y167">
            <v>8</v>
          </cell>
          <cell r="Z167" t="b">
            <v>0</v>
          </cell>
          <cell r="AA167" t="b">
            <v>0</v>
          </cell>
          <cell r="AB167" t="b">
            <v>0</v>
          </cell>
          <cell r="AC167">
            <v>0</v>
          </cell>
          <cell r="AD167" t="b">
            <v>0</v>
          </cell>
          <cell r="AE167" t="str">
            <v/>
          </cell>
          <cell r="AF167" t="str">
            <v>N25 Fines &amp; Penalties</v>
          </cell>
          <cell r="AG167" t="str">
            <v>P</v>
          </cell>
          <cell r="AH167" t="str">
            <v>]</v>
          </cell>
          <cell r="AI167" t="str">
            <v/>
          </cell>
          <cell r="AJ167" t="str">
            <v/>
          </cell>
          <cell r="AK167" t="str">
            <v>Fines</v>
          </cell>
          <cell r="AL167" t="str">
            <v>Complete</v>
          </cell>
          <cell r="AM167" t="str">
            <v>Adam Volcov</v>
          </cell>
          <cell r="AN167">
            <v>44873</v>
          </cell>
          <cell r="AO167" t="str">
            <v>O</v>
          </cell>
          <cell r="AP167" t="str">
            <v>P</v>
          </cell>
          <cell r="AQ167" t="str">
            <v>Q</v>
          </cell>
        </row>
        <row r="168">
          <cell r="C168" t="str">
            <v>1a141548-4c87-461c-afc9-855a0a9c9d83</v>
          </cell>
          <cell r="D168">
            <v>156</v>
          </cell>
          <cell r="E168">
            <v>2</v>
          </cell>
          <cell r="F168" t="str">
            <v>Line_2</v>
          </cell>
          <cell r="G168" t="str">
            <v>AddF</v>
          </cell>
          <cell r="I168" t="str">
            <v>Hire/Rent of Plant &amp; Equipment (430)</v>
          </cell>
          <cell r="J168">
            <v>2543.12</v>
          </cell>
          <cell r="K168">
            <v>2991.83</v>
          </cell>
          <cell r="L168">
            <v>-448.71</v>
          </cell>
          <cell r="M168">
            <v>-0.14997844128844218</v>
          </cell>
          <cell r="N168">
            <v>0</v>
          </cell>
          <cell r="O168" t="str">
            <v>Add</v>
          </cell>
          <cell r="P168">
            <v>0</v>
          </cell>
          <cell r="W168" t="str">
            <v>NA</v>
          </cell>
          <cell r="Y168">
            <v>0</v>
          </cell>
          <cell r="Z168" t="b">
            <v>0</v>
          </cell>
          <cell r="AA168" t="b">
            <v>0</v>
          </cell>
          <cell r="AB168" t="b">
            <v>0</v>
          </cell>
          <cell r="AC168">
            <v>0</v>
          </cell>
          <cell r="AD168" t="b">
            <v>1</v>
          </cell>
          <cell r="AG168" t="str">
            <v>P</v>
          </cell>
          <cell r="AH168" t="str">
            <v/>
          </cell>
          <cell r="AI168">
            <v>0</v>
          </cell>
          <cell r="AL168" t="str">
            <v/>
          </cell>
        </row>
        <row r="169">
          <cell r="C169" t="str">
            <v>801d6609-a431-4deb-ad43-5642f7afd813</v>
          </cell>
          <cell r="D169">
            <v>157</v>
          </cell>
          <cell r="E169">
            <v>2</v>
          </cell>
          <cell r="F169" t="str">
            <v>Line_2</v>
          </cell>
          <cell r="G169" t="str">
            <v>AddF</v>
          </cell>
          <cell r="I169" t="str">
            <v>Insurance (433)</v>
          </cell>
          <cell r="J169">
            <v>2909.59</v>
          </cell>
          <cell r="K169">
            <v>2766.32</v>
          </cell>
          <cell r="L169">
            <v>143.27000000000001</v>
          </cell>
          <cell r="M169">
            <v>5.1790826802394517E-2</v>
          </cell>
          <cell r="N169" t="str">
            <v>–</v>
          </cell>
          <cell r="O169" t="str">
            <v>Add</v>
          </cell>
          <cell r="P169">
            <v>1</v>
          </cell>
          <cell r="W169" t="str">
            <v>NA</v>
          </cell>
          <cell r="Y169">
            <v>8</v>
          </cell>
          <cell r="Z169" t="b">
            <v>0</v>
          </cell>
          <cell r="AA169" t="b">
            <v>0</v>
          </cell>
          <cell r="AB169" t="b">
            <v>0</v>
          </cell>
          <cell r="AC169">
            <v>0</v>
          </cell>
          <cell r="AD169" t="b">
            <v>1</v>
          </cell>
          <cell r="AG169" t="str">
            <v>P</v>
          </cell>
          <cell r="AH169" t="str">
            <v/>
          </cell>
          <cell r="AI169">
            <v>0</v>
          </cell>
          <cell r="AL169" t="str">
            <v/>
          </cell>
        </row>
        <row r="170">
          <cell r="C170" t="str">
            <v>801d6609-a431-4deb-ad43-5642f7afd813</v>
          </cell>
          <cell r="D170">
            <v>157</v>
          </cell>
          <cell r="E170">
            <v>100</v>
          </cell>
          <cell r="G170" t="str">
            <v>AddF</v>
          </cell>
          <cell r="O170" t="str">
            <v>}</v>
          </cell>
          <cell r="Q170" t="str">
            <v>801d6609-a431-4deb-ad43-5642f7afd813-100</v>
          </cell>
          <cell r="R170" t="str">
            <v>Worksheet</v>
          </cell>
          <cell r="S170" t="str">
            <v>f25b6070-47f8-4f55-8c72-5fc4863d7175</v>
          </cell>
          <cell r="T170" t="str">
            <v>4f6e539c-c47c-426b-a4aa-452e519c7021</v>
          </cell>
          <cell r="U170">
            <v>2909.59</v>
          </cell>
          <cell r="V170" t="e">
            <v>#NAME?</v>
          </cell>
          <cell r="W170">
            <v>0</v>
          </cell>
          <cell r="X170" t="str">
            <v>801d6609-a431-4deb-ad43-5642f7afd813-0</v>
          </cell>
          <cell r="Y170">
            <v>8</v>
          </cell>
          <cell r="Z170" t="b">
            <v>0</v>
          </cell>
          <cell r="AA170" t="b">
            <v>0</v>
          </cell>
          <cell r="AB170" t="b">
            <v>0</v>
          </cell>
          <cell r="AC170">
            <v>0</v>
          </cell>
          <cell r="AD170" t="b">
            <v>0</v>
          </cell>
          <cell r="AE170" t="str">
            <v/>
          </cell>
          <cell r="AF170" t="str">
            <v>N30 Insurance</v>
          </cell>
          <cell r="AG170" t="str">
            <v>P</v>
          </cell>
          <cell r="AH170" t="str">
            <v>]</v>
          </cell>
          <cell r="AI170" t="str">
            <v/>
          </cell>
          <cell r="AJ170" t="str">
            <v/>
          </cell>
          <cell r="AK170" t="str">
            <v>Total Insurance</v>
          </cell>
          <cell r="AL170" t="str">
            <v>Complete</v>
          </cell>
          <cell r="AM170" t="str">
            <v>Adam Volcov</v>
          </cell>
          <cell r="AN170">
            <v>44873</v>
          </cell>
          <cell r="AO170" t="str">
            <v>O</v>
          </cell>
          <cell r="AP170" t="str">
            <v>P</v>
          </cell>
          <cell r="AQ170" t="str">
            <v>Q</v>
          </cell>
        </row>
        <row r="171">
          <cell r="C171" t="str">
            <v>aa017264-12c0-44d0-a84e-4225fe81a7e1</v>
          </cell>
          <cell r="D171">
            <v>159</v>
          </cell>
          <cell r="E171">
            <v>2</v>
          </cell>
          <cell r="F171" t="str">
            <v>Line_2</v>
          </cell>
          <cell r="G171" t="str">
            <v>AddF</v>
          </cell>
          <cell r="I171" t="str">
            <v>Interflora Commisssion on Purchases (434a)</v>
          </cell>
          <cell r="J171">
            <v>1721.91</v>
          </cell>
          <cell r="K171">
            <v>0</v>
          </cell>
          <cell r="L171">
            <v>1721.91</v>
          </cell>
          <cell r="M171">
            <v>0</v>
          </cell>
          <cell r="N171">
            <v>0</v>
          </cell>
          <cell r="O171" t="str">
            <v>Add</v>
          </cell>
          <cell r="P171">
            <v>0</v>
          </cell>
          <cell r="W171" t="str">
            <v>NA</v>
          </cell>
          <cell r="Y171">
            <v>0</v>
          </cell>
          <cell r="Z171" t="b">
            <v>0</v>
          </cell>
          <cell r="AA171" t="b">
            <v>0</v>
          </cell>
          <cell r="AB171" t="b">
            <v>0</v>
          </cell>
          <cell r="AC171">
            <v>0</v>
          </cell>
          <cell r="AD171" t="b">
            <v>1</v>
          </cell>
          <cell r="AG171" t="str">
            <v>P</v>
          </cell>
          <cell r="AH171" t="str">
            <v/>
          </cell>
          <cell r="AI171">
            <v>0</v>
          </cell>
          <cell r="AL171" t="str">
            <v/>
          </cell>
        </row>
        <row r="172">
          <cell r="C172" t="str">
            <v>209e16d1-7a23-42f2-9302-9f1abeb78d1f</v>
          </cell>
          <cell r="D172">
            <v>160</v>
          </cell>
          <cell r="E172">
            <v>2</v>
          </cell>
          <cell r="F172" t="str">
            <v>Line_2</v>
          </cell>
          <cell r="G172" t="str">
            <v>AddF</v>
          </cell>
          <cell r="I172" t="str">
            <v>Interflora Monthly Fees (434b)</v>
          </cell>
          <cell r="J172">
            <v>2268.89</v>
          </cell>
          <cell r="K172">
            <v>0</v>
          </cell>
          <cell r="L172">
            <v>2268.89</v>
          </cell>
          <cell r="M172">
            <v>0</v>
          </cell>
          <cell r="N172">
            <v>0</v>
          </cell>
          <cell r="O172" t="str">
            <v>Add</v>
          </cell>
          <cell r="P172">
            <v>0</v>
          </cell>
          <cell r="W172" t="str">
            <v>NA</v>
          </cell>
          <cell r="Y172">
            <v>0</v>
          </cell>
          <cell r="Z172" t="b">
            <v>0</v>
          </cell>
          <cell r="AA172" t="b">
            <v>0</v>
          </cell>
          <cell r="AB172" t="b">
            <v>0</v>
          </cell>
          <cell r="AC172">
            <v>0</v>
          </cell>
          <cell r="AD172" t="b">
            <v>1</v>
          </cell>
          <cell r="AG172" t="str">
            <v>P</v>
          </cell>
          <cell r="AH172" t="str">
            <v/>
          </cell>
          <cell r="AI172">
            <v>0</v>
          </cell>
          <cell r="AL172" t="str">
            <v/>
          </cell>
        </row>
        <row r="173">
          <cell r="C173" t="str">
            <v>8258d9a0-00e5-4faf-bc19-45835711dc76</v>
          </cell>
          <cell r="D173">
            <v>161</v>
          </cell>
          <cell r="E173">
            <v>2</v>
          </cell>
          <cell r="F173" t="str">
            <v>Line_2</v>
          </cell>
          <cell r="G173" t="str">
            <v>AddF</v>
          </cell>
          <cell r="I173" t="str">
            <v>Easy Flower Fees (435)</v>
          </cell>
          <cell r="J173">
            <v>593.20000000000005</v>
          </cell>
          <cell r="K173">
            <v>0</v>
          </cell>
          <cell r="L173">
            <v>593.20000000000005</v>
          </cell>
          <cell r="M173">
            <v>0</v>
          </cell>
          <cell r="N173">
            <v>0</v>
          </cell>
          <cell r="O173" t="str">
            <v>Add</v>
          </cell>
          <cell r="P173">
            <v>0</v>
          </cell>
          <cell r="W173" t="str">
            <v>NA</v>
          </cell>
          <cell r="Y173">
            <v>0</v>
          </cell>
          <cell r="Z173" t="b">
            <v>0</v>
          </cell>
          <cell r="AA173" t="b">
            <v>0</v>
          </cell>
          <cell r="AB173" t="b">
            <v>0</v>
          </cell>
          <cell r="AC173">
            <v>0</v>
          </cell>
          <cell r="AD173" t="b">
            <v>1</v>
          </cell>
          <cell r="AG173" t="str">
            <v>P</v>
          </cell>
          <cell r="AH173" t="str">
            <v/>
          </cell>
          <cell r="AI173">
            <v>0</v>
          </cell>
          <cell r="AL173" t="str">
            <v/>
          </cell>
        </row>
        <row r="174">
          <cell r="C174" t="str">
            <v>1add7ca1-edff-4cf2-b428-ac84c850b3cc</v>
          </cell>
          <cell r="D174">
            <v>162</v>
          </cell>
          <cell r="E174">
            <v>2</v>
          </cell>
          <cell r="F174" t="str">
            <v>Line_2</v>
          </cell>
          <cell r="G174" t="str">
            <v>AddF</v>
          </cell>
          <cell r="I174" t="str">
            <v>Interest Expense (437)</v>
          </cell>
          <cell r="J174">
            <v>1686.72</v>
          </cell>
          <cell r="K174">
            <v>169.71</v>
          </cell>
          <cell r="L174">
            <v>1517.01</v>
          </cell>
          <cell r="M174">
            <v>8.9388368393141242</v>
          </cell>
          <cell r="N174">
            <v>0</v>
          </cell>
          <cell r="O174" t="str">
            <v>Add</v>
          </cell>
          <cell r="P174">
            <v>0</v>
          </cell>
          <cell r="W174" t="str">
            <v>NA</v>
          </cell>
          <cell r="Y174">
            <v>0</v>
          </cell>
          <cell r="Z174" t="b">
            <v>0</v>
          </cell>
          <cell r="AA174" t="b">
            <v>0</v>
          </cell>
          <cell r="AB174" t="b">
            <v>0</v>
          </cell>
          <cell r="AC174">
            <v>0</v>
          </cell>
          <cell r="AD174" t="b">
            <v>1</v>
          </cell>
          <cell r="AG174" t="str">
            <v>P</v>
          </cell>
          <cell r="AH174" t="str">
            <v/>
          </cell>
          <cell r="AI174">
            <v>0</v>
          </cell>
          <cell r="AL174" t="str">
            <v/>
          </cell>
        </row>
        <row r="175">
          <cell r="C175" t="str">
            <v>dcd55de2-e4f4-4b80-bfde-733ab2dad471</v>
          </cell>
          <cell r="D175">
            <v>163</v>
          </cell>
          <cell r="E175">
            <v>2</v>
          </cell>
          <cell r="F175" t="str">
            <v>Line_2</v>
          </cell>
          <cell r="G175" t="str">
            <v>AddF</v>
          </cell>
          <cell r="I175" t="str">
            <v>QRIDA Interest (437a)</v>
          </cell>
          <cell r="J175">
            <v>3275</v>
          </cell>
          <cell r="K175">
            <v>0</v>
          </cell>
          <cell r="L175">
            <v>3275</v>
          </cell>
          <cell r="M175">
            <v>0</v>
          </cell>
          <cell r="N175" t="str">
            <v>–</v>
          </cell>
          <cell r="O175" t="str">
            <v>Add</v>
          </cell>
          <cell r="P175">
            <v>1</v>
          </cell>
          <cell r="W175" t="str">
            <v>NA</v>
          </cell>
          <cell r="Y175">
            <v>8</v>
          </cell>
          <cell r="Z175" t="b">
            <v>0</v>
          </cell>
          <cell r="AA175" t="b">
            <v>0</v>
          </cell>
          <cell r="AB175" t="b">
            <v>0</v>
          </cell>
          <cell r="AC175">
            <v>0</v>
          </cell>
          <cell r="AD175" t="b">
            <v>1</v>
          </cell>
          <cell r="AG175" t="str">
            <v>P</v>
          </cell>
          <cell r="AH175" t="str">
            <v/>
          </cell>
          <cell r="AI175">
            <v>0</v>
          </cell>
          <cell r="AL175" t="str">
            <v/>
          </cell>
        </row>
        <row r="176">
          <cell r="C176" t="str">
            <v>dcd55de2-e4f4-4b80-bfde-733ab2dad471</v>
          </cell>
          <cell r="D176">
            <v>163</v>
          </cell>
          <cell r="E176">
            <v>100</v>
          </cell>
          <cell r="G176" t="str">
            <v>AddF</v>
          </cell>
          <cell r="O176" t="str">
            <v>}</v>
          </cell>
          <cell r="Q176" t="str">
            <v>dcd55de2-e4f4-4b80-bfde-733ab2dad471-100</v>
          </cell>
          <cell r="R176" t="str">
            <v>LinkSheet</v>
          </cell>
          <cell r="S176" t="str">
            <v>8a12d4cd-cfca-45f0-9123-cfbaab131889</v>
          </cell>
          <cell r="U176">
            <v>3275</v>
          </cell>
          <cell r="V176" t="e">
            <v>#N/A</v>
          </cell>
          <cell r="W176">
            <v>0</v>
          </cell>
          <cell r="X176" t="str">
            <v>dcd55de2-e4f4-4b80-bfde-733ab2dad471-0</v>
          </cell>
          <cell r="Y176">
            <v>8</v>
          </cell>
          <cell r="Z176" t="b">
            <v>0</v>
          </cell>
          <cell r="AA176" t="b">
            <v>0</v>
          </cell>
          <cell r="AB176" t="b">
            <v>0</v>
          </cell>
          <cell r="AC176">
            <v>0</v>
          </cell>
          <cell r="AD176" t="b">
            <v>0</v>
          </cell>
          <cell r="AE176" t="str">
            <v/>
          </cell>
          <cell r="AF176" t="str">
            <v>Qrida Interest</v>
          </cell>
          <cell r="AG176" t="str">
            <v>P</v>
          </cell>
          <cell r="AH176" t="str">
            <v>]</v>
          </cell>
          <cell r="AI176" t="str">
            <v/>
          </cell>
          <cell r="AJ176" t="str">
            <v/>
          </cell>
          <cell r="AL176" t="str">
            <v>Complete</v>
          </cell>
          <cell r="AM176" t="str">
            <v>Adam Volcov</v>
          </cell>
          <cell r="AN176">
            <v>44873</v>
          </cell>
          <cell r="AO176" t="str">
            <v>O</v>
          </cell>
          <cell r="AP176" t="str">
            <v>P</v>
          </cell>
          <cell r="AQ176" t="str">
            <v>Q</v>
          </cell>
        </row>
        <row r="177">
          <cell r="C177" t="str">
            <v>b2026fc2-2b2a-4646-bcda-8f6ae0b8a5f9</v>
          </cell>
          <cell r="D177">
            <v>165</v>
          </cell>
          <cell r="E177">
            <v>2</v>
          </cell>
          <cell r="F177" t="str">
            <v>Line_2</v>
          </cell>
          <cell r="G177" t="str">
            <v>AddF</v>
          </cell>
          <cell r="I177" t="str">
            <v>Light, Power, Heating (445)</v>
          </cell>
          <cell r="J177">
            <v>8406.51</v>
          </cell>
          <cell r="K177">
            <v>7933.7</v>
          </cell>
          <cell r="L177">
            <v>472.81</v>
          </cell>
          <cell r="M177">
            <v>5.9595144762216876E-2</v>
          </cell>
          <cell r="N177">
            <v>0</v>
          </cell>
          <cell r="O177" t="str">
            <v>Add</v>
          </cell>
          <cell r="P177">
            <v>0</v>
          </cell>
          <cell r="W177" t="str">
            <v>NA</v>
          </cell>
          <cell r="Y177">
            <v>0</v>
          </cell>
          <cell r="Z177" t="b">
            <v>0</v>
          </cell>
          <cell r="AA177" t="b">
            <v>0</v>
          </cell>
          <cell r="AB177" t="b">
            <v>0</v>
          </cell>
          <cell r="AC177">
            <v>0</v>
          </cell>
          <cell r="AD177" t="b">
            <v>1</v>
          </cell>
          <cell r="AG177" t="str">
            <v>P</v>
          </cell>
          <cell r="AH177" t="str">
            <v/>
          </cell>
          <cell r="AI177">
            <v>0</v>
          </cell>
          <cell r="AL177" t="str">
            <v/>
          </cell>
        </row>
        <row r="178">
          <cell r="C178" t="str">
            <v>de731c88-45f2-4dae-8677-2ac55cb5bba5</v>
          </cell>
          <cell r="D178">
            <v>166</v>
          </cell>
          <cell r="E178">
            <v>2</v>
          </cell>
          <cell r="F178" t="str">
            <v>Line_2</v>
          </cell>
          <cell r="G178" t="str">
            <v>AddF</v>
          </cell>
          <cell r="I178" t="str">
            <v>Low Cost Assets (446)</v>
          </cell>
          <cell r="J178">
            <v>0</v>
          </cell>
          <cell r="K178">
            <v>6787.27</v>
          </cell>
          <cell r="L178">
            <v>-6787.27</v>
          </cell>
          <cell r="M178">
            <v>-1</v>
          </cell>
          <cell r="N178">
            <v>0</v>
          </cell>
          <cell r="O178" t="str">
            <v>Add</v>
          </cell>
          <cell r="P178">
            <v>0</v>
          </cell>
          <cell r="W178" t="str">
            <v>NA</v>
          </cell>
          <cell r="Y178">
            <v>0</v>
          </cell>
          <cell r="Z178" t="b">
            <v>0</v>
          </cell>
          <cell r="AA178" t="b">
            <v>0</v>
          </cell>
          <cell r="AB178" t="b">
            <v>0</v>
          </cell>
          <cell r="AC178">
            <v>0</v>
          </cell>
          <cell r="AD178" t="b">
            <v>1</v>
          </cell>
          <cell r="AG178" t="str">
            <v>P</v>
          </cell>
          <cell r="AH178" t="str">
            <v/>
          </cell>
          <cell r="AI178">
            <v>0</v>
          </cell>
          <cell r="AL178" t="str">
            <v/>
          </cell>
        </row>
        <row r="179">
          <cell r="C179" t="str">
            <v>ae6e9084-cb30-49ea-ac56-bcbe2d3d098d</v>
          </cell>
          <cell r="D179">
            <v>167</v>
          </cell>
          <cell r="E179">
            <v>2</v>
          </cell>
          <cell r="F179" t="str">
            <v>Line_2</v>
          </cell>
          <cell r="G179" t="str">
            <v>AddF</v>
          </cell>
          <cell r="I179" t="str">
            <v>MV Expenses - Fuel &amp;Oil (449)</v>
          </cell>
          <cell r="J179">
            <v>2527.33</v>
          </cell>
          <cell r="K179">
            <v>1465.37</v>
          </cell>
          <cell r="L179">
            <v>1061.96</v>
          </cell>
          <cell r="M179">
            <v>0.72470434088318991</v>
          </cell>
          <cell r="N179" t="str">
            <v>–</v>
          </cell>
          <cell r="O179" t="str">
            <v>Add</v>
          </cell>
          <cell r="P179">
            <v>1</v>
          </cell>
          <cell r="W179" t="str">
            <v>NA</v>
          </cell>
          <cell r="Y179">
            <v>8</v>
          </cell>
          <cell r="Z179" t="b">
            <v>0</v>
          </cell>
          <cell r="AA179" t="b">
            <v>0</v>
          </cell>
          <cell r="AB179" t="b">
            <v>0</v>
          </cell>
          <cell r="AC179">
            <v>0</v>
          </cell>
          <cell r="AD179" t="b">
            <v>1</v>
          </cell>
          <cell r="AG179" t="str">
            <v>P</v>
          </cell>
          <cell r="AH179" t="str">
            <v/>
          </cell>
          <cell r="AI179">
            <v>0</v>
          </cell>
          <cell r="AL179" t="str">
            <v/>
          </cell>
        </row>
        <row r="180">
          <cell r="C180" t="str">
            <v>ae6e9084-cb30-49ea-ac56-bcbe2d3d098d</v>
          </cell>
          <cell r="D180">
            <v>167</v>
          </cell>
          <cell r="E180">
            <v>100</v>
          </cell>
          <cell r="G180" t="str">
            <v>AddF</v>
          </cell>
          <cell r="O180" t="str">
            <v>}</v>
          </cell>
          <cell r="Q180" t="str">
            <v>ae6e9084-cb30-49ea-ac56-bcbe2d3d098d-100</v>
          </cell>
          <cell r="R180" t="str">
            <v>Worksheet</v>
          </cell>
          <cell r="S180" t="str">
            <v>d2d6e320-0973-4db2-8ad1-a00dc2df88a7</v>
          </cell>
          <cell r="T180" t="str">
            <v>e0ef4314-8803-403a-a207-8002697abd5e</v>
          </cell>
          <cell r="U180">
            <v>2527.33</v>
          </cell>
          <cell r="V180" t="e">
            <v>#N/A</v>
          </cell>
          <cell r="W180">
            <v>0</v>
          </cell>
          <cell r="X180" t="str">
            <v>ae6e9084-cb30-49ea-ac56-bcbe2d3d098d-0</v>
          </cell>
          <cell r="Y180">
            <v>8</v>
          </cell>
          <cell r="Z180" t="b">
            <v>0</v>
          </cell>
          <cell r="AA180" t="b">
            <v>0</v>
          </cell>
          <cell r="AB180" t="b">
            <v>0</v>
          </cell>
          <cell r="AC180">
            <v>0</v>
          </cell>
          <cell r="AD180" t="b">
            <v>0</v>
          </cell>
          <cell r="AE180" t="str">
            <v/>
          </cell>
          <cell r="AF180" t="str">
            <v>N45 Motor Vehicle Expenses</v>
          </cell>
          <cell r="AG180" t="str">
            <v>P</v>
          </cell>
          <cell r="AH180" t="str">
            <v>]</v>
          </cell>
          <cell r="AI180" t="str">
            <v/>
          </cell>
          <cell r="AJ180" t="str">
            <v/>
          </cell>
          <cell r="AL180" t="str">
            <v>Complete</v>
          </cell>
          <cell r="AM180" t="str">
            <v>Adam Volcov</v>
          </cell>
          <cell r="AN180">
            <v>44873</v>
          </cell>
          <cell r="AO180" t="str">
            <v>O</v>
          </cell>
          <cell r="AP180" t="str">
            <v>P</v>
          </cell>
          <cell r="AQ180" t="str">
            <v>Q</v>
          </cell>
        </row>
        <row r="181">
          <cell r="C181" t="str">
            <v>0d9154f1-d47c-4e84-9879-343cb80ab193</v>
          </cell>
          <cell r="D181">
            <v>168</v>
          </cell>
          <cell r="E181">
            <v>2</v>
          </cell>
          <cell r="F181" t="str">
            <v>Line_2</v>
          </cell>
          <cell r="G181" t="str">
            <v>AddF</v>
          </cell>
          <cell r="I181" t="str">
            <v>MV Expenses - Registration /Insurance (450)</v>
          </cell>
          <cell r="J181">
            <v>1425.84</v>
          </cell>
          <cell r="K181">
            <v>1351.25</v>
          </cell>
          <cell r="L181">
            <v>74.59</v>
          </cell>
          <cell r="M181">
            <v>5.5200740055504169E-2</v>
          </cell>
          <cell r="N181">
            <v>0</v>
          </cell>
          <cell r="O181" t="str">
            <v>Add</v>
          </cell>
          <cell r="P181">
            <v>0</v>
          </cell>
          <cell r="W181" t="str">
            <v>NA</v>
          </cell>
          <cell r="Y181">
            <v>0</v>
          </cell>
          <cell r="Z181" t="b">
            <v>0</v>
          </cell>
          <cell r="AA181" t="b">
            <v>0</v>
          </cell>
          <cell r="AB181" t="b">
            <v>0</v>
          </cell>
          <cell r="AC181">
            <v>0</v>
          </cell>
          <cell r="AD181" t="b">
            <v>1</v>
          </cell>
          <cell r="AF181" t="str">
            <v>Refer N45 Motor Vehicle Expenses</v>
          </cell>
          <cell r="AG181" t="str">
            <v>P</v>
          </cell>
          <cell r="AH181" t="str">
            <v/>
          </cell>
          <cell r="AI181">
            <v>0</v>
          </cell>
          <cell r="AL181" t="str">
            <v/>
          </cell>
        </row>
        <row r="182">
          <cell r="C182" t="str">
            <v>623dd8ef-bcab-426e-87c4-69cb501cbd7a</v>
          </cell>
          <cell r="D182">
            <v>169</v>
          </cell>
          <cell r="E182">
            <v>2</v>
          </cell>
          <cell r="F182" t="str">
            <v>Line_2</v>
          </cell>
          <cell r="G182" t="str">
            <v>AddF</v>
          </cell>
          <cell r="I182" t="str">
            <v>MV Expenses - Repair &amp; Maintenance (451)</v>
          </cell>
          <cell r="J182">
            <v>397.08</v>
          </cell>
          <cell r="K182">
            <v>0</v>
          </cell>
          <cell r="L182">
            <v>397.08</v>
          </cell>
          <cell r="M182">
            <v>0</v>
          </cell>
          <cell r="N182">
            <v>0</v>
          </cell>
          <cell r="O182" t="str">
            <v>Add</v>
          </cell>
          <cell r="P182">
            <v>0</v>
          </cell>
          <cell r="W182" t="str">
            <v>NA</v>
          </cell>
          <cell r="Y182">
            <v>0</v>
          </cell>
          <cell r="Z182" t="b">
            <v>0</v>
          </cell>
          <cell r="AA182" t="b">
            <v>0</v>
          </cell>
          <cell r="AB182" t="b">
            <v>0</v>
          </cell>
          <cell r="AC182">
            <v>0</v>
          </cell>
          <cell r="AD182" t="b">
            <v>1</v>
          </cell>
          <cell r="AF182" t="str">
            <v>Refer N45 Motor Vehicle Expenses</v>
          </cell>
          <cell r="AG182" t="str">
            <v>P</v>
          </cell>
          <cell r="AH182" t="str">
            <v/>
          </cell>
          <cell r="AI182">
            <v>0</v>
          </cell>
          <cell r="AL182" t="str">
            <v/>
          </cell>
        </row>
        <row r="183">
          <cell r="C183" t="str">
            <v>06af2975-1826-4d9a-85f8-d7753e530294</v>
          </cell>
          <cell r="D183">
            <v>170</v>
          </cell>
          <cell r="E183">
            <v>2</v>
          </cell>
          <cell r="F183" t="str">
            <v>Line_2</v>
          </cell>
          <cell r="G183" t="str">
            <v>AddF</v>
          </cell>
          <cell r="I183" t="str">
            <v>MV Expenses - Interest (452)</v>
          </cell>
          <cell r="J183">
            <v>739.19</v>
          </cell>
          <cell r="K183">
            <v>985.87</v>
          </cell>
          <cell r="L183">
            <v>-246.68</v>
          </cell>
          <cell r="M183">
            <v>-0.25021554566017834</v>
          </cell>
          <cell r="N183">
            <v>0</v>
          </cell>
          <cell r="O183" t="str">
            <v>Add</v>
          </cell>
          <cell r="P183">
            <v>0</v>
          </cell>
          <cell r="W183" t="str">
            <v>NA</v>
          </cell>
          <cell r="Y183">
            <v>0</v>
          </cell>
          <cell r="Z183" t="b">
            <v>0</v>
          </cell>
          <cell r="AA183" t="b">
            <v>0</v>
          </cell>
          <cell r="AB183" t="b">
            <v>0</v>
          </cell>
          <cell r="AC183">
            <v>0</v>
          </cell>
          <cell r="AD183" t="b">
            <v>1</v>
          </cell>
          <cell r="AH183" t="str">
            <v/>
          </cell>
          <cell r="AI183">
            <v>0</v>
          </cell>
          <cell r="AL183" t="str">
            <v/>
          </cell>
        </row>
        <row r="184">
          <cell r="C184" t="str">
            <v>e24a8bf0-e7c5-455b-95a8-31a6e7fe664f</v>
          </cell>
          <cell r="D184">
            <v>171</v>
          </cell>
          <cell r="E184">
            <v>2</v>
          </cell>
          <cell r="F184" t="str">
            <v>Line_2</v>
          </cell>
          <cell r="G184" t="str">
            <v>AddF</v>
          </cell>
          <cell r="I184" t="str">
            <v>Office Expenses (453)</v>
          </cell>
          <cell r="J184">
            <v>4414.38</v>
          </cell>
          <cell r="K184">
            <v>5009.13</v>
          </cell>
          <cell r="L184">
            <v>-594.75</v>
          </cell>
          <cell r="M184">
            <v>-0.11873319318923646</v>
          </cell>
          <cell r="N184">
            <v>0</v>
          </cell>
          <cell r="O184" t="str">
            <v>Add</v>
          </cell>
          <cell r="P184">
            <v>0</v>
          </cell>
          <cell r="W184" t="str">
            <v>NA</v>
          </cell>
          <cell r="Y184">
            <v>0</v>
          </cell>
          <cell r="Z184" t="b">
            <v>0</v>
          </cell>
          <cell r="AA184" t="b">
            <v>0</v>
          </cell>
          <cell r="AB184" t="b">
            <v>0</v>
          </cell>
          <cell r="AC184">
            <v>0</v>
          </cell>
          <cell r="AD184" t="b">
            <v>1</v>
          </cell>
          <cell r="AG184" t="str">
            <v>P</v>
          </cell>
          <cell r="AH184" t="str">
            <v/>
          </cell>
          <cell r="AI184">
            <v>0</v>
          </cell>
          <cell r="AL184" t="str">
            <v/>
          </cell>
        </row>
        <row r="185">
          <cell r="C185" t="str">
            <v>d16d5ef2-d081-4d34-a0b6-03613d5d5f44</v>
          </cell>
          <cell r="D185">
            <v>172</v>
          </cell>
          <cell r="E185">
            <v>2</v>
          </cell>
          <cell r="F185" t="str">
            <v>Line_2</v>
          </cell>
          <cell r="G185" t="str">
            <v>AddF</v>
          </cell>
          <cell r="I185" t="str">
            <v>Uniforms (454)</v>
          </cell>
          <cell r="J185">
            <v>80.599999999999994</v>
          </cell>
          <cell r="K185">
            <v>708.1</v>
          </cell>
          <cell r="L185">
            <v>-627.5</v>
          </cell>
          <cell r="M185">
            <v>-0.88617426917102105</v>
          </cell>
          <cell r="N185">
            <v>0</v>
          </cell>
          <cell r="O185" t="str">
            <v>Add</v>
          </cell>
          <cell r="P185">
            <v>0</v>
          </cell>
          <cell r="W185" t="str">
            <v>NA</v>
          </cell>
          <cell r="Y185">
            <v>0</v>
          </cell>
          <cell r="Z185" t="b">
            <v>0</v>
          </cell>
          <cell r="AA185" t="b">
            <v>0</v>
          </cell>
          <cell r="AB185" t="b">
            <v>0</v>
          </cell>
          <cell r="AC185">
            <v>0</v>
          </cell>
          <cell r="AD185" t="b">
            <v>1</v>
          </cell>
          <cell r="AG185" t="str">
            <v>P</v>
          </cell>
          <cell r="AH185" t="str">
            <v/>
          </cell>
          <cell r="AI185">
            <v>0</v>
          </cell>
          <cell r="AL185" t="str">
            <v/>
          </cell>
        </row>
        <row r="186">
          <cell r="C186" t="str">
            <v>3bc4e1d7-2a6f-47f8-8995-e2d7a6305d81</v>
          </cell>
          <cell r="D186">
            <v>174</v>
          </cell>
          <cell r="E186">
            <v>2</v>
          </cell>
          <cell r="F186" t="str">
            <v>Line_2</v>
          </cell>
          <cell r="G186" t="str">
            <v>AddF</v>
          </cell>
          <cell r="I186" t="str">
            <v>Rent - Shop 3 (469)</v>
          </cell>
          <cell r="J186">
            <v>28461.200000000001</v>
          </cell>
          <cell r="K186">
            <v>0</v>
          </cell>
          <cell r="L186">
            <v>28461.200000000001</v>
          </cell>
          <cell r="M186">
            <v>0</v>
          </cell>
          <cell r="N186">
            <v>0</v>
          </cell>
          <cell r="O186" t="str">
            <v>Add</v>
          </cell>
          <cell r="P186">
            <v>0</v>
          </cell>
          <cell r="W186" t="str">
            <v>NA</v>
          </cell>
          <cell r="Y186">
            <v>0</v>
          </cell>
          <cell r="Z186" t="b">
            <v>0</v>
          </cell>
          <cell r="AA186" t="b">
            <v>0</v>
          </cell>
          <cell r="AB186" t="b">
            <v>0</v>
          </cell>
          <cell r="AC186">
            <v>0</v>
          </cell>
          <cell r="AD186" t="b">
            <v>1</v>
          </cell>
          <cell r="AG186" t="str">
            <v>P</v>
          </cell>
          <cell r="AH186" t="str">
            <v/>
          </cell>
          <cell r="AI186">
            <v>0</v>
          </cell>
          <cell r="AL186" t="str">
            <v/>
          </cell>
        </row>
        <row r="187">
          <cell r="C187" t="str">
            <v>b701447b-c010-4700-9091-d9f5c40ce22a</v>
          </cell>
          <cell r="D187">
            <v>175</v>
          </cell>
          <cell r="E187">
            <v>2</v>
          </cell>
          <cell r="F187" t="str">
            <v>Line_2</v>
          </cell>
          <cell r="G187" t="str">
            <v>AddF</v>
          </cell>
          <cell r="I187" t="str">
            <v>Rent Shop 4 (469a)</v>
          </cell>
          <cell r="J187">
            <v>22884.12</v>
          </cell>
          <cell r="K187">
            <v>0</v>
          </cell>
          <cell r="L187">
            <v>22884.12</v>
          </cell>
          <cell r="M187">
            <v>0</v>
          </cell>
          <cell r="N187">
            <v>0</v>
          </cell>
          <cell r="O187" t="str">
            <v>Add</v>
          </cell>
          <cell r="P187">
            <v>0</v>
          </cell>
          <cell r="W187" t="str">
            <v>NA</v>
          </cell>
          <cell r="Y187">
            <v>0</v>
          </cell>
          <cell r="Z187" t="b">
            <v>0</v>
          </cell>
          <cell r="AA187" t="b">
            <v>0</v>
          </cell>
          <cell r="AB187" t="b">
            <v>0</v>
          </cell>
          <cell r="AC187">
            <v>0</v>
          </cell>
          <cell r="AD187" t="b">
            <v>1</v>
          </cell>
          <cell r="AG187" t="str">
            <v>P</v>
          </cell>
          <cell r="AH187" t="str">
            <v/>
          </cell>
          <cell r="AI187">
            <v>0</v>
          </cell>
          <cell r="AL187" t="str">
            <v/>
          </cell>
        </row>
        <row r="188">
          <cell r="C188" t="str">
            <v>8bdce72f-765d-4e4d-8f9c-4da3f5e7ad9e</v>
          </cell>
          <cell r="D188">
            <v>176</v>
          </cell>
          <cell r="E188">
            <v>2</v>
          </cell>
          <cell r="F188" t="str">
            <v>Line_2</v>
          </cell>
          <cell r="G188" t="str">
            <v>AddF</v>
          </cell>
          <cell r="I188" t="str">
            <v>Outgoings Shop 3 (469b)</v>
          </cell>
          <cell r="J188">
            <v>1123.33</v>
          </cell>
          <cell r="K188">
            <v>54024.95</v>
          </cell>
          <cell r="L188">
            <v>-52901.62</v>
          </cell>
          <cell r="M188">
            <v>-0.9792071996364643</v>
          </cell>
          <cell r="N188">
            <v>0</v>
          </cell>
          <cell r="O188" t="str">
            <v>Add</v>
          </cell>
          <cell r="P188">
            <v>0</v>
          </cell>
          <cell r="W188" t="str">
            <v>NA</v>
          </cell>
          <cell r="Y188">
            <v>0</v>
          </cell>
          <cell r="Z188" t="b">
            <v>0</v>
          </cell>
          <cell r="AA188" t="b">
            <v>0</v>
          </cell>
          <cell r="AB188" t="b">
            <v>0</v>
          </cell>
          <cell r="AC188">
            <v>0</v>
          </cell>
          <cell r="AD188" t="b">
            <v>1</v>
          </cell>
          <cell r="AG188" t="str">
            <v>P</v>
          </cell>
          <cell r="AH188" t="str">
            <v/>
          </cell>
          <cell r="AI188">
            <v>0</v>
          </cell>
          <cell r="AL188" t="str">
            <v/>
          </cell>
        </row>
        <row r="189">
          <cell r="C189" t="str">
            <v>64698a7a-58ee-4cd5-9e77-4c0cf1764687</v>
          </cell>
          <cell r="D189">
            <v>177</v>
          </cell>
          <cell r="E189">
            <v>2</v>
          </cell>
          <cell r="F189" t="str">
            <v>Line_2</v>
          </cell>
          <cell r="G189" t="str">
            <v>AddF</v>
          </cell>
          <cell r="I189" t="str">
            <v>Outgoings Shop 4 (469c)</v>
          </cell>
          <cell r="J189">
            <v>1086.6500000000001</v>
          </cell>
          <cell r="K189">
            <v>1104.26</v>
          </cell>
          <cell r="L189">
            <v>-17.61</v>
          </cell>
          <cell r="M189">
            <v>-1.59473312444533E-2</v>
          </cell>
          <cell r="N189">
            <v>0</v>
          </cell>
          <cell r="O189" t="str">
            <v>Add</v>
          </cell>
          <cell r="P189">
            <v>0</v>
          </cell>
          <cell r="W189" t="str">
            <v>NA</v>
          </cell>
          <cell r="Y189">
            <v>0</v>
          </cell>
          <cell r="Z189" t="b">
            <v>0</v>
          </cell>
          <cell r="AA189" t="b">
            <v>0</v>
          </cell>
          <cell r="AB189" t="b">
            <v>0</v>
          </cell>
          <cell r="AC189">
            <v>0</v>
          </cell>
          <cell r="AD189" t="b">
            <v>1</v>
          </cell>
          <cell r="AG189" t="str">
            <v>P</v>
          </cell>
          <cell r="AH189" t="str">
            <v/>
          </cell>
          <cell r="AI189">
            <v>0</v>
          </cell>
          <cell r="AL189" t="str">
            <v/>
          </cell>
        </row>
        <row r="190">
          <cell r="C190" t="str">
            <v>d03f0590-9d86-4156-907e-7d2e82909653</v>
          </cell>
          <cell r="D190">
            <v>178</v>
          </cell>
          <cell r="E190">
            <v>2</v>
          </cell>
          <cell r="F190" t="str">
            <v>Line_2</v>
          </cell>
          <cell r="G190" t="str">
            <v>AddF</v>
          </cell>
          <cell r="I190" t="str">
            <v>Repairs and Maintenance (473)</v>
          </cell>
          <cell r="J190">
            <v>2199.21</v>
          </cell>
          <cell r="K190">
            <v>858.44</v>
          </cell>
          <cell r="L190">
            <v>1340.77</v>
          </cell>
          <cell r="M190">
            <v>1.5618680396999207</v>
          </cell>
          <cell r="N190" t="str">
            <v>–</v>
          </cell>
          <cell r="O190" t="str">
            <v>Add</v>
          </cell>
          <cell r="P190">
            <v>1</v>
          </cell>
          <cell r="W190" t="str">
            <v>NA</v>
          </cell>
          <cell r="Y190">
            <v>8</v>
          </cell>
          <cell r="Z190" t="b">
            <v>0</v>
          </cell>
          <cell r="AA190" t="b">
            <v>0</v>
          </cell>
          <cell r="AB190" t="b">
            <v>0</v>
          </cell>
          <cell r="AC190">
            <v>0</v>
          </cell>
          <cell r="AD190" t="b">
            <v>1</v>
          </cell>
          <cell r="AG190" t="str">
            <v>P</v>
          </cell>
          <cell r="AH190" t="str">
            <v/>
          </cell>
          <cell r="AI190">
            <v>0</v>
          </cell>
          <cell r="AL190" t="str">
            <v/>
          </cell>
        </row>
        <row r="191">
          <cell r="C191" t="str">
            <v>d03f0590-9d86-4156-907e-7d2e82909653</v>
          </cell>
          <cell r="D191">
            <v>178</v>
          </cell>
          <cell r="E191">
            <v>100</v>
          </cell>
          <cell r="G191" t="str">
            <v>AddF</v>
          </cell>
          <cell r="O191" t="str">
            <v>}</v>
          </cell>
          <cell r="Q191" t="str">
            <v>d03f0590-9d86-4156-907e-7d2e82909653-100</v>
          </cell>
          <cell r="R191" t="str">
            <v>Worksheet</v>
          </cell>
          <cell r="S191" t="str">
            <v>7291473e-9271-4485-86a4-5a4e72e6a440</v>
          </cell>
          <cell r="T191" t="str">
            <v>533075a9-157f-4b56-b911-cb73ac40b6f5</v>
          </cell>
          <cell r="U191">
            <v>2199.21</v>
          </cell>
          <cell r="V191" t="e">
            <v>#NAME?</v>
          </cell>
          <cell r="W191">
            <v>0</v>
          </cell>
          <cell r="X191" t="str">
            <v>d03f0590-9d86-4156-907e-7d2e82909653-0</v>
          </cell>
          <cell r="Y191">
            <v>8</v>
          </cell>
          <cell r="Z191" t="b">
            <v>0</v>
          </cell>
          <cell r="AA191" t="b">
            <v>0</v>
          </cell>
          <cell r="AB191" t="b">
            <v>0</v>
          </cell>
          <cell r="AC191">
            <v>0</v>
          </cell>
          <cell r="AD191" t="b">
            <v>0</v>
          </cell>
          <cell r="AE191" t="str">
            <v/>
          </cell>
          <cell r="AF191" t="str">
            <v>N60 Repairs Maintenance</v>
          </cell>
          <cell r="AG191" t="str">
            <v>P</v>
          </cell>
          <cell r="AH191" t="str">
            <v>]</v>
          </cell>
          <cell r="AI191" t="str">
            <v/>
          </cell>
          <cell r="AJ191" t="str">
            <v/>
          </cell>
          <cell r="AK191" t="str">
            <v>Repairs And Maintenance</v>
          </cell>
          <cell r="AL191" t="str">
            <v>Complete</v>
          </cell>
          <cell r="AM191" t="str">
            <v>Adam Volcov</v>
          </cell>
          <cell r="AN191">
            <v>44873</v>
          </cell>
          <cell r="AO191" t="str">
            <v>O</v>
          </cell>
          <cell r="AP191" t="str">
            <v>P</v>
          </cell>
          <cell r="AQ191" t="str">
            <v>Q</v>
          </cell>
        </row>
        <row r="192">
          <cell r="C192" t="str">
            <v>4e99fff5-d9ae-46ab-8cf8-4641fad4a4b3</v>
          </cell>
          <cell r="D192">
            <v>179</v>
          </cell>
          <cell r="E192">
            <v>2</v>
          </cell>
          <cell r="F192" t="str">
            <v>Line_2</v>
          </cell>
          <cell r="G192" t="str">
            <v>AddF</v>
          </cell>
          <cell r="I192" t="str">
            <v>Staff Amenities (474)</v>
          </cell>
          <cell r="J192">
            <v>1046.3699999999999</v>
          </cell>
          <cell r="K192">
            <v>2936.44</v>
          </cell>
          <cell r="L192">
            <v>-1890.07</v>
          </cell>
          <cell r="M192">
            <v>-0.64366035062865234</v>
          </cell>
          <cell r="N192">
            <v>0</v>
          </cell>
          <cell r="O192" t="str">
            <v>Add</v>
          </cell>
          <cell r="P192">
            <v>0</v>
          </cell>
          <cell r="W192" t="str">
            <v>NA</v>
          </cell>
          <cell r="Y192">
            <v>0</v>
          </cell>
          <cell r="Z192" t="b">
            <v>0</v>
          </cell>
          <cell r="AA192" t="b">
            <v>0</v>
          </cell>
          <cell r="AB192" t="b">
            <v>0</v>
          </cell>
          <cell r="AC192">
            <v>0</v>
          </cell>
          <cell r="AD192" t="b">
            <v>1</v>
          </cell>
          <cell r="AG192" t="str">
            <v>P</v>
          </cell>
          <cell r="AH192" t="str">
            <v/>
          </cell>
          <cell r="AI192">
            <v>0</v>
          </cell>
          <cell r="AL192" t="str">
            <v/>
          </cell>
        </row>
        <row r="193">
          <cell r="C193" t="str">
            <v>c80d7cba-05d3-4ab0-8999-ad951588bf44</v>
          </cell>
          <cell r="D193">
            <v>180</v>
          </cell>
          <cell r="E193">
            <v>2</v>
          </cell>
          <cell r="F193" t="str">
            <v>Line_2</v>
          </cell>
          <cell r="G193" t="str">
            <v>AddF</v>
          </cell>
          <cell r="H193" t="str">
            <v>ImportWages</v>
          </cell>
          <cell r="I193" t="str">
            <v>Wages and Salaries (477)</v>
          </cell>
          <cell r="J193">
            <v>212208.51</v>
          </cell>
          <cell r="K193">
            <v>238598.48</v>
          </cell>
          <cell r="L193">
            <v>-26389.97</v>
          </cell>
          <cell r="M193">
            <v>-0.11060409940583026</v>
          </cell>
          <cell r="N193" t="str">
            <v>–</v>
          </cell>
          <cell r="O193" t="str">
            <v>Add</v>
          </cell>
          <cell r="P193">
            <v>1</v>
          </cell>
          <cell r="W193" t="str">
            <v>NA</v>
          </cell>
          <cell r="Y193">
            <v>8</v>
          </cell>
          <cell r="Z193" t="b">
            <v>0</v>
          </cell>
          <cell r="AA193" t="b">
            <v>0</v>
          </cell>
          <cell r="AB193" t="b">
            <v>0</v>
          </cell>
          <cell r="AC193">
            <v>0</v>
          </cell>
          <cell r="AD193" t="b">
            <v>1</v>
          </cell>
          <cell r="AG193" t="str">
            <v>P</v>
          </cell>
          <cell r="AH193" t="str">
            <v/>
          </cell>
          <cell r="AI193">
            <v>0</v>
          </cell>
          <cell r="AL193" t="str">
            <v/>
          </cell>
        </row>
        <row r="194">
          <cell r="C194" t="str">
            <v>c80d7cba-05d3-4ab0-8999-ad951588bf44</v>
          </cell>
          <cell r="D194">
            <v>180</v>
          </cell>
          <cell r="E194">
            <v>100</v>
          </cell>
          <cell r="G194" t="str">
            <v>AddF</v>
          </cell>
          <cell r="H194" t="str">
            <v>ImportWages</v>
          </cell>
          <cell r="O194" t="str">
            <v>}</v>
          </cell>
          <cell r="Q194" t="str">
            <v>c80d7cba-05d3-4ab0-8999-ad951588bf44-100</v>
          </cell>
          <cell r="R194" t="str">
            <v>Worksheet</v>
          </cell>
          <cell r="S194" t="str">
            <v>146e273a-195f-40eb-9609-3442e1d20b9d</v>
          </cell>
          <cell r="T194" t="str">
            <v>f9a0a8e6-dfdf-4b6a-8aa0-8a71b8d4704b</v>
          </cell>
          <cell r="U194">
            <v>212208.51</v>
          </cell>
          <cell r="V194" t="e">
            <v>#NAME?</v>
          </cell>
          <cell r="W194">
            <v>0</v>
          </cell>
          <cell r="X194" t="str">
            <v>c80d7cba-05d3-4ab0-8999-ad951588bf44-0</v>
          </cell>
          <cell r="Y194">
            <v>8</v>
          </cell>
          <cell r="Z194" t="b">
            <v>0</v>
          </cell>
          <cell r="AA194" t="b">
            <v>0</v>
          </cell>
          <cell r="AB194" t="b">
            <v>0</v>
          </cell>
          <cell r="AC194">
            <v>0</v>
          </cell>
          <cell r="AD194" t="b">
            <v>0</v>
          </cell>
          <cell r="AE194">
            <v>0</v>
          </cell>
          <cell r="AF194" t="str">
            <v>N80 Wages</v>
          </cell>
          <cell r="AG194" t="str">
            <v>P</v>
          </cell>
          <cell r="AH194" t="str">
            <v>]</v>
          </cell>
          <cell r="AI194" t="str">
            <v/>
          </cell>
          <cell r="AJ194" t="str">
            <v>✓</v>
          </cell>
          <cell r="AK194" t="str">
            <v>Wages</v>
          </cell>
          <cell r="AL194" t="str">
            <v>Complete</v>
          </cell>
          <cell r="AM194" t="str">
            <v>Adam Volcov</v>
          </cell>
          <cell r="AN194">
            <v>44873</v>
          </cell>
          <cell r="AO194" t="str">
            <v>O</v>
          </cell>
          <cell r="AP194" t="str">
            <v>P</v>
          </cell>
          <cell r="AQ194" t="str">
            <v>Q</v>
          </cell>
        </row>
        <row r="195">
          <cell r="C195" t="str">
            <v>c8b1bcc3-aa68-42f7-b037-45fe3a7034a2</v>
          </cell>
          <cell r="D195">
            <v>181</v>
          </cell>
          <cell r="E195">
            <v>2</v>
          </cell>
          <cell r="F195" t="str">
            <v>Line_2</v>
          </cell>
          <cell r="G195" t="str">
            <v>AddF</v>
          </cell>
          <cell r="I195" t="str">
            <v>Florist Subcontractor (477a)</v>
          </cell>
          <cell r="J195">
            <v>276</v>
          </cell>
          <cell r="K195">
            <v>2034</v>
          </cell>
          <cell r="L195">
            <v>-1758</v>
          </cell>
          <cell r="M195">
            <v>-0.86430678466076705</v>
          </cell>
          <cell r="N195">
            <v>0</v>
          </cell>
          <cell r="O195" t="str">
            <v>Add</v>
          </cell>
          <cell r="P195">
            <v>0</v>
          </cell>
          <cell r="W195" t="str">
            <v>NA</v>
          </cell>
          <cell r="Y195">
            <v>0</v>
          </cell>
          <cell r="Z195" t="b">
            <v>0</v>
          </cell>
          <cell r="AA195" t="b">
            <v>0</v>
          </cell>
          <cell r="AB195" t="b">
            <v>0</v>
          </cell>
          <cell r="AC195">
            <v>0</v>
          </cell>
          <cell r="AD195" t="b">
            <v>1</v>
          </cell>
          <cell r="AG195" t="str">
            <v>P</v>
          </cell>
          <cell r="AH195" t="str">
            <v/>
          </cell>
          <cell r="AI195">
            <v>0</v>
          </cell>
          <cell r="AL195" t="str">
            <v/>
          </cell>
        </row>
        <row r="196">
          <cell r="C196" t="str">
            <v>59027ab6-45e5-46fd-8518-73d9519c2241</v>
          </cell>
          <cell r="D196">
            <v>182</v>
          </cell>
          <cell r="E196">
            <v>2</v>
          </cell>
          <cell r="F196" t="str">
            <v>Line_2</v>
          </cell>
          <cell r="G196" t="str">
            <v>AddF</v>
          </cell>
          <cell r="I196" t="str">
            <v>Superannuation (478)</v>
          </cell>
          <cell r="J196">
            <v>20433.8</v>
          </cell>
          <cell r="K196">
            <v>19396.830000000002</v>
          </cell>
          <cell r="L196">
            <v>1036.97</v>
          </cell>
          <cell r="M196">
            <v>5.3460797460203546E-2</v>
          </cell>
          <cell r="N196" t="str">
            <v>–</v>
          </cell>
          <cell r="O196" t="str">
            <v>Add</v>
          </cell>
          <cell r="P196">
            <v>1</v>
          </cell>
          <cell r="W196" t="str">
            <v>NA</v>
          </cell>
          <cell r="Y196">
            <v>8</v>
          </cell>
          <cell r="Z196" t="b">
            <v>0</v>
          </cell>
          <cell r="AA196" t="b">
            <v>0</v>
          </cell>
          <cell r="AB196" t="b">
            <v>0</v>
          </cell>
          <cell r="AC196">
            <v>0</v>
          </cell>
          <cell r="AD196" t="b">
            <v>1</v>
          </cell>
          <cell r="AG196" t="str">
            <v>P</v>
          </cell>
          <cell r="AH196" t="str">
            <v/>
          </cell>
          <cell r="AI196">
            <v>0</v>
          </cell>
          <cell r="AL196" t="str">
            <v/>
          </cell>
        </row>
        <row r="197">
          <cell r="C197" t="str">
            <v>59027ab6-45e5-46fd-8518-73d9519c2241</v>
          </cell>
          <cell r="D197">
            <v>182</v>
          </cell>
          <cell r="E197">
            <v>100</v>
          </cell>
          <cell r="G197" t="str">
            <v>AddF</v>
          </cell>
          <cell r="O197" t="str">
            <v>}</v>
          </cell>
          <cell r="Q197" t="str">
            <v>59027ab6-45e5-46fd-8518-73d9519c2241-100</v>
          </cell>
          <cell r="R197" t="str">
            <v>Worksheet</v>
          </cell>
          <cell r="S197" t="str">
            <v>f914eac8-5ce8-416d-9761-c194f22749cb</v>
          </cell>
          <cell r="T197" t="str">
            <v>5ee95ed5-6265-4f66-a3be-577dae145c4a</v>
          </cell>
          <cell r="U197">
            <v>20433.8</v>
          </cell>
          <cell r="V197" t="e">
            <v>#NAME?</v>
          </cell>
          <cell r="W197">
            <v>0</v>
          </cell>
          <cell r="X197" t="str">
            <v>59027ab6-45e5-46fd-8518-73d9519c2241-0</v>
          </cell>
          <cell r="Y197">
            <v>8</v>
          </cell>
          <cell r="Z197" t="b">
            <v>0</v>
          </cell>
          <cell r="AA197" t="b">
            <v>0</v>
          </cell>
          <cell r="AB197" t="b">
            <v>0</v>
          </cell>
          <cell r="AC197">
            <v>0</v>
          </cell>
          <cell r="AD197" t="b">
            <v>0</v>
          </cell>
          <cell r="AE197">
            <v>0</v>
          </cell>
          <cell r="AF197" t="str">
            <v>N75 Superannuation</v>
          </cell>
          <cell r="AG197" t="str">
            <v>P</v>
          </cell>
          <cell r="AH197" t="str">
            <v>]</v>
          </cell>
          <cell r="AI197" t="str">
            <v/>
          </cell>
          <cell r="AJ197" t="str">
            <v>✓</v>
          </cell>
          <cell r="AK197" t="str">
            <v>Super Expense</v>
          </cell>
          <cell r="AL197" t="str">
            <v>Complete</v>
          </cell>
          <cell r="AM197" t="str">
            <v>Adam Volcov</v>
          </cell>
          <cell r="AN197">
            <v>44873</v>
          </cell>
          <cell r="AO197" t="str">
            <v>O</v>
          </cell>
          <cell r="AP197" t="str">
            <v>P</v>
          </cell>
          <cell r="AQ197" t="str">
            <v>Q</v>
          </cell>
        </row>
        <row r="198">
          <cell r="C198" t="str">
            <v>f1f669d9-6e85-4a09-93e4-632a0bc18e45</v>
          </cell>
          <cell r="D198">
            <v>183</v>
          </cell>
          <cell r="E198">
            <v>2</v>
          </cell>
          <cell r="F198" t="str">
            <v>Line_2</v>
          </cell>
          <cell r="G198" t="str">
            <v>AddF</v>
          </cell>
          <cell r="I198" t="str">
            <v>Owners Superannuation (478a)</v>
          </cell>
          <cell r="J198">
            <v>15400</v>
          </cell>
          <cell r="K198">
            <v>5000</v>
          </cell>
          <cell r="L198">
            <v>10400</v>
          </cell>
          <cell r="M198">
            <v>2.08</v>
          </cell>
          <cell r="N198">
            <v>0</v>
          </cell>
          <cell r="O198" t="str">
            <v>Add</v>
          </cell>
          <cell r="P198">
            <v>0</v>
          </cell>
          <cell r="W198" t="str">
            <v>NA</v>
          </cell>
          <cell r="Y198">
            <v>0</v>
          </cell>
          <cell r="Z198" t="b">
            <v>0</v>
          </cell>
          <cell r="AA198" t="b">
            <v>0</v>
          </cell>
          <cell r="AB198" t="b">
            <v>0</v>
          </cell>
          <cell r="AC198">
            <v>0</v>
          </cell>
          <cell r="AD198" t="b">
            <v>1</v>
          </cell>
          <cell r="AG198" t="str">
            <v>P</v>
          </cell>
          <cell r="AH198" t="str">
            <v/>
          </cell>
          <cell r="AI198">
            <v>0</v>
          </cell>
          <cell r="AL198" t="str">
            <v/>
          </cell>
        </row>
        <row r="199">
          <cell r="C199" t="str">
            <v>68669338-64c8-43ff-bd2a-a83e87e0725c</v>
          </cell>
          <cell r="D199">
            <v>184</v>
          </cell>
          <cell r="E199">
            <v>2</v>
          </cell>
          <cell r="F199" t="str">
            <v>Line_2</v>
          </cell>
          <cell r="G199" t="str">
            <v>AddF</v>
          </cell>
          <cell r="I199" t="str">
            <v>Workcover (479)</v>
          </cell>
          <cell r="J199">
            <v>2057.4499999999998</v>
          </cell>
          <cell r="K199">
            <v>1202.8699999999999</v>
          </cell>
          <cell r="L199">
            <v>854.58</v>
          </cell>
          <cell r="M199">
            <v>0.71045083841146595</v>
          </cell>
          <cell r="N199">
            <v>0</v>
          </cell>
          <cell r="O199" t="str">
            <v>Add</v>
          </cell>
          <cell r="P199">
            <v>0</v>
          </cell>
          <cell r="W199" t="str">
            <v>NA</v>
          </cell>
          <cell r="Y199">
            <v>0</v>
          </cell>
          <cell r="Z199" t="b">
            <v>0</v>
          </cell>
          <cell r="AA199" t="b">
            <v>0</v>
          </cell>
          <cell r="AB199" t="b">
            <v>0</v>
          </cell>
          <cell r="AC199">
            <v>0</v>
          </cell>
          <cell r="AD199" t="b">
            <v>1</v>
          </cell>
          <cell r="AG199" t="str">
            <v>P</v>
          </cell>
          <cell r="AH199" t="str">
            <v/>
          </cell>
          <cell r="AI199">
            <v>0</v>
          </cell>
          <cell r="AL199" t="str">
            <v/>
          </cell>
        </row>
        <row r="200">
          <cell r="C200" t="str">
            <v>cae51e0e-23a6-4353-8c44-95316dc77bab</v>
          </cell>
          <cell r="D200">
            <v>186</v>
          </cell>
          <cell r="E200">
            <v>2</v>
          </cell>
          <cell r="F200" t="str">
            <v>Line_2</v>
          </cell>
          <cell r="G200" t="str">
            <v>AddF</v>
          </cell>
          <cell r="I200" t="str">
            <v>Subscriptions (485)</v>
          </cell>
          <cell r="J200">
            <v>1895.58</v>
          </cell>
          <cell r="K200">
            <v>1189.08</v>
          </cell>
          <cell r="L200">
            <v>706.5</v>
          </cell>
          <cell r="M200">
            <v>0.59415682712685436</v>
          </cell>
          <cell r="N200" t="str">
            <v>–</v>
          </cell>
          <cell r="O200" t="str">
            <v>Add</v>
          </cell>
          <cell r="P200">
            <v>1</v>
          </cell>
          <cell r="W200" t="str">
            <v>NA</v>
          </cell>
          <cell r="Y200">
            <v>8</v>
          </cell>
          <cell r="Z200" t="b">
            <v>0</v>
          </cell>
          <cell r="AA200" t="b">
            <v>0</v>
          </cell>
          <cell r="AB200" t="b">
            <v>0</v>
          </cell>
          <cell r="AC200">
            <v>0</v>
          </cell>
          <cell r="AD200" t="b">
            <v>1</v>
          </cell>
          <cell r="AG200" t="str">
            <v>P</v>
          </cell>
          <cell r="AH200" t="str">
            <v/>
          </cell>
          <cell r="AI200">
            <v>0</v>
          </cell>
          <cell r="AL200" t="str">
            <v/>
          </cell>
        </row>
        <row r="201">
          <cell r="C201" t="str">
            <v>cae51e0e-23a6-4353-8c44-95316dc77bab</v>
          </cell>
          <cell r="D201">
            <v>186</v>
          </cell>
          <cell r="E201">
            <v>100</v>
          </cell>
          <cell r="G201" t="str">
            <v>AddF</v>
          </cell>
          <cell r="O201" t="str">
            <v>}</v>
          </cell>
          <cell r="Q201" t="str">
            <v>cae51e0e-23a6-4353-8c44-95316dc77bab-100</v>
          </cell>
          <cell r="R201" t="str">
            <v>Worksheet</v>
          </cell>
          <cell r="S201" t="str">
            <v>38191652-5401-4bb3-be90-699c3b278c24</v>
          </cell>
          <cell r="T201" t="str">
            <v>c2a7b192-96d7-459a-8250-a996107503aa</v>
          </cell>
          <cell r="U201">
            <v>1895.58</v>
          </cell>
          <cell r="V201" t="e">
            <v>#NAME?</v>
          </cell>
          <cell r="W201">
            <v>0</v>
          </cell>
          <cell r="X201" t="str">
            <v>cae51e0e-23a6-4353-8c44-95316dc77bab-0</v>
          </cell>
          <cell r="Y201">
            <v>8</v>
          </cell>
          <cell r="Z201" t="b">
            <v>0</v>
          </cell>
          <cell r="AA201" t="b">
            <v>0</v>
          </cell>
          <cell r="AB201" t="b">
            <v>0</v>
          </cell>
          <cell r="AC201">
            <v>0</v>
          </cell>
          <cell r="AD201" t="b">
            <v>0</v>
          </cell>
          <cell r="AE201" t="str">
            <v/>
          </cell>
          <cell r="AF201" t="str">
            <v>N70 Subscriptions</v>
          </cell>
          <cell r="AG201" t="str">
            <v>P</v>
          </cell>
          <cell r="AH201" t="str">
            <v>]</v>
          </cell>
          <cell r="AI201" t="str">
            <v/>
          </cell>
          <cell r="AJ201" t="str">
            <v/>
          </cell>
          <cell r="AK201" t="str">
            <v>Subscriptions</v>
          </cell>
          <cell r="AL201" t="str">
            <v>Complete</v>
          </cell>
          <cell r="AM201" t="str">
            <v>Adam Volcov</v>
          </cell>
          <cell r="AN201">
            <v>44873</v>
          </cell>
          <cell r="AO201" t="str">
            <v>O</v>
          </cell>
          <cell r="AP201" t="str">
            <v>P</v>
          </cell>
          <cell r="AQ201" t="str">
            <v>Q</v>
          </cell>
        </row>
        <row r="202">
          <cell r="C202" t="str">
            <v>74a2763d-a408-4cb7-8c9b-5487ca4c99ba</v>
          </cell>
          <cell r="D202">
            <v>187</v>
          </cell>
          <cell r="E202">
            <v>2</v>
          </cell>
          <cell r="F202" t="str">
            <v>Line_2</v>
          </cell>
          <cell r="G202" t="str">
            <v>AddF</v>
          </cell>
          <cell r="I202" t="str">
            <v>Telephone &amp; Internet (489)</v>
          </cell>
          <cell r="J202">
            <v>6575.91</v>
          </cell>
          <cell r="K202">
            <v>8161.56</v>
          </cell>
          <cell r="L202">
            <v>-1585.65</v>
          </cell>
          <cell r="M202">
            <v>-0.1942827106582565</v>
          </cell>
          <cell r="N202">
            <v>0</v>
          </cell>
          <cell r="O202" t="str">
            <v>Add</v>
          </cell>
          <cell r="P202">
            <v>0</v>
          </cell>
          <cell r="W202" t="str">
            <v>NA</v>
          </cell>
          <cell r="Y202">
            <v>0</v>
          </cell>
          <cell r="Z202" t="b">
            <v>0</v>
          </cell>
          <cell r="AA202" t="b">
            <v>0</v>
          </cell>
          <cell r="AB202" t="b">
            <v>0</v>
          </cell>
          <cell r="AC202">
            <v>0</v>
          </cell>
          <cell r="AD202" t="b">
            <v>1</v>
          </cell>
          <cell r="AG202" t="str">
            <v>P</v>
          </cell>
          <cell r="AH202" t="str">
            <v/>
          </cell>
          <cell r="AI202">
            <v>0</v>
          </cell>
          <cell r="AL202" t="str">
            <v/>
          </cell>
        </row>
        <row r="203">
          <cell r="C203" t="str">
            <v>1be2b115-a971-409a-97ef-cac7e9f8cd9b</v>
          </cell>
          <cell r="D203">
            <v>188</v>
          </cell>
          <cell r="E203">
            <v>2</v>
          </cell>
          <cell r="F203" t="str">
            <v>Line_2</v>
          </cell>
          <cell r="G203" t="str">
            <v>AddF</v>
          </cell>
          <cell r="I203" t="str">
            <v>Travel - National (493)</v>
          </cell>
          <cell r="J203">
            <v>307.19</v>
          </cell>
          <cell r="K203">
            <v>1915.14</v>
          </cell>
          <cell r="L203">
            <v>-1607.95</v>
          </cell>
          <cell r="M203">
            <v>-0.83959919379262093</v>
          </cell>
          <cell r="N203">
            <v>0</v>
          </cell>
          <cell r="O203" t="str">
            <v>Add</v>
          </cell>
          <cell r="P203">
            <v>0</v>
          </cell>
          <cell r="W203" t="str">
            <v>NA</v>
          </cell>
          <cell r="Y203">
            <v>0</v>
          </cell>
          <cell r="Z203" t="b">
            <v>0</v>
          </cell>
          <cell r="AA203" t="b">
            <v>0</v>
          </cell>
          <cell r="AB203" t="b">
            <v>0</v>
          </cell>
          <cell r="AC203">
            <v>0</v>
          </cell>
          <cell r="AD203" t="b">
            <v>1</v>
          </cell>
          <cell r="AG203" t="str">
            <v>P</v>
          </cell>
          <cell r="AH203" t="str">
            <v/>
          </cell>
          <cell r="AI203">
            <v>0</v>
          </cell>
          <cell r="AL203" t="str">
            <v/>
          </cell>
        </row>
        <row r="204">
          <cell r="C204" t="str">
            <v>9ae71f5e-9b8b-4866-adda-7bb44c9ed573</v>
          </cell>
          <cell r="D204">
            <v>194</v>
          </cell>
          <cell r="E204">
            <v>2</v>
          </cell>
          <cell r="F204" t="str">
            <v>Line_2</v>
          </cell>
          <cell r="G204" t="str">
            <v>AddF</v>
          </cell>
          <cell r="I204" t="str">
            <v>PayPal Fees (506)</v>
          </cell>
          <cell r="J204">
            <v>575.47</v>
          </cell>
          <cell r="K204">
            <v>0</v>
          </cell>
          <cell r="L204">
            <v>575.47</v>
          </cell>
          <cell r="M204">
            <v>0</v>
          </cell>
          <cell r="N204">
            <v>0</v>
          </cell>
          <cell r="O204" t="str">
            <v>Add</v>
          </cell>
          <cell r="P204">
            <v>0</v>
          </cell>
          <cell r="W204" t="str">
            <v>NA</v>
          </cell>
          <cell r="Y204">
            <v>0</v>
          </cell>
          <cell r="Z204" t="b">
            <v>0</v>
          </cell>
          <cell r="AA204" t="b">
            <v>0</v>
          </cell>
          <cell r="AB204" t="b">
            <v>0</v>
          </cell>
          <cell r="AC204">
            <v>0</v>
          </cell>
          <cell r="AD204" t="b">
            <v>1</v>
          </cell>
          <cell r="AG204" t="str">
            <v>P</v>
          </cell>
          <cell r="AH204" t="str">
            <v/>
          </cell>
          <cell r="AI204">
            <v>0</v>
          </cell>
          <cell r="AL204" t="str">
            <v/>
          </cell>
        </row>
        <row r="205">
          <cell r="C205" t="str">
            <v>4de24881-9d1f-467d-95bf-67ca250e1146</v>
          </cell>
          <cell r="D205">
            <v>195</v>
          </cell>
          <cell r="E205">
            <v>2</v>
          </cell>
          <cell r="F205" t="str">
            <v>Line_2</v>
          </cell>
          <cell r="G205" t="str">
            <v>AddF</v>
          </cell>
          <cell r="I205" t="str">
            <v>Shopify Fees (SH-30000)</v>
          </cell>
          <cell r="J205">
            <v>1991.96</v>
          </cell>
          <cell r="K205">
            <v>0</v>
          </cell>
          <cell r="L205">
            <v>1991.96</v>
          </cell>
          <cell r="M205">
            <v>0</v>
          </cell>
          <cell r="N205">
            <v>0</v>
          </cell>
          <cell r="O205" t="str">
            <v>Add</v>
          </cell>
          <cell r="P205">
            <v>0</v>
          </cell>
          <cell r="W205" t="str">
            <v>NA</v>
          </cell>
          <cell r="Y205">
            <v>0</v>
          </cell>
          <cell r="Z205" t="b">
            <v>0</v>
          </cell>
          <cell r="AA205" t="b">
            <v>0</v>
          </cell>
          <cell r="AB205" t="b">
            <v>0</v>
          </cell>
          <cell r="AC205">
            <v>0</v>
          </cell>
          <cell r="AD205" t="b">
            <v>1</v>
          </cell>
          <cell r="AG205" t="str">
            <v>P</v>
          </cell>
          <cell r="AH205" t="str">
            <v/>
          </cell>
          <cell r="AI205">
            <v>0</v>
          </cell>
          <cell r="AL205" t="str">
            <v/>
          </cell>
        </row>
        <row r="206">
          <cell r="C206" t="str">
            <v>EXPENSETotal</v>
          </cell>
          <cell r="D206">
            <v>196</v>
          </cell>
          <cell r="E206">
            <v>1</v>
          </cell>
          <cell r="F206" t="str">
            <v>Total_1</v>
          </cell>
          <cell r="G206" t="str">
            <v>AddF</v>
          </cell>
          <cell r="I206" t="str">
            <v>Total EXPENSE</v>
          </cell>
          <cell r="J206">
            <v>951826.75</v>
          </cell>
          <cell r="K206">
            <v>932247.96</v>
          </cell>
          <cell r="L206">
            <v>19578.79</v>
          </cell>
          <cell r="M206">
            <v>2.100169787445821E-2</v>
          </cell>
          <cell r="N206">
            <v>0</v>
          </cell>
          <cell r="O206" t="str">
            <v>Add</v>
          </cell>
          <cell r="P206">
            <v>0</v>
          </cell>
          <cell r="W206" t="str">
            <v>NA</v>
          </cell>
          <cell r="Y206">
            <v>0</v>
          </cell>
          <cell r="Z206" t="b">
            <v>0</v>
          </cell>
          <cell r="AA206" t="b">
            <v>0</v>
          </cell>
          <cell r="AB206" t="b">
            <v>0</v>
          </cell>
          <cell r="AC206">
            <v>0</v>
          </cell>
          <cell r="AD206" t="b">
            <v>1</v>
          </cell>
          <cell r="AG206" t="str">
            <v>P</v>
          </cell>
          <cell r="AH206" t="str">
            <v/>
          </cell>
          <cell r="AI206">
            <v>0</v>
          </cell>
          <cell r="AL206" t="str">
            <v/>
          </cell>
        </row>
        <row r="207">
          <cell r="C207" t="str">
            <v>NetProfit</v>
          </cell>
          <cell r="D207">
            <v>197</v>
          </cell>
          <cell r="E207">
            <v>1</v>
          </cell>
          <cell r="F207" t="str">
            <v>Total_1</v>
          </cell>
          <cell r="G207" t="str">
            <v>AddA</v>
          </cell>
          <cell r="I207" t="str">
            <v>Net Profit</v>
          </cell>
          <cell r="J207">
            <v>18138.259999999998</v>
          </cell>
          <cell r="K207">
            <v>39728.47</v>
          </cell>
          <cell r="L207">
            <v>-21590.21</v>
          </cell>
          <cell r="M207">
            <v>-0.54344428567221448</v>
          </cell>
          <cell r="N207">
            <v>0</v>
          </cell>
          <cell r="O207" t="str">
            <v>Add</v>
          </cell>
          <cell r="P207">
            <v>0</v>
          </cell>
          <cell r="W207" t="str">
            <v>NA</v>
          </cell>
          <cell r="Y207">
            <v>0</v>
          </cell>
          <cell r="Z207" t="b">
            <v>0</v>
          </cell>
          <cell r="AA207" t="b">
            <v>0</v>
          </cell>
          <cell r="AB207" t="b">
            <v>0</v>
          </cell>
          <cell r="AC207">
            <v>0</v>
          </cell>
          <cell r="AD207" t="b">
            <v>1</v>
          </cell>
          <cell r="AG207" t="str">
            <v>P</v>
          </cell>
          <cell r="AH207" t="str">
            <v/>
          </cell>
          <cell r="AI207">
            <v>0</v>
          </cell>
          <cell r="AL207" t="str">
            <v/>
          </cell>
        </row>
      </sheetData>
      <sheetData sheetId="14">
        <row r="20">
          <cell r="D20">
            <v>23226</v>
          </cell>
        </row>
        <row r="21">
          <cell r="F21">
            <v>29033</v>
          </cell>
        </row>
        <row r="27">
          <cell r="D27">
            <v>37500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me"/>
      <sheetName val="Information"/>
      <sheetName val="PARTNER FINALISATION"/>
      <sheetName val="Index"/>
      <sheetName val="A1 Pre Comm"/>
      <sheetName val="A2 Opening Balances"/>
      <sheetName val="A3 Issues &amp; Opp."/>
      <sheetName val="A4 Budget"/>
      <sheetName val="A5 SBE"/>
      <sheetName val="A5.1 BaseRate"/>
      <sheetName val="A6 Queries"/>
      <sheetName val="A7 Review Points"/>
      <sheetName val="A8 Preparer Notes"/>
      <sheetName val="A9 Accountants Checklist"/>
      <sheetName val="A9 Checklist Trust"/>
      <sheetName val="A9 Checklist Partnership"/>
      <sheetName val="A9 Checklist Individual"/>
      <sheetName val="B1 TB"/>
      <sheetName val="B2 Client TB"/>
      <sheetName val="EJ1 Journals"/>
      <sheetName val="B4 Balance Sheet"/>
      <sheetName val="B5 Profit and Loss"/>
      <sheetName val="B6 Coded Movement"/>
      <sheetName val="B7 GL detail"/>
      <sheetName val="C1 FrAccount"/>
      <sheetName val="C3 Tax Rec"/>
      <sheetName val="Loss Carry Back"/>
      <sheetName val="C4 Tax Worksheet"/>
      <sheetName val="C5 Income Tax Return"/>
      <sheetName val="C7 GST Rec"/>
      <sheetName val="Xero GST Rec"/>
      <sheetName val="GST GL Detail"/>
      <sheetName val="C10 Losses"/>
      <sheetName val="C15 ICA"/>
      <sheetName val="C16 ITA"/>
      <sheetName val="EJ2 AdjJnl"/>
      <sheetName val="F5 Accounts Receivable"/>
      <sheetName val="F10 Bank Reconciliation"/>
      <sheetName val="F15 Stock on Hand"/>
      <sheetName val="F20 Other Current Assets"/>
      <sheetName val="F15.1 - Primary Stock"/>
      <sheetName val="G5 Borrowing Costs"/>
      <sheetName val="G10 Fixed Assets"/>
      <sheetName val="G10.1 Accounting Dep."/>
      <sheetName val="G10.2 Taxation Dep"/>
      <sheetName val="G10.3 Assets Addition"/>
      <sheetName val="Dodge Ram 2500"/>
      <sheetName val="G10.4 Assets Dispose"/>
      <sheetName val="G15 Intang.Blackhole Exp."/>
      <sheetName val="G20 Leases"/>
      <sheetName val="G25 Other Non-Current Assets"/>
      <sheetName val="G30 SalePur"/>
      <sheetName val="G31 Division 7A"/>
      <sheetName val="G31.1 Division 7A"/>
      <sheetName val="G31.2 Division 7A"/>
      <sheetName val="H5 Accounts Payable"/>
      <sheetName val="H10 Hire Purchase"/>
      <sheetName val="HP Tesla Model Y"/>
      <sheetName val="HP Dodge Ram 2500"/>
      <sheetName val="HP Spinifex - 123TB "/>
      <sheetName val="H25 Loans"/>
      <sheetName val="Loan Int Split"/>
      <sheetName val="QRIDA LOAN"/>
      <sheetName val="H30 Other Liabilities"/>
      <sheetName val="H15 Loan Matrix"/>
      <sheetName val="Loan - Quad Investment Trust"/>
      <sheetName val="Loan GP Family Trust"/>
      <sheetName val="Loan Combined Gray Family Trust"/>
      <sheetName val="Loan-Integrated Employment"/>
      <sheetName val="H35 Provision Tax"/>
      <sheetName val="M5 Distributions"/>
      <sheetName val="M10 Dividends"/>
      <sheetName val="M25 Rental Income"/>
      <sheetName val="M40 FBT Contribution"/>
      <sheetName val="COsts Dodge Ram 2500"/>
      <sheetName val="Accountany Fees"/>
      <sheetName val="Repair &amp; Maintenance"/>
      <sheetName val="Motor Vehicle Exp"/>
      <sheetName val="Rent Expenses"/>
      <sheetName val="Remodal Expenses"/>
      <sheetName val="N10 Donations"/>
      <sheetName val="N15 Entertainment"/>
      <sheetName val="N35 Interest Apportionment"/>
      <sheetName val="N45 MV Expenses"/>
      <sheetName val="N75 Superannuation"/>
      <sheetName val="N80 Wages"/>
      <sheetName val="DASHBOARD"/>
    </sheetNames>
    <sheetDataSet>
      <sheetData sheetId="0">
        <row r="8">
          <cell r="B8">
            <v>3245</v>
          </cell>
        </row>
        <row r="11">
          <cell r="C11">
            <v>45473</v>
          </cell>
        </row>
        <row r="19">
          <cell r="C19" t="str">
            <v>Kuldeep Singh</v>
          </cell>
        </row>
        <row r="22">
          <cell r="C22" t="str">
            <v>Nick Dwyer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>
        <row r="13">
          <cell r="E13"/>
        </row>
        <row r="14">
          <cell r="E14"/>
        </row>
        <row r="15">
          <cell r="E15"/>
        </row>
        <row r="53">
          <cell r="B53" t="str">
            <v>No.</v>
          </cell>
        </row>
        <row r="54">
          <cell r="C54">
            <v>0</v>
          </cell>
          <cell r="E54" t="str">
            <v/>
          </cell>
          <cell r="F54" t="str">
            <v/>
          </cell>
        </row>
        <row r="55">
          <cell r="C55">
            <v>31</v>
          </cell>
          <cell r="E55" t="str">
            <v/>
          </cell>
          <cell r="F55" t="str">
            <v/>
          </cell>
        </row>
        <row r="56">
          <cell r="C56">
            <v>62</v>
          </cell>
          <cell r="E56" t="str">
            <v/>
          </cell>
          <cell r="F56" t="str">
            <v/>
          </cell>
        </row>
        <row r="57">
          <cell r="C57">
            <v>93</v>
          </cell>
          <cell r="E57" t="str">
            <v/>
          </cell>
          <cell r="F57" t="str">
            <v/>
          </cell>
        </row>
        <row r="58">
          <cell r="C58">
            <v>123</v>
          </cell>
          <cell r="E58" t="str">
            <v/>
          </cell>
          <cell r="F58" t="str">
            <v/>
          </cell>
        </row>
        <row r="59">
          <cell r="C59">
            <v>154</v>
          </cell>
          <cell r="E59" t="str">
            <v/>
          </cell>
          <cell r="F59" t="str">
            <v/>
          </cell>
        </row>
        <row r="60">
          <cell r="C60">
            <v>184</v>
          </cell>
          <cell r="E60" t="str">
            <v/>
          </cell>
          <cell r="F60" t="str">
            <v/>
          </cell>
        </row>
        <row r="61">
          <cell r="C61">
            <v>215</v>
          </cell>
          <cell r="E61" t="str">
            <v/>
          </cell>
          <cell r="F61" t="str">
            <v/>
          </cell>
        </row>
        <row r="62">
          <cell r="C62">
            <v>246</v>
          </cell>
          <cell r="E62" t="str">
            <v/>
          </cell>
          <cell r="F62" t="str">
            <v/>
          </cell>
        </row>
        <row r="63">
          <cell r="C63">
            <v>276</v>
          </cell>
          <cell r="E63" t="str">
            <v/>
          </cell>
          <cell r="F63" t="str">
            <v/>
          </cell>
        </row>
        <row r="64">
          <cell r="C64">
            <v>307</v>
          </cell>
          <cell r="E64" t="str">
            <v/>
          </cell>
          <cell r="F64" t="str">
            <v/>
          </cell>
        </row>
        <row r="65">
          <cell r="C65">
            <v>337</v>
          </cell>
          <cell r="E65" t="str">
            <v/>
          </cell>
          <cell r="F65" t="str">
            <v/>
          </cell>
        </row>
        <row r="66">
          <cell r="C66">
            <v>368</v>
          </cell>
          <cell r="E66" t="str">
            <v/>
          </cell>
          <cell r="F66" t="str">
            <v/>
          </cell>
        </row>
        <row r="67">
          <cell r="C67">
            <v>399</v>
          </cell>
          <cell r="E67" t="str">
            <v/>
          </cell>
          <cell r="F67" t="str">
            <v/>
          </cell>
        </row>
        <row r="68">
          <cell r="C68">
            <v>427</v>
          </cell>
          <cell r="E68" t="str">
            <v/>
          </cell>
          <cell r="F68" t="str">
            <v/>
          </cell>
        </row>
        <row r="69">
          <cell r="C69">
            <v>458</v>
          </cell>
          <cell r="E69" t="str">
            <v/>
          </cell>
          <cell r="F69" t="str">
            <v/>
          </cell>
        </row>
        <row r="70">
          <cell r="C70">
            <v>488</v>
          </cell>
          <cell r="E70" t="str">
            <v/>
          </cell>
          <cell r="F70" t="str">
            <v/>
          </cell>
        </row>
        <row r="71">
          <cell r="C71">
            <v>519</v>
          </cell>
          <cell r="E71" t="str">
            <v/>
          </cell>
          <cell r="F71" t="str">
            <v/>
          </cell>
        </row>
        <row r="72">
          <cell r="C72">
            <v>549</v>
          </cell>
          <cell r="E72" t="str">
            <v/>
          </cell>
          <cell r="F72" t="str">
            <v/>
          </cell>
        </row>
        <row r="73">
          <cell r="C73">
            <v>580</v>
          </cell>
          <cell r="E73" t="str">
            <v/>
          </cell>
          <cell r="F73" t="str">
            <v/>
          </cell>
        </row>
        <row r="74">
          <cell r="C74">
            <v>611</v>
          </cell>
          <cell r="E74" t="str">
            <v/>
          </cell>
          <cell r="F74" t="str">
            <v/>
          </cell>
        </row>
        <row r="75">
          <cell r="C75">
            <v>641</v>
          </cell>
          <cell r="E75" t="str">
            <v/>
          </cell>
          <cell r="F75" t="str">
            <v/>
          </cell>
        </row>
        <row r="76">
          <cell r="C76">
            <v>672</v>
          </cell>
          <cell r="E76" t="str">
            <v/>
          </cell>
          <cell r="F76" t="str">
            <v/>
          </cell>
        </row>
        <row r="77">
          <cell r="C77">
            <v>702</v>
          </cell>
          <cell r="E77" t="str">
            <v/>
          </cell>
          <cell r="F77" t="str">
            <v/>
          </cell>
        </row>
        <row r="78">
          <cell r="C78">
            <v>733</v>
          </cell>
          <cell r="E78" t="str">
            <v/>
          </cell>
          <cell r="F78" t="str">
            <v/>
          </cell>
        </row>
        <row r="79">
          <cell r="C79">
            <v>764</v>
          </cell>
          <cell r="E79" t="str">
            <v/>
          </cell>
          <cell r="F79" t="str">
            <v/>
          </cell>
        </row>
        <row r="80">
          <cell r="C80">
            <v>792</v>
          </cell>
          <cell r="E80" t="str">
            <v/>
          </cell>
          <cell r="F80" t="str">
            <v/>
          </cell>
        </row>
        <row r="81">
          <cell r="C81">
            <v>823</v>
          </cell>
          <cell r="E81" t="str">
            <v/>
          </cell>
          <cell r="F81" t="str">
            <v/>
          </cell>
        </row>
        <row r="82">
          <cell r="C82">
            <v>853</v>
          </cell>
          <cell r="E82" t="str">
            <v/>
          </cell>
          <cell r="F82" t="str">
            <v/>
          </cell>
        </row>
        <row r="83">
          <cell r="C83">
            <v>884</v>
          </cell>
          <cell r="E83" t="str">
            <v/>
          </cell>
          <cell r="F83" t="str">
            <v/>
          </cell>
        </row>
        <row r="84">
          <cell r="C84">
            <v>914</v>
          </cell>
          <cell r="E84" t="str">
            <v/>
          </cell>
          <cell r="F84" t="str">
            <v/>
          </cell>
        </row>
        <row r="85">
          <cell r="C85">
            <v>945</v>
          </cell>
          <cell r="E85" t="str">
            <v/>
          </cell>
          <cell r="F85" t="str">
            <v/>
          </cell>
        </row>
        <row r="86">
          <cell r="C86">
            <v>976</v>
          </cell>
          <cell r="E86" t="str">
            <v/>
          </cell>
          <cell r="F86" t="str">
            <v/>
          </cell>
        </row>
        <row r="87">
          <cell r="C87">
            <v>1006</v>
          </cell>
          <cell r="E87" t="str">
            <v/>
          </cell>
          <cell r="F87" t="str">
            <v/>
          </cell>
        </row>
        <row r="88">
          <cell r="C88">
            <v>1037</v>
          </cell>
          <cell r="E88" t="str">
            <v/>
          </cell>
          <cell r="F88" t="str">
            <v/>
          </cell>
        </row>
        <row r="89">
          <cell r="C89">
            <v>1067</v>
          </cell>
          <cell r="E89" t="str">
            <v/>
          </cell>
          <cell r="F89" t="str">
            <v/>
          </cell>
        </row>
        <row r="90">
          <cell r="C90">
            <v>1098</v>
          </cell>
          <cell r="E90" t="str">
            <v/>
          </cell>
          <cell r="F90" t="str">
            <v/>
          </cell>
        </row>
        <row r="91">
          <cell r="C91">
            <v>1129</v>
          </cell>
          <cell r="E91" t="str">
            <v/>
          </cell>
          <cell r="F91" t="str">
            <v/>
          </cell>
        </row>
        <row r="92">
          <cell r="C92">
            <v>1157</v>
          </cell>
          <cell r="E92" t="str">
            <v/>
          </cell>
          <cell r="F92" t="str">
            <v/>
          </cell>
        </row>
        <row r="93">
          <cell r="C93">
            <v>1188</v>
          </cell>
          <cell r="E93" t="str">
            <v/>
          </cell>
          <cell r="F93" t="str">
            <v/>
          </cell>
        </row>
        <row r="94">
          <cell r="C94">
            <v>1218</v>
          </cell>
          <cell r="E94" t="str">
            <v/>
          </cell>
          <cell r="F94" t="str">
            <v/>
          </cell>
        </row>
        <row r="95">
          <cell r="C95">
            <v>1249</v>
          </cell>
          <cell r="E95" t="str">
            <v/>
          </cell>
          <cell r="F95" t="str">
            <v/>
          </cell>
        </row>
        <row r="96">
          <cell r="C96">
            <v>1279</v>
          </cell>
          <cell r="E96" t="str">
            <v/>
          </cell>
          <cell r="F96" t="str">
            <v/>
          </cell>
        </row>
        <row r="97">
          <cell r="C97">
            <v>1310</v>
          </cell>
          <cell r="E97" t="str">
            <v/>
          </cell>
          <cell r="F97" t="str">
            <v/>
          </cell>
        </row>
        <row r="98">
          <cell r="C98">
            <v>1341</v>
          </cell>
          <cell r="E98" t="str">
            <v/>
          </cell>
          <cell r="F98" t="str">
            <v/>
          </cell>
        </row>
        <row r="99">
          <cell r="C99">
            <v>1371</v>
          </cell>
          <cell r="E99" t="str">
            <v/>
          </cell>
          <cell r="F99" t="str">
            <v/>
          </cell>
        </row>
        <row r="100">
          <cell r="C100">
            <v>1402</v>
          </cell>
          <cell r="E100" t="str">
            <v/>
          </cell>
          <cell r="F100" t="str">
            <v/>
          </cell>
        </row>
        <row r="101">
          <cell r="C101">
            <v>1432</v>
          </cell>
          <cell r="E101" t="str">
            <v/>
          </cell>
          <cell r="F101" t="str">
            <v/>
          </cell>
        </row>
        <row r="102">
          <cell r="C102">
            <v>1463</v>
          </cell>
          <cell r="E102" t="str">
            <v/>
          </cell>
          <cell r="F102" t="str">
            <v/>
          </cell>
        </row>
        <row r="103">
          <cell r="C103">
            <v>1494</v>
          </cell>
          <cell r="E103" t="str">
            <v/>
          </cell>
          <cell r="F103" t="str">
            <v/>
          </cell>
        </row>
        <row r="104">
          <cell r="C104">
            <v>1523</v>
          </cell>
          <cell r="E104" t="str">
            <v/>
          </cell>
          <cell r="F104" t="str">
            <v/>
          </cell>
        </row>
        <row r="105">
          <cell r="C105">
            <v>1554</v>
          </cell>
          <cell r="E105" t="str">
            <v/>
          </cell>
          <cell r="F105" t="str">
            <v/>
          </cell>
        </row>
        <row r="106">
          <cell r="C106">
            <v>1584</v>
          </cell>
          <cell r="E106" t="str">
            <v/>
          </cell>
          <cell r="F106" t="str">
            <v/>
          </cell>
        </row>
        <row r="107">
          <cell r="C107">
            <v>1615</v>
          </cell>
          <cell r="E107" t="str">
            <v/>
          </cell>
          <cell r="F107" t="str">
            <v/>
          </cell>
        </row>
        <row r="108">
          <cell r="C108">
            <v>1645</v>
          </cell>
          <cell r="E108" t="str">
            <v/>
          </cell>
          <cell r="F108" t="str">
            <v/>
          </cell>
        </row>
        <row r="109">
          <cell r="C109">
            <v>1676</v>
          </cell>
          <cell r="E109" t="str">
            <v/>
          </cell>
          <cell r="F109" t="str">
            <v/>
          </cell>
        </row>
        <row r="110">
          <cell r="C110">
            <v>1707</v>
          </cell>
          <cell r="E110" t="str">
            <v/>
          </cell>
          <cell r="F110" t="str">
            <v/>
          </cell>
        </row>
        <row r="111">
          <cell r="C111">
            <v>1737</v>
          </cell>
          <cell r="E111" t="str">
            <v/>
          </cell>
          <cell r="F111" t="str">
            <v/>
          </cell>
        </row>
        <row r="112">
          <cell r="C112">
            <v>1768</v>
          </cell>
          <cell r="E112" t="str">
            <v/>
          </cell>
          <cell r="F112" t="str">
            <v/>
          </cell>
        </row>
        <row r="113">
          <cell r="C113">
            <v>1798</v>
          </cell>
          <cell r="E113" t="str">
            <v/>
          </cell>
          <cell r="F113" t="str">
            <v/>
          </cell>
        </row>
        <row r="114">
          <cell r="C114">
            <v>1829</v>
          </cell>
          <cell r="E114" t="str">
            <v/>
          </cell>
          <cell r="F114" t="str">
            <v/>
          </cell>
        </row>
        <row r="115">
          <cell r="C115">
            <v>1860</v>
          </cell>
          <cell r="E115" t="str">
            <v/>
          </cell>
          <cell r="F115" t="str">
            <v/>
          </cell>
        </row>
        <row r="116">
          <cell r="C116">
            <v>1888</v>
          </cell>
          <cell r="E116" t="str">
            <v/>
          </cell>
          <cell r="F116" t="str">
            <v/>
          </cell>
        </row>
        <row r="117">
          <cell r="C117">
            <v>1919</v>
          </cell>
          <cell r="E117" t="str">
            <v/>
          </cell>
          <cell r="F117" t="str">
            <v/>
          </cell>
        </row>
        <row r="118">
          <cell r="C118">
            <v>1949</v>
          </cell>
          <cell r="E118" t="str">
            <v/>
          </cell>
          <cell r="F118" t="str">
            <v/>
          </cell>
        </row>
        <row r="119">
          <cell r="C119">
            <v>1980</v>
          </cell>
          <cell r="E119" t="str">
            <v/>
          </cell>
          <cell r="F119" t="str">
            <v/>
          </cell>
        </row>
        <row r="120">
          <cell r="C120">
            <v>2010</v>
          </cell>
          <cell r="E120" t="str">
            <v/>
          </cell>
          <cell r="F120" t="str">
            <v/>
          </cell>
        </row>
        <row r="121">
          <cell r="C121">
            <v>2041</v>
          </cell>
          <cell r="E121" t="str">
            <v/>
          </cell>
          <cell r="F121" t="str">
            <v/>
          </cell>
        </row>
        <row r="122">
          <cell r="C122">
            <v>2072</v>
          </cell>
          <cell r="E122" t="str">
            <v/>
          </cell>
          <cell r="F122" t="str">
            <v/>
          </cell>
        </row>
        <row r="123">
          <cell r="C123">
            <v>2102</v>
          </cell>
          <cell r="E123" t="str">
            <v/>
          </cell>
          <cell r="F123" t="str">
            <v/>
          </cell>
        </row>
        <row r="124">
          <cell r="C124">
            <v>2133</v>
          </cell>
          <cell r="E124" t="str">
            <v/>
          </cell>
          <cell r="F124" t="str">
            <v/>
          </cell>
        </row>
        <row r="125">
          <cell r="C125">
            <v>2163</v>
          </cell>
          <cell r="E125" t="str">
            <v/>
          </cell>
          <cell r="F125" t="str">
            <v/>
          </cell>
        </row>
        <row r="126">
          <cell r="C126">
            <v>2194</v>
          </cell>
          <cell r="E126" t="str">
            <v/>
          </cell>
          <cell r="F126" t="str">
            <v/>
          </cell>
        </row>
        <row r="127">
          <cell r="C127">
            <v>2225</v>
          </cell>
          <cell r="E127" t="str">
            <v/>
          </cell>
          <cell r="F127" t="str">
            <v/>
          </cell>
        </row>
        <row r="128">
          <cell r="C128">
            <v>2253</v>
          </cell>
          <cell r="E128" t="str">
            <v/>
          </cell>
          <cell r="F128" t="str">
            <v/>
          </cell>
        </row>
        <row r="129">
          <cell r="C129">
            <v>2284</v>
          </cell>
          <cell r="E129" t="str">
            <v/>
          </cell>
          <cell r="F129" t="str">
            <v/>
          </cell>
        </row>
        <row r="130">
          <cell r="C130">
            <v>2314</v>
          </cell>
          <cell r="E130" t="str">
            <v/>
          </cell>
          <cell r="F130" t="str">
            <v/>
          </cell>
        </row>
        <row r="131">
          <cell r="C131">
            <v>2345</v>
          </cell>
          <cell r="E131" t="str">
            <v/>
          </cell>
          <cell r="F131" t="str">
            <v/>
          </cell>
        </row>
        <row r="132">
          <cell r="C132">
            <v>2375</v>
          </cell>
          <cell r="E132" t="str">
            <v/>
          </cell>
          <cell r="F132" t="str">
            <v/>
          </cell>
        </row>
        <row r="133">
          <cell r="C133">
            <v>2406</v>
          </cell>
          <cell r="E133" t="str">
            <v/>
          </cell>
          <cell r="F133" t="str">
            <v/>
          </cell>
        </row>
        <row r="134">
          <cell r="C134">
            <v>2437</v>
          </cell>
          <cell r="E134" t="str">
            <v/>
          </cell>
          <cell r="F134" t="str">
            <v/>
          </cell>
        </row>
        <row r="135">
          <cell r="C135">
            <v>2467</v>
          </cell>
          <cell r="E135" t="str">
            <v/>
          </cell>
          <cell r="F135" t="str">
            <v/>
          </cell>
        </row>
        <row r="136">
          <cell r="C136">
            <v>2498</v>
          </cell>
          <cell r="E136" t="str">
            <v/>
          </cell>
          <cell r="F136" t="str">
            <v/>
          </cell>
        </row>
        <row r="137">
          <cell r="C137">
            <v>2528</v>
          </cell>
          <cell r="E137" t="str">
            <v/>
          </cell>
          <cell r="F137" t="str">
            <v/>
          </cell>
        </row>
        <row r="138">
          <cell r="C138">
            <v>2559</v>
          </cell>
          <cell r="E138" t="str">
            <v/>
          </cell>
          <cell r="F138" t="str">
            <v/>
          </cell>
        </row>
        <row r="139">
          <cell r="C139">
            <v>2590</v>
          </cell>
          <cell r="E139" t="str">
            <v/>
          </cell>
          <cell r="F139" t="str">
            <v/>
          </cell>
        </row>
        <row r="140">
          <cell r="C140">
            <v>2618</v>
          </cell>
          <cell r="E140" t="str">
            <v/>
          </cell>
          <cell r="F140" t="str">
            <v/>
          </cell>
        </row>
        <row r="141">
          <cell r="C141">
            <v>2649</v>
          </cell>
          <cell r="E141" t="str">
            <v/>
          </cell>
          <cell r="F141" t="str">
            <v/>
          </cell>
        </row>
        <row r="142">
          <cell r="C142">
            <v>2679</v>
          </cell>
          <cell r="E142" t="str">
            <v/>
          </cell>
          <cell r="F142" t="str">
            <v/>
          </cell>
        </row>
        <row r="143">
          <cell r="C143">
            <v>2710</v>
          </cell>
          <cell r="E143" t="str">
            <v/>
          </cell>
          <cell r="F143" t="str">
            <v/>
          </cell>
        </row>
        <row r="144">
          <cell r="C144">
            <v>2740</v>
          </cell>
          <cell r="E144" t="str">
            <v/>
          </cell>
          <cell r="F144" t="str">
            <v/>
          </cell>
        </row>
        <row r="145">
          <cell r="C145">
            <v>2771</v>
          </cell>
          <cell r="E145" t="str">
            <v/>
          </cell>
          <cell r="F145" t="str">
            <v/>
          </cell>
        </row>
        <row r="146">
          <cell r="C146">
            <v>2802</v>
          </cell>
          <cell r="E146" t="str">
            <v/>
          </cell>
          <cell r="F146" t="str">
            <v/>
          </cell>
        </row>
        <row r="147">
          <cell r="C147">
            <v>2832</v>
          </cell>
          <cell r="E147" t="str">
            <v/>
          </cell>
          <cell r="F147" t="str">
            <v/>
          </cell>
        </row>
        <row r="148">
          <cell r="C148">
            <v>2863</v>
          </cell>
          <cell r="E148" t="str">
            <v/>
          </cell>
          <cell r="F148" t="str">
            <v/>
          </cell>
        </row>
        <row r="149">
          <cell r="C149">
            <v>2893</v>
          </cell>
          <cell r="E149" t="str">
            <v/>
          </cell>
          <cell r="F149" t="str">
            <v/>
          </cell>
        </row>
        <row r="150">
          <cell r="C150">
            <v>2924</v>
          </cell>
          <cell r="E150" t="str">
            <v/>
          </cell>
          <cell r="F150" t="str">
            <v/>
          </cell>
        </row>
        <row r="151">
          <cell r="C151">
            <v>2955</v>
          </cell>
          <cell r="E151" t="str">
            <v/>
          </cell>
          <cell r="F151" t="str">
            <v/>
          </cell>
        </row>
        <row r="152">
          <cell r="C152">
            <v>2984</v>
          </cell>
          <cell r="E152" t="str">
            <v/>
          </cell>
          <cell r="F152" t="str">
            <v/>
          </cell>
        </row>
        <row r="153">
          <cell r="C153">
            <v>3015</v>
          </cell>
          <cell r="E153" t="str">
            <v/>
          </cell>
          <cell r="F153" t="str">
            <v/>
          </cell>
        </row>
        <row r="154">
          <cell r="C154">
            <v>3045</v>
          </cell>
          <cell r="E154" t="str">
            <v/>
          </cell>
          <cell r="F154" t="str">
            <v/>
          </cell>
        </row>
        <row r="155">
          <cell r="C155">
            <v>3076</v>
          </cell>
          <cell r="E155" t="str">
            <v/>
          </cell>
          <cell r="F155" t="str">
            <v/>
          </cell>
        </row>
        <row r="156">
          <cell r="C156">
            <v>3106</v>
          </cell>
          <cell r="E156" t="str">
            <v/>
          </cell>
          <cell r="F156" t="str">
            <v/>
          </cell>
        </row>
        <row r="157">
          <cell r="C157">
            <v>3137</v>
          </cell>
          <cell r="E157" t="str">
            <v/>
          </cell>
          <cell r="F157" t="str">
            <v/>
          </cell>
        </row>
        <row r="158">
          <cell r="C158">
            <v>3168</v>
          </cell>
          <cell r="E158" t="str">
            <v/>
          </cell>
          <cell r="F158" t="str">
            <v/>
          </cell>
        </row>
        <row r="159">
          <cell r="C159">
            <v>3198</v>
          </cell>
          <cell r="E159" t="str">
            <v/>
          </cell>
          <cell r="F159" t="str">
            <v/>
          </cell>
        </row>
        <row r="160">
          <cell r="C160">
            <v>3229</v>
          </cell>
          <cell r="E160" t="str">
            <v/>
          </cell>
          <cell r="F160" t="str">
            <v/>
          </cell>
        </row>
        <row r="161">
          <cell r="C161">
            <v>3259</v>
          </cell>
          <cell r="E161" t="str">
            <v/>
          </cell>
          <cell r="F161" t="str">
            <v/>
          </cell>
        </row>
        <row r="162">
          <cell r="C162">
            <v>3290</v>
          </cell>
          <cell r="E162" t="str">
            <v/>
          </cell>
          <cell r="F162" t="str">
            <v/>
          </cell>
        </row>
        <row r="163">
          <cell r="C163">
            <v>3321</v>
          </cell>
          <cell r="E163" t="str">
            <v/>
          </cell>
          <cell r="F163" t="str">
            <v/>
          </cell>
        </row>
        <row r="164">
          <cell r="C164">
            <v>3349</v>
          </cell>
          <cell r="E164" t="str">
            <v/>
          </cell>
          <cell r="F164" t="str">
            <v/>
          </cell>
        </row>
        <row r="165">
          <cell r="C165">
            <v>3380</v>
          </cell>
          <cell r="E165" t="str">
            <v/>
          </cell>
          <cell r="F165" t="str">
            <v/>
          </cell>
        </row>
        <row r="166">
          <cell r="C166">
            <v>3410</v>
          </cell>
          <cell r="E166" t="str">
            <v/>
          </cell>
          <cell r="F166" t="str">
            <v/>
          </cell>
        </row>
        <row r="167">
          <cell r="C167">
            <v>3441</v>
          </cell>
          <cell r="E167" t="str">
            <v/>
          </cell>
          <cell r="F167" t="str">
            <v/>
          </cell>
        </row>
        <row r="168">
          <cell r="C168">
            <v>3471</v>
          </cell>
          <cell r="E168" t="str">
            <v/>
          </cell>
          <cell r="F168" t="str">
            <v/>
          </cell>
        </row>
        <row r="169">
          <cell r="C169">
            <v>3502</v>
          </cell>
          <cell r="E169" t="str">
            <v/>
          </cell>
          <cell r="F169" t="str">
            <v/>
          </cell>
        </row>
        <row r="170">
          <cell r="C170">
            <v>3533</v>
          </cell>
          <cell r="E170" t="str">
            <v/>
          </cell>
          <cell r="F170" t="str">
            <v/>
          </cell>
        </row>
        <row r="171">
          <cell r="C171">
            <v>3563</v>
          </cell>
          <cell r="E171" t="str">
            <v/>
          </cell>
          <cell r="F171" t="str">
            <v/>
          </cell>
        </row>
        <row r="172">
          <cell r="C172">
            <v>3594</v>
          </cell>
          <cell r="E172" t="str">
            <v/>
          </cell>
          <cell r="F172" t="str">
            <v/>
          </cell>
        </row>
        <row r="173">
          <cell r="C173">
            <v>3624</v>
          </cell>
          <cell r="E173" t="str">
            <v/>
          </cell>
          <cell r="F173" t="str">
            <v/>
          </cell>
        </row>
        <row r="174">
          <cell r="C174">
            <v>3655</v>
          </cell>
          <cell r="E174" t="str">
            <v/>
          </cell>
          <cell r="F174" t="str">
            <v/>
          </cell>
        </row>
        <row r="175">
          <cell r="C175">
            <v>3686</v>
          </cell>
          <cell r="E175" t="str">
            <v/>
          </cell>
          <cell r="F175" t="str">
            <v/>
          </cell>
        </row>
        <row r="176">
          <cell r="C176">
            <v>3714</v>
          </cell>
          <cell r="E176" t="str">
            <v/>
          </cell>
          <cell r="F176" t="str">
            <v/>
          </cell>
        </row>
        <row r="177">
          <cell r="C177">
            <v>3745</v>
          </cell>
          <cell r="E177" t="str">
            <v/>
          </cell>
          <cell r="F177" t="str">
            <v/>
          </cell>
        </row>
        <row r="178">
          <cell r="C178">
            <v>3775</v>
          </cell>
          <cell r="E178" t="str">
            <v/>
          </cell>
          <cell r="F178" t="str">
            <v/>
          </cell>
        </row>
        <row r="179">
          <cell r="C179">
            <v>3806</v>
          </cell>
          <cell r="E179" t="str">
            <v/>
          </cell>
          <cell r="F179" t="str">
            <v/>
          </cell>
        </row>
        <row r="180">
          <cell r="C180">
            <v>3836</v>
          </cell>
          <cell r="E180" t="str">
            <v/>
          </cell>
          <cell r="F180" t="str">
            <v/>
          </cell>
        </row>
        <row r="181">
          <cell r="C181">
            <v>3867</v>
          </cell>
          <cell r="E181" t="str">
            <v/>
          </cell>
          <cell r="F181" t="str">
            <v/>
          </cell>
        </row>
        <row r="182">
          <cell r="C182">
            <v>3898</v>
          </cell>
          <cell r="E182" t="str">
            <v/>
          </cell>
          <cell r="F182" t="str">
            <v/>
          </cell>
        </row>
        <row r="183">
          <cell r="C183">
            <v>3928</v>
          </cell>
          <cell r="E183" t="str">
            <v/>
          </cell>
          <cell r="F183" t="str">
            <v/>
          </cell>
        </row>
        <row r="184">
          <cell r="C184">
            <v>3959</v>
          </cell>
          <cell r="E184" t="str">
            <v/>
          </cell>
          <cell r="F184" t="str">
            <v/>
          </cell>
        </row>
        <row r="185">
          <cell r="C185">
            <v>3989</v>
          </cell>
          <cell r="E185" t="str">
            <v/>
          </cell>
          <cell r="F185" t="str">
            <v/>
          </cell>
        </row>
        <row r="186">
          <cell r="C186">
            <v>4020</v>
          </cell>
          <cell r="E186" t="str">
            <v/>
          </cell>
          <cell r="F186" t="str">
            <v/>
          </cell>
        </row>
        <row r="187">
          <cell r="C187">
            <v>4051</v>
          </cell>
          <cell r="E187" t="str">
            <v/>
          </cell>
          <cell r="F187" t="str">
            <v/>
          </cell>
        </row>
        <row r="188">
          <cell r="C188">
            <v>4079</v>
          </cell>
          <cell r="E188" t="str">
            <v/>
          </cell>
          <cell r="F188" t="str">
            <v/>
          </cell>
        </row>
        <row r="189">
          <cell r="C189">
            <v>4110</v>
          </cell>
          <cell r="E189" t="str">
            <v/>
          </cell>
          <cell r="F189" t="str">
            <v/>
          </cell>
        </row>
        <row r="190">
          <cell r="C190">
            <v>4140</v>
          </cell>
          <cell r="E190" t="str">
            <v/>
          </cell>
          <cell r="F190" t="str">
            <v/>
          </cell>
        </row>
        <row r="191">
          <cell r="C191">
            <v>4171</v>
          </cell>
          <cell r="E191" t="str">
            <v/>
          </cell>
          <cell r="F191" t="str">
            <v/>
          </cell>
        </row>
        <row r="192">
          <cell r="C192">
            <v>4201</v>
          </cell>
          <cell r="E192" t="str">
            <v/>
          </cell>
          <cell r="F192" t="str">
            <v/>
          </cell>
        </row>
        <row r="193">
          <cell r="C193">
            <v>4232</v>
          </cell>
          <cell r="E193" t="str">
            <v/>
          </cell>
          <cell r="F193" t="str">
            <v/>
          </cell>
        </row>
        <row r="194">
          <cell r="C194">
            <v>4263</v>
          </cell>
          <cell r="E194" t="str">
            <v/>
          </cell>
          <cell r="F194" t="str">
            <v/>
          </cell>
        </row>
        <row r="195">
          <cell r="C195">
            <v>4293</v>
          </cell>
          <cell r="E195" t="str">
            <v/>
          </cell>
          <cell r="F195" t="str">
            <v/>
          </cell>
        </row>
        <row r="196">
          <cell r="C196">
            <v>4324</v>
          </cell>
          <cell r="E196" t="str">
            <v/>
          </cell>
          <cell r="F196" t="str">
            <v/>
          </cell>
        </row>
        <row r="197">
          <cell r="C197">
            <v>4354</v>
          </cell>
          <cell r="E197" t="str">
            <v/>
          </cell>
          <cell r="F197" t="str">
            <v/>
          </cell>
        </row>
        <row r="198">
          <cell r="C198">
            <v>4385</v>
          </cell>
          <cell r="E198" t="str">
            <v/>
          </cell>
          <cell r="F198" t="str">
            <v/>
          </cell>
        </row>
        <row r="199">
          <cell r="C199">
            <v>4416</v>
          </cell>
          <cell r="E199" t="str">
            <v/>
          </cell>
          <cell r="F199" t="str">
            <v/>
          </cell>
        </row>
        <row r="200">
          <cell r="C200">
            <v>4445</v>
          </cell>
          <cell r="E200" t="str">
            <v/>
          </cell>
          <cell r="F200" t="str">
            <v/>
          </cell>
        </row>
        <row r="201">
          <cell r="C201">
            <v>4476</v>
          </cell>
          <cell r="E201" t="str">
            <v/>
          </cell>
          <cell r="F201" t="str">
            <v/>
          </cell>
        </row>
        <row r="202">
          <cell r="C202">
            <v>4506</v>
          </cell>
          <cell r="E202" t="str">
            <v/>
          </cell>
          <cell r="F202" t="str">
            <v/>
          </cell>
        </row>
        <row r="203">
          <cell r="C203">
            <v>4537</v>
          </cell>
          <cell r="E203" t="str">
            <v/>
          </cell>
          <cell r="F203" t="str">
            <v/>
          </cell>
        </row>
        <row r="204">
          <cell r="C204">
            <v>4567</v>
          </cell>
          <cell r="E204" t="str">
            <v/>
          </cell>
          <cell r="F204" t="str">
            <v/>
          </cell>
        </row>
        <row r="205">
          <cell r="C205">
            <v>4598</v>
          </cell>
          <cell r="E205" t="str">
            <v/>
          </cell>
          <cell r="F205" t="str">
            <v/>
          </cell>
        </row>
        <row r="206">
          <cell r="C206">
            <v>4629</v>
          </cell>
          <cell r="E206" t="str">
            <v/>
          </cell>
          <cell r="F206" t="str">
            <v/>
          </cell>
        </row>
        <row r="207">
          <cell r="C207">
            <v>4659</v>
          </cell>
          <cell r="E207" t="str">
            <v/>
          </cell>
          <cell r="F207" t="str">
            <v/>
          </cell>
        </row>
        <row r="208">
          <cell r="C208">
            <v>4690</v>
          </cell>
          <cell r="E208" t="str">
            <v/>
          </cell>
          <cell r="F208" t="str">
            <v/>
          </cell>
        </row>
        <row r="209">
          <cell r="C209">
            <v>4720</v>
          </cell>
          <cell r="E209" t="str">
            <v/>
          </cell>
          <cell r="F209" t="str">
            <v/>
          </cell>
        </row>
        <row r="210">
          <cell r="C210">
            <v>4751</v>
          </cell>
          <cell r="E210" t="str">
            <v/>
          </cell>
          <cell r="F210" t="str">
            <v/>
          </cell>
        </row>
        <row r="211">
          <cell r="C211">
            <v>4782</v>
          </cell>
          <cell r="E211" t="str">
            <v/>
          </cell>
          <cell r="F211" t="str">
            <v/>
          </cell>
        </row>
        <row r="212">
          <cell r="C212">
            <v>4810</v>
          </cell>
          <cell r="E212" t="str">
            <v/>
          </cell>
          <cell r="F212" t="str">
            <v/>
          </cell>
        </row>
        <row r="213">
          <cell r="C213">
            <v>4841</v>
          </cell>
          <cell r="E213" t="str">
            <v/>
          </cell>
          <cell r="F213" t="str">
            <v/>
          </cell>
        </row>
        <row r="214">
          <cell r="C214">
            <v>4871</v>
          </cell>
          <cell r="E214" t="str">
            <v/>
          </cell>
          <cell r="F214" t="str">
            <v/>
          </cell>
        </row>
        <row r="215">
          <cell r="C215">
            <v>4902</v>
          </cell>
          <cell r="E215" t="str">
            <v/>
          </cell>
          <cell r="F215" t="str">
            <v/>
          </cell>
        </row>
        <row r="216">
          <cell r="C216">
            <v>4932</v>
          </cell>
          <cell r="E216" t="str">
            <v/>
          </cell>
          <cell r="F216" t="str">
            <v/>
          </cell>
        </row>
        <row r="217">
          <cell r="C217">
            <v>4963</v>
          </cell>
          <cell r="E217" t="str">
            <v/>
          </cell>
          <cell r="F217" t="str">
            <v/>
          </cell>
        </row>
        <row r="218">
          <cell r="C218">
            <v>4994</v>
          </cell>
          <cell r="E218" t="str">
            <v/>
          </cell>
          <cell r="F218" t="str">
            <v/>
          </cell>
        </row>
        <row r="219">
          <cell r="C219">
            <v>5024</v>
          </cell>
          <cell r="E219" t="str">
            <v/>
          </cell>
          <cell r="F219" t="str">
            <v/>
          </cell>
        </row>
        <row r="220">
          <cell r="C220">
            <v>5055</v>
          </cell>
          <cell r="E220" t="str">
            <v/>
          </cell>
          <cell r="F220" t="str">
            <v/>
          </cell>
        </row>
        <row r="221">
          <cell r="C221">
            <v>5085</v>
          </cell>
          <cell r="E221" t="str">
            <v/>
          </cell>
          <cell r="F221" t="str">
            <v/>
          </cell>
        </row>
        <row r="222">
          <cell r="C222">
            <v>5116</v>
          </cell>
          <cell r="E222" t="str">
            <v/>
          </cell>
          <cell r="F222" t="str">
            <v/>
          </cell>
        </row>
        <row r="223">
          <cell r="C223">
            <v>5147</v>
          </cell>
          <cell r="E223" t="str">
            <v/>
          </cell>
          <cell r="F223" t="str">
            <v/>
          </cell>
        </row>
        <row r="224">
          <cell r="C224">
            <v>5175</v>
          </cell>
          <cell r="E224" t="str">
            <v/>
          </cell>
          <cell r="F224" t="str">
            <v/>
          </cell>
        </row>
        <row r="225">
          <cell r="C225">
            <v>5206</v>
          </cell>
          <cell r="E225" t="str">
            <v/>
          </cell>
          <cell r="F225" t="str">
            <v/>
          </cell>
        </row>
        <row r="226">
          <cell r="C226">
            <v>5236</v>
          </cell>
          <cell r="E226" t="str">
            <v/>
          </cell>
          <cell r="F226" t="str">
            <v/>
          </cell>
        </row>
        <row r="227">
          <cell r="C227">
            <v>5267</v>
          </cell>
          <cell r="E227" t="str">
            <v/>
          </cell>
          <cell r="F227" t="str">
            <v/>
          </cell>
        </row>
        <row r="228">
          <cell r="C228">
            <v>5297</v>
          </cell>
          <cell r="E228" t="str">
            <v/>
          </cell>
          <cell r="F228" t="str">
            <v/>
          </cell>
        </row>
        <row r="229">
          <cell r="C229">
            <v>5328</v>
          </cell>
          <cell r="E229" t="str">
            <v/>
          </cell>
          <cell r="F229" t="str">
            <v/>
          </cell>
        </row>
        <row r="230">
          <cell r="C230">
            <v>5359</v>
          </cell>
          <cell r="E230" t="str">
            <v/>
          </cell>
          <cell r="F230" t="str">
            <v/>
          </cell>
        </row>
        <row r="231">
          <cell r="C231">
            <v>5389</v>
          </cell>
          <cell r="E231" t="str">
            <v/>
          </cell>
          <cell r="F231" t="str">
            <v/>
          </cell>
        </row>
        <row r="232">
          <cell r="C232">
            <v>5420</v>
          </cell>
          <cell r="E232" t="str">
            <v/>
          </cell>
          <cell r="F232" t="str">
            <v/>
          </cell>
        </row>
        <row r="233">
          <cell r="C233">
            <v>5450</v>
          </cell>
          <cell r="E233" t="str">
            <v/>
          </cell>
          <cell r="F233" t="str">
            <v/>
          </cell>
        </row>
        <row r="234">
          <cell r="C234">
            <v>5481</v>
          </cell>
          <cell r="E234" t="str">
            <v/>
          </cell>
          <cell r="F234" t="str">
            <v/>
          </cell>
        </row>
        <row r="235">
          <cell r="C235">
            <v>5512</v>
          </cell>
          <cell r="E235" t="str">
            <v/>
          </cell>
          <cell r="F235" t="str">
            <v/>
          </cell>
        </row>
        <row r="236">
          <cell r="C236">
            <v>5540</v>
          </cell>
          <cell r="E236" t="str">
            <v/>
          </cell>
          <cell r="F236" t="str">
            <v/>
          </cell>
        </row>
        <row r="237">
          <cell r="C237">
            <v>5571</v>
          </cell>
          <cell r="E237" t="str">
            <v/>
          </cell>
          <cell r="F237" t="str">
            <v/>
          </cell>
        </row>
        <row r="238">
          <cell r="C238">
            <v>5601</v>
          </cell>
          <cell r="E238" t="str">
            <v/>
          </cell>
          <cell r="F238" t="str">
            <v/>
          </cell>
        </row>
        <row r="239">
          <cell r="C239">
            <v>5632</v>
          </cell>
          <cell r="E239" t="str">
            <v/>
          </cell>
          <cell r="F239" t="str">
            <v/>
          </cell>
        </row>
        <row r="240">
          <cell r="C240">
            <v>5662</v>
          </cell>
          <cell r="E240" t="str">
            <v/>
          </cell>
          <cell r="F240" t="str">
            <v/>
          </cell>
        </row>
        <row r="241">
          <cell r="C241">
            <v>5693</v>
          </cell>
          <cell r="E241" t="str">
            <v/>
          </cell>
          <cell r="F241" t="str">
            <v/>
          </cell>
        </row>
        <row r="242">
          <cell r="C242">
            <v>5724</v>
          </cell>
          <cell r="E242" t="str">
            <v/>
          </cell>
          <cell r="F242" t="str">
            <v/>
          </cell>
        </row>
        <row r="243">
          <cell r="C243">
            <v>5754</v>
          </cell>
          <cell r="E243" t="str">
            <v/>
          </cell>
          <cell r="F243" t="str">
            <v/>
          </cell>
        </row>
        <row r="244">
          <cell r="C244">
            <v>5785</v>
          </cell>
          <cell r="E244" t="str">
            <v/>
          </cell>
          <cell r="F244" t="str">
            <v/>
          </cell>
        </row>
        <row r="245">
          <cell r="C245">
            <v>5815</v>
          </cell>
          <cell r="E245" t="str">
            <v/>
          </cell>
          <cell r="F245" t="str">
            <v/>
          </cell>
        </row>
        <row r="246">
          <cell r="C246">
            <v>5846</v>
          </cell>
          <cell r="E246" t="str">
            <v/>
          </cell>
          <cell r="F246" t="str">
            <v/>
          </cell>
        </row>
        <row r="247">
          <cell r="C247">
            <v>5877</v>
          </cell>
          <cell r="E247" t="str">
            <v/>
          </cell>
          <cell r="F247" t="str">
            <v/>
          </cell>
        </row>
        <row r="248">
          <cell r="C248">
            <v>5906</v>
          </cell>
          <cell r="E248" t="str">
            <v/>
          </cell>
          <cell r="F248" t="str">
            <v/>
          </cell>
        </row>
        <row r="249">
          <cell r="C249">
            <v>5937</v>
          </cell>
          <cell r="E249" t="str">
            <v/>
          </cell>
          <cell r="F249" t="str">
            <v/>
          </cell>
        </row>
        <row r="250">
          <cell r="C250">
            <v>5967</v>
          </cell>
          <cell r="E250" t="str">
            <v/>
          </cell>
          <cell r="F250" t="str">
            <v/>
          </cell>
        </row>
        <row r="251">
          <cell r="C251">
            <v>5998</v>
          </cell>
          <cell r="E251" t="str">
            <v/>
          </cell>
          <cell r="F251" t="str">
            <v/>
          </cell>
        </row>
        <row r="252">
          <cell r="C252">
            <v>6028</v>
          </cell>
          <cell r="E252" t="str">
            <v/>
          </cell>
          <cell r="F252" t="str">
            <v/>
          </cell>
        </row>
        <row r="253">
          <cell r="C253">
            <v>6059</v>
          </cell>
          <cell r="E253" t="str">
            <v/>
          </cell>
          <cell r="F253" t="str">
            <v/>
          </cell>
        </row>
        <row r="254">
          <cell r="C254">
            <v>6090</v>
          </cell>
          <cell r="E254" t="str">
            <v/>
          </cell>
          <cell r="F254" t="str">
            <v/>
          </cell>
        </row>
        <row r="255">
          <cell r="C255">
            <v>6120</v>
          </cell>
          <cell r="E255" t="str">
            <v/>
          </cell>
          <cell r="F255" t="str">
            <v/>
          </cell>
        </row>
        <row r="256">
          <cell r="C256">
            <v>6151</v>
          </cell>
          <cell r="E256" t="str">
            <v/>
          </cell>
          <cell r="F256" t="str">
            <v/>
          </cell>
        </row>
        <row r="257">
          <cell r="C257">
            <v>6181</v>
          </cell>
          <cell r="E257" t="str">
            <v/>
          </cell>
          <cell r="F257" t="str">
            <v/>
          </cell>
        </row>
        <row r="258">
          <cell r="C258">
            <v>6212</v>
          </cell>
          <cell r="E258" t="str">
            <v/>
          </cell>
          <cell r="F258" t="str">
            <v/>
          </cell>
        </row>
        <row r="259">
          <cell r="C259">
            <v>6243</v>
          </cell>
          <cell r="E259" t="str">
            <v/>
          </cell>
          <cell r="F259" t="str">
            <v/>
          </cell>
        </row>
        <row r="260">
          <cell r="C260">
            <v>6271</v>
          </cell>
          <cell r="E260" t="str">
            <v/>
          </cell>
          <cell r="F260" t="str">
            <v/>
          </cell>
        </row>
        <row r="261">
          <cell r="C261">
            <v>6302</v>
          </cell>
          <cell r="E261" t="str">
            <v/>
          </cell>
          <cell r="F261" t="str">
            <v/>
          </cell>
        </row>
        <row r="262">
          <cell r="C262">
            <v>6332</v>
          </cell>
          <cell r="E262" t="str">
            <v/>
          </cell>
          <cell r="F262" t="str">
            <v/>
          </cell>
        </row>
        <row r="263">
          <cell r="C263">
            <v>6363</v>
          </cell>
          <cell r="E263" t="str">
            <v/>
          </cell>
          <cell r="F263" t="str">
            <v/>
          </cell>
        </row>
        <row r="264">
          <cell r="C264">
            <v>6393</v>
          </cell>
          <cell r="E264" t="str">
            <v/>
          </cell>
          <cell r="F264" t="str">
            <v/>
          </cell>
        </row>
        <row r="265">
          <cell r="C265">
            <v>6424</v>
          </cell>
          <cell r="E265" t="str">
            <v/>
          </cell>
          <cell r="F265" t="str">
            <v/>
          </cell>
        </row>
        <row r="266">
          <cell r="C266">
            <v>6455</v>
          </cell>
          <cell r="E266" t="str">
            <v/>
          </cell>
          <cell r="F266" t="str">
            <v/>
          </cell>
        </row>
        <row r="267">
          <cell r="C267">
            <v>6485</v>
          </cell>
          <cell r="E267" t="str">
            <v/>
          </cell>
          <cell r="F267" t="str">
            <v/>
          </cell>
        </row>
        <row r="268">
          <cell r="C268">
            <v>6516</v>
          </cell>
          <cell r="E268" t="str">
            <v/>
          </cell>
          <cell r="F268" t="str">
            <v/>
          </cell>
        </row>
        <row r="269">
          <cell r="C269">
            <v>6546</v>
          </cell>
          <cell r="E269" t="str">
            <v/>
          </cell>
          <cell r="F269" t="str">
            <v/>
          </cell>
        </row>
        <row r="270">
          <cell r="C270">
            <v>6577</v>
          </cell>
          <cell r="E270" t="str">
            <v/>
          </cell>
          <cell r="F270" t="str">
            <v/>
          </cell>
        </row>
        <row r="271">
          <cell r="C271">
            <v>6608</v>
          </cell>
          <cell r="E271" t="str">
            <v/>
          </cell>
          <cell r="F271" t="str">
            <v/>
          </cell>
        </row>
        <row r="272">
          <cell r="C272">
            <v>6636</v>
          </cell>
          <cell r="E272" t="str">
            <v/>
          </cell>
          <cell r="F272" t="str">
            <v/>
          </cell>
        </row>
        <row r="273">
          <cell r="C273">
            <v>6667</v>
          </cell>
          <cell r="E273" t="str">
            <v/>
          </cell>
          <cell r="F273" t="str">
            <v/>
          </cell>
        </row>
        <row r="274">
          <cell r="C274">
            <v>6697</v>
          </cell>
          <cell r="E274" t="str">
            <v/>
          </cell>
          <cell r="F274" t="str">
            <v/>
          </cell>
        </row>
        <row r="275">
          <cell r="C275">
            <v>6728</v>
          </cell>
          <cell r="E275" t="str">
            <v/>
          </cell>
          <cell r="F275" t="str">
            <v/>
          </cell>
        </row>
        <row r="276">
          <cell r="C276">
            <v>6758</v>
          </cell>
          <cell r="E276" t="str">
            <v/>
          </cell>
          <cell r="F276" t="str">
            <v/>
          </cell>
        </row>
        <row r="277">
          <cell r="C277">
            <v>6789</v>
          </cell>
          <cell r="E277" t="str">
            <v/>
          </cell>
          <cell r="F277" t="str">
            <v/>
          </cell>
        </row>
        <row r="278">
          <cell r="C278">
            <v>6820</v>
          </cell>
          <cell r="E278" t="str">
            <v/>
          </cell>
          <cell r="F278" t="str">
            <v/>
          </cell>
        </row>
        <row r="279">
          <cell r="C279">
            <v>6850</v>
          </cell>
          <cell r="E279" t="str">
            <v/>
          </cell>
          <cell r="F279" t="str">
            <v/>
          </cell>
        </row>
        <row r="280">
          <cell r="C280">
            <v>6881</v>
          </cell>
          <cell r="E280" t="str">
            <v/>
          </cell>
          <cell r="F280" t="str">
            <v/>
          </cell>
        </row>
        <row r="281">
          <cell r="C281">
            <v>6911</v>
          </cell>
          <cell r="E281" t="str">
            <v/>
          </cell>
          <cell r="F281" t="str">
            <v/>
          </cell>
        </row>
        <row r="282">
          <cell r="C282">
            <v>6942</v>
          </cell>
          <cell r="E282" t="str">
            <v/>
          </cell>
          <cell r="F282" t="str">
            <v/>
          </cell>
        </row>
        <row r="283">
          <cell r="C283">
            <v>6973</v>
          </cell>
          <cell r="E283" t="str">
            <v/>
          </cell>
          <cell r="F283" t="str">
            <v/>
          </cell>
        </row>
        <row r="284">
          <cell r="C284">
            <v>7001</v>
          </cell>
          <cell r="E284" t="str">
            <v/>
          </cell>
          <cell r="F284" t="str">
            <v/>
          </cell>
        </row>
        <row r="285">
          <cell r="C285">
            <v>7032</v>
          </cell>
          <cell r="E285" t="str">
            <v/>
          </cell>
          <cell r="F285" t="str">
            <v/>
          </cell>
        </row>
        <row r="286">
          <cell r="C286">
            <v>7062</v>
          </cell>
          <cell r="E286" t="str">
            <v/>
          </cell>
          <cell r="F286" t="str">
            <v/>
          </cell>
        </row>
        <row r="287">
          <cell r="C287">
            <v>7093</v>
          </cell>
          <cell r="E287" t="str">
            <v/>
          </cell>
          <cell r="F287" t="str">
            <v/>
          </cell>
        </row>
        <row r="288">
          <cell r="C288">
            <v>7123</v>
          </cell>
          <cell r="E288" t="str">
            <v/>
          </cell>
          <cell r="F288" t="str">
            <v/>
          </cell>
        </row>
        <row r="289">
          <cell r="C289">
            <v>7154</v>
          </cell>
          <cell r="E289" t="str">
            <v/>
          </cell>
          <cell r="F289" t="str">
            <v/>
          </cell>
        </row>
        <row r="290">
          <cell r="C290">
            <v>7185</v>
          </cell>
          <cell r="E290" t="str">
            <v/>
          </cell>
          <cell r="F290" t="str">
            <v/>
          </cell>
        </row>
      </sheetData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>
        <row r="102">
          <cell r="C102" t="str">
            <v>YES</v>
          </cell>
          <cell r="D102" t="str">
            <v>Cost</v>
          </cell>
        </row>
        <row r="103">
          <cell r="C103" t="str">
            <v>NO</v>
          </cell>
          <cell r="D103" t="str">
            <v>Market Value</v>
          </cell>
        </row>
        <row r="104">
          <cell r="D104" t="str">
            <v>Replacement</v>
          </cell>
        </row>
        <row r="107">
          <cell r="C107" t="str">
            <v>Must be Completed</v>
          </cell>
        </row>
        <row r="108">
          <cell r="C108" t="str">
            <v>In Progress</v>
          </cell>
        </row>
        <row r="109">
          <cell r="C109" t="str">
            <v>Worksheet Complete</v>
          </cell>
        </row>
        <row r="110">
          <cell r="C110" t="str">
            <v>Awaiting Client</v>
          </cell>
        </row>
        <row r="111">
          <cell r="C111" t="str">
            <v>Reviewed</v>
          </cell>
        </row>
        <row r="112">
          <cell r="C112" t="str">
            <v>Rework Required</v>
          </cell>
        </row>
        <row r="113">
          <cell r="C113" t="str">
            <v>Rework Complete</v>
          </cell>
        </row>
        <row r="114">
          <cell r="C114" t="str">
            <v>Final Review</v>
          </cell>
        </row>
        <row r="117">
          <cell r="C117">
            <v>366</v>
          </cell>
        </row>
        <row r="119">
          <cell r="C119" t="str">
            <v>Interim</v>
          </cell>
        </row>
        <row r="120">
          <cell r="C120" t="str">
            <v>Final</v>
          </cell>
        </row>
        <row r="124">
          <cell r="C124" t="str">
            <v>50/50</v>
          </cell>
        </row>
        <row r="125">
          <cell r="C125" t="str">
            <v>Logbook</v>
          </cell>
        </row>
        <row r="128">
          <cell r="C128" t="str">
            <v>&lt; 1600cc [Ordinary]</v>
          </cell>
        </row>
        <row r="129">
          <cell r="C129" t="str">
            <v>1601-2600cc [Ordinary]</v>
          </cell>
        </row>
        <row r="130">
          <cell r="C130" t="str">
            <v>&gt; 2601cc [Ordinary]</v>
          </cell>
        </row>
        <row r="131">
          <cell r="C131" t="str">
            <v>&lt; 800cc [Rotary]</v>
          </cell>
        </row>
        <row r="132">
          <cell r="C132" t="str">
            <v>801-1300cc [Rotary]</v>
          </cell>
        </row>
        <row r="133">
          <cell r="C133" t="str">
            <v>&gt; 1301cc [Rotary]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menu"/>
      <sheetName val="blank workpaper"/>
      <sheetName val="Formation Costs"/>
      <sheetName val="BAS Rec"/>
      <sheetName val="GST Rec"/>
      <sheetName val="Blank"/>
      <sheetName val="Black hole"/>
      <sheetName val="Queries"/>
      <sheetName val="BSA calcs"/>
      <sheetName val="Budget"/>
      <sheetName val="borrowing"/>
      <sheetName val="Journal"/>
      <sheetName val="private use"/>
      <sheetName val="Rental"/>
      <sheetName val="Service Entities"/>
      <sheetName val="Tax Rec"/>
      <sheetName val="Div 7A"/>
      <sheetName val="Div 7A Daily"/>
      <sheetName val="FBT Combined"/>
      <sheetName val="Mgt Rights Tax Split"/>
      <sheetName val="Mgt Disc Points"/>
    </sheetNames>
    <sheetDataSet>
      <sheetData sheetId="0"/>
      <sheetData sheetId="1">
        <row r="2">
          <cell r="E2" t="str">
            <v>CLIENT NAME</v>
          </cell>
        </row>
        <row r="3">
          <cell r="E3">
            <v>40359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93">
          <cell r="C93">
            <v>37711</v>
          </cell>
        </row>
      </sheetData>
      <sheetData sheetId="20"/>
      <sheetData sheetId="2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mortization Table"/>
      <sheetName val="WP Index"/>
      <sheetName val="Home - FS and Tax Workpapers"/>
      <sheetName val="CL3 - BAS Reconciliation"/>
      <sheetName val="Payroll Tax"/>
    </sheetNames>
    <sheetDataSet>
      <sheetData sheetId="0">
        <row r="1">
          <cell r="A1" t="str">
            <v>HP  Calculator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</row>
        <row r="2">
          <cell r="A2">
            <v>0</v>
          </cell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</row>
        <row r="3">
          <cell r="A3">
            <v>0</v>
          </cell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</row>
        <row r="4">
          <cell r="A4">
            <v>0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</row>
        <row r="5">
          <cell r="A5">
            <v>0</v>
          </cell>
          <cell r="B5" t="str">
            <v>Enter Values</v>
          </cell>
          <cell r="C5">
            <v>0</v>
          </cell>
          <cell r="D5">
            <v>0</v>
          </cell>
          <cell r="E5">
            <v>0</v>
          </cell>
          <cell r="F5" t="str">
            <v>Loan Summary</v>
          </cell>
          <cell r="G5">
            <v>0</v>
          </cell>
          <cell r="H5">
            <v>0</v>
          </cell>
          <cell r="I5">
            <v>0</v>
          </cell>
        </row>
        <row r="6">
          <cell r="A6">
            <v>0</v>
          </cell>
          <cell r="B6">
            <v>0</v>
          </cell>
          <cell r="C6" t="str">
            <v>Loan Amount</v>
          </cell>
          <cell r="D6">
            <v>35321.279999999999</v>
          </cell>
          <cell r="E6">
            <v>0</v>
          </cell>
          <cell r="F6">
            <v>0</v>
          </cell>
          <cell r="G6" t="str">
            <v>Scheduled Payment</v>
          </cell>
          <cell r="H6">
            <v>806.38953509186445</v>
          </cell>
          <cell r="I6">
            <v>0</v>
          </cell>
        </row>
        <row r="7">
          <cell r="A7">
            <v>0</v>
          </cell>
          <cell r="B7">
            <v>0</v>
          </cell>
          <cell r="C7" t="str">
            <v>Annual Interest Rate</v>
          </cell>
          <cell r="D7">
            <v>9.5000000000000001E-2</v>
          </cell>
          <cell r="E7">
            <v>0</v>
          </cell>
          <cell r="F7">
            <v>0</v>
          </cell>
          <cell r="G7" t="str">
            <v>Scheduled Number of Payments</v>
          </cell>
          <cell r="H7">
            <v>54</v>
          </cell>
          <cell r="I7">
            <v>0</v>
          </cell>
        </row>
        <row r="8">
          <cell r="A8">
            <v>0</v>
          </cell>
          <cell r="B8">
            <v>0</v>
          </cell>
          <cell r="C8" t="str">
            <v>Loan Period in Years</v>
          </cell>
          <cell r="D8">
            <v>4.5</v>
          </cell>
          <cell r="E8">
            <v>0</v>
          </cell>
          <cell r="F8">
            <v>0</v>
          </cell>
          <cell r="G8" t="str">
            <v>Actual Number of Payments</v>
          </cell>
          <cell r="H8">
            <v>56</v>
          </cell>
          <cell r="I8">
            <v>0</v>
          </cell>
        </row>
        <row r="9">
          <cell r="A9">
            <v>0</v>
          </cell>
          <cell r="B9">
            <v>0</v>
          </cell>
          <cell r="C9" t="str">
            <v>Number of Payments Per Year</v>
          </cell>
          <cell r="D9">
            <v>12</v>
          </cell>
          <cell r="E9">
            <v>0</v>
          </cell>
          <cell r="F9">
            <v>0</v>
          </cell>
          <cell r="G9" t="str">
            <v>Total Early Payments</v>
          </cell>
          <cell r="H9">
            <v>908.26000000000204</v>
          </cell>
          <cell r="I9">
            <v>0</v>
          </cell>
        </row>
        <row r="10">
          <cell r="A10">
            <v>0</v>
          </cell>
          <cell r="B10">
            <v>0</v>
          </cell>
          <cell r="C10" t="str">
            <v>Start Date of Loan</v>
          </cell>
          <cell r="D10">
            <v>39378</v>
          </cell>
          <cell r="E10">
            <v>0</v>
          </cell>
          <cell r="F10">
            <v>0</v>
          </cell>
          <cell r="G10" t="str">
            <v>Total Interest</v>
          </cell>
          <cell r="H10">
            <v>9762.2323143662488</v>
          </cell>
          <cell r="I10">
            <v>0</v>
          </cell>
        </row>
        <row r="11">
          <cell r="A11">
            <v>0</v>
          </cell>
          <cell r="B11">
            <v>0</v>
          </cell>
          <cell r="C11" t="str">
            <v>Optional Extra Payments</v>
          </cell>
          <cell r="D11">
            <v>-109.32</v>
          </cell>
          <cell r="E11">
            <v>0</v>
          </cell>
          <cell r="F11">
            <v>0</v>
          </cell>
          <cell r="G11" t="str">
            <v>Total GST</v>
          </cell>
          <cell r="H11">
            <v>3206.1815021307848</v>
          </cell>
          <cell r="I11">
            <v>0</v>
          </cell>
        </row>
        <row r="12">
          <cell r="A12">
            <v>0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</row>
        <row r="13">
          <cell r="A13">
            <v>0</v>
          </cell>
          <cell r="B13" t="str">
            <v>Lender Name: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</row>
        <row r="14">
          <cell r="A14">
            <v>0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</row>
        <row r="15">
          <cell r="A15">
            <v>0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</row>
        <row r="16">
          <cell r="A16" t="str">
            <v>PmtNo.</v>
          </cell>
          <cell r="B16" t="str">
            <v>Payment Date</v>
          </cell>
          <cell r="C16" t="str">
            <v>Beginning Balance</v>
          </cell>
          <cell r="D16" t="str">
            <v>Scheduled Payment</v>
          </cell>
          <cell r="E16" t="str">
            <v>Extra Payment</v>
          </cell>
          <cell r="F16" t="str">
            <v>Total Payment</v>
          </cell>
          <cell r="G16" t="str">
            <v>Principal</v>
          </cell>
          <cell r="H16" t="str">
            <v>Interest</v>
          </cell>
          <cell r="I16" t="str">
            <v>Ending Balance</v>
          </cell>
        </row>
        <row r="17">
          <cell r="A17">
            <v>0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</row>
        <row r="18">
          <cell r="A18">
            <v>1</v>
          </cell>
          <cell r="B18">
            <v>39409</v>
          </cell>
          <cell r="C18">
            <v>35321.279999999999</v>
          </cell>
          <cell r="D18">
            <v>806.38953509186445</v>
          </cell>
          <cell r="E18">
            <v>-109.32</v>
          </cell>
          <cell r="F18">
            <v>697.06953509186451</v>
          </cell>
          <cell r="G18">
            <v>417.44273509186451</v>
          </cell>
          <cell r="H18">
            <v>279.6268</v>
          </cell>
          <cell r="I18">
            <v>34903.837264908099</v>
          </cell>
        </row>
        <row r="19">
          <cell r="A19">
            <v>2</v>
          </cell>
          <cell r="B19">
            <v>39439</v>
          </cell>
          <cell r="C19">
            <v>34903.837264908136</v>
          </cell>
          <cell r="D19">
            <v>806.38953509186445</v>
          </cell>
          <cell r="E19">
            <v>-109.32</v>
          </cell>
          <cell r="F19">
            <v>697.06953509186451</v>
          </cell>
          <cell r="G19">
            <v>420.74749007800841</v>
          </cell>
          <cell r="H19">
            <v>276.3220450138561</v>
          </cell>
          <cell r="I19">
            <v>34483.089774830099</v>
          </cell>
        </row>
        <row r="20">
          <cell r="A20">
            <v>3</v>
          </cell>
          <cell r="B20">
            <v>39470</v>
          </cell>
          <cell r="C20">
            <v>34483.089774830129</v>
          </cell>
          <cell r="D20">
            <v>806.38953509186445</v>
          </cell>
          <cell r="E20">
            <v>-109.32</v>
          </cell>
          <cell r="F20">
            <v>697.06953509186451</v>
          </cell>
          <cell r="G20">
            <v>424.07840770779268</v>
          </cell>
          <cell r="H20">
            <v>272.99112738407183</v>
          </cell>
          <cell r="I20">
            <v>34059.011367122301</v>
          </cell>
        </row>
        <row r="21">
          <cell r="A21">
            <v>4</v>
          </cell>
          <cell r="B21">
            <v>39501</v>
          </cell>
          <cell r="C21">
            <v>34059.011367122337</v>
          </cell>
          <cell r="D21">
            <v>806.38953509186445</v>
          </cell>
          <cell r="E21">
            <v>-109.32</v>
          </cell>
          <cell r="F21">
            <v>697.06953509186451</v>
          </cell>
          <cell r="G21">
            <v>427.43569510214598</v>
          </cell>
          <cell r="H21">
            <v>269.63383998971852</v>
          </cell>
          <cell r="I21">
            <v>33631.575672020197</v>
          </cell>
        </row>
        <row r="22">
          <cell r="A22">
            <v>5</v>
          </cell>
          <cell r="B22">
            <v>39530</v>
          </cell>
          <cell r="C22">
            <v>33631.57567202019</v>
          </cell>
          <cell r="D22">
            <v>806.38953509186445</v>
          </cell>
          <cell r="E22">
            <v>-109.32</v>
          </cell>
          <cell r="F22">
            <v>697.06953509186451</v>
          </cell>
          <cell r="G22">
            <v>430.81956102170466</v>
          </cell>
          <cell r="H22">
            <v>266.24997407015985</v>
          </cell>
          <cell r="I22">
            <v>33200.756110998504</v>
          </cell>
        </row>
        <row r="23">
          <cell r="A23">
            <v>6</v>
          </cell>
          <cell r="B23">
            <v>39561</v>
          </cell>
          <cell r="C23">
            <v>33200.756110998482</v>
          </cell>
          <cell r="D23">
            <v>806.38953509186445</v>
          </cell>
          <cell r="E23">
            <v>-109.32</v>
          </cell>
          <cell r="F23">
            <v>697.06953509186451</v>
          </cell>
          <cell r="G23">
            <v>434.23021587979321</v>
          </cell>
          <cell r="H23">
            <v>262.8393192120713</v>
          </cell>
          <cell r="I23">
            <v>32766.525895118699</v>
          </cell>
        </row>
        <row r="24">
          <cell r="A24">
            <v>7</v>
          </cell>
          <cell r="B24">
            <v>39591</v>
          </cell>
          <cell r="C24">
            <v>32766.525895118688</v>
          </cell>
          <cell r="D24">
            <v>806.38953509186445</v>
          </cell>
          <cell r="E24">
            <v>-109.32</v>
          </cell>
          <cell r="F24">
            <v>697.06953509186451</v>
          </cell>
          <cell r="G24">
            <v>437.6678717555082</v>
          </cell>
          <cell r="H24">
            <v>259.40166333635631</v>
          </cell>
          <cell r="I24">
            <v>32328.858023363198</v>
          </cell>
        </row>
        <row r="25">
          <cell r="A25">
            <v>8</v>
          </cell>
          <cell r="B25">
            <v>39622</v>
          </cell>
          <cell r="C25">
            <v>32328.85802336318</v>
          </cell>
          <cell r="D25">
            <v>806.38953509186445</v>
          </cell>
          <cell r="E25">
            <v>-109.32</v>
          </cell>
          <cell r="F25">
            <v>697.06953509186451</v>
          </cell>
          <cell r="G25">
            <v>441.132742406906</v>
          </cell>
          <cell r="H25">
            <v>255.9367926849585</v>
          </cell>
          <cell r="I25">
            <v>31887.7252809563</v>
          </cell>
        </row>
        <row r="26">
          <cell r="A26">
            <v>9</v>
          </cell>
          <cell r="B26">
            <v>39652</v>
          </cell>
          <cell r="C26">
            <v>31887.725280956274</v>
          </cell>
          <cell r="D26">
            <v>806.38953509186445</v>
          </cell>
          <cell r="E26">
            <v>-109.32</v>
          </cell>
          <cell r="F26">
            <v>697.06953509186451</v>
          </cell>
          <cell r="G26">
            <v>444.62504328429395</v>
          </cell>
          <cell r="H26">
            <v>252.44449180757053</v>
          </cell>
          <cell r="I26">
            <v>31443.100237671999</v>
          </cell>
        </row>
        <row r="27">
          <cell r="A27">
            <v>10</v>
          </cell>
          <cell r="B27">
            <v>39683</v>
          </cell>
          <cell r="C27">
            <v>31443.100237671981</v>
          </cell>
          <cell r="D27">
            <v>806.38953509186445</v>
          </cell>
          <cell r="E27">
            <v>-109.32</v>
          </cell>
          <cell r="F27">
            <v>697.06953509186451</v>
          </cell>
          <cell r="G27">
            <v>448.14499154362795</v>
          </cell>
          <cell r="H27">
            <v>248.92454354823653</v>
          </cell>
          <cell r="I27">
            <v>30994.9552461284</v>
          </cell>
        </row>
        <row r="28">
          <cell r="A28">
            <v>11</v>
          </cell>
          <cell r="B28">
            <v>39714</v>
          </cell>
          <cell r="C28">
            <v>30994.955246128353</v>
          </cell>
          <cell r="D28">
            <v>806.38953509186445</v>
          </cell>
          <cell r="E28">
            <v>-109.32</v>
          </cell>
          <cell r="F28">
            <v>697.06953509186451</v>
          </cell>
          <cell r="G28">
            <v>451.69280606001507</v>
          </cell>
          <cell r="H28">
            <v>245.37672903184946</v>
          </cell>
          <cell r="I28">
            <v>30543.262440068302</v>
          </cell>
        </row>
        <row r="29">
          <cell r="A29">
            <v>12</v>
          </cell>
          <cell r="B29">
            <v>39744</v>
          </cell>
          <cell r="C29">
            <v>30543.262440068338</v>
          </cell>
          <cell r="D29">
            <v>806.38953509186445</v>
          </cell>
          <cell r="E29">
            <v>-109.32</v>
          </cell>
          <cell r="F29">
            <v>697.06953509186451</v>
          </cell>
          <cell r="G29">
            <v>455.2687074413235</v>
          </cell>
          <cell r="H29">
            <v>241.80082765054101</v>
          </cell>
          <cell r="I29">
            <v>30087.993732627001</v>
          </cell>
        </row>
        <row r="30">
          <cell r="A30">
            <v>13</v>
          </cell>
          <cell r="B30">
            <v>39775</v>
          </cell>
          <cell r="C30">
            <v>30087.993732627016</v>
          </cell>
          <cell r="D30">
            <v>806.38953509186445</v>
          </cell>
          <cell r="E30">
            <v>-109.32</v>
          </cell>
          <cell r="F30">
            <v>697.06953509186451</v>
          </cell>
          <cell r="G30">
            <v>458.87291804190068</v>
          </cell>
          <cell r="H30">
            <v>238.19661704996386</v>
          </cell>
          <cell r="I30">
            <v>29629.120814585101</v>
          </cell>
        </row>
        <row r="31">
          <cell r="A31">
            <v>14</v>
          </cell>
          <cell r="B31">
            <v>39805</v>
          </cell>
          <cell r="C31">
            <v>29629.120814585116</v>
          </cell>
          <cell r="D31">
            <v>806.38953509186445</v>
          </cell>
          <cell r="E31">
            <v>-109.32</v>
          </cell>
          <cell r="F31">
            <v>697.06953509186451</v>
          </cell>
          <cell r="G31">
            <v>462.50566197639898</v>
          </cell>
          <cell r="H31">
            <v>234.5638731154655</v>
          </cell>
          <cell r="I31">
            <v>29166.615152608701</v>
          </cell>
        </row>
        <row r="32">
          <cell r="A32">
            <v>15</v>
          </cell>
          <cell r="B32">
            <v>39836</v>
          </cell>
          <cell r="C32">
            <v>29166.615152608716</v>
          </cell>
          <cell r="D32">
            <v>806.38953509186445</v>
          </cell>
          <cell r="E32">
            <v>-109.32</v>
          </cell>
          <cell r="F32">
            <v>697.06953509186451</v>
          </cell>
          <cell r="G32">
            <v>466.16716513371216</v>
          </cell>
          <cell r="H32">
            <v>230.90236995815235</v>
          </cell>
          <cell r="I32">
            <v>28700.447987475</v>
          </cell>
        </row>
        <row r="33">
          <cell r="A33">
            <v>16</v>
          </cell>
          <cell r="B33">
            <v>39867</v>
          </cell>
          <cell r="C33">
            <v>28700.447987475003</v>
          </cell>
          <cell r="D33">
            <v>806.38953509186445</v>
          </cell>
          <cell r="E33">
            <v>-109.32</v>
          </cell>
          <cell r="F33">
            <v>697.06953509186451</v>
          </cell>
          <cell r="G33">
            <v>469.85765519102074</v>
          </cell>
          <cell r="H33">
            <v>227.21187990084377</v>
          </cell>
          <cell r="I33">
            <v>28230.590332283999</v>
          </cell>
        </row>
        <row r="34">
          <cell r="A34">
            <v>17</v>
          </cell>
          <cell r="B34">
            <v>39895</v>
          </cell>
          <cell r="C34">
            <v>28230.590332283984</v>
          </cell>
          <cell r="D34">
            <v>806.38953509186445</v>
          </cell>
          <cell r="E34">
            <v>-109.32</v>
          </cell>
          <cell r="F34">
            <v>697.06953509186451</v>
          </cell>
          <cell r="G34">
            <v>473.57736162794959</v>
          </cell>
          <cell r="H34">
            <v>223.4921734639149</v>
          </cell>
          <cell r="I34">
            <v>27757.012970656</v>
          </cell>
        </row>
        <row r="35">
          <cell r="A35">
            <v>18</v>
          </cell>
          <cell r="B35">
            <v>39926</v>
          </cell>
          <cell r="C35">
            <v>27757.012970656033</v>
          </cell>
          <cell r="D35">
            <v>806.38953509186445</v>
          </cell>
          <cell r="E35">
            <v>-109.32</v>
          </cell>
          <cell r="F35">
            <v>697.06953509186451</v>
          </cell>
          <cell r="G35">
            <v>477.32651574083764</v>
          </cell>
          <cell r="H35">
            <v>219.7430193510269</v>
          </cell>
          <cell r="I35">
            <v>27279.686454915201</v>
          </cell>
        </row>
        <row r="36">
          <cell r="A36">
            <v>19</v>
          </cell>
          <cell r="B36">
            <v>39956</v>
          </cell>
          <cell r="C36">
            <v>27279.686454915194</v>
          </cell>
          <cell r="D36">
            <v>806.38953509186445</v>
          </cell>
          <cell r="E36">
            <v>-109.32</v>
          </cell>
          <cell r="F36">
            <v>697.06953509186451</v>
          </cell>
          <cell r="G36">
            <v>481.10535065711917</v>
          </cell>
          <cell r="H36">
            <v>215.96418443474531</v>
          </cell>
          <cell r="I36">
            <v>26798.581104258101</v>
          </cell>
        </row>
        <row r="37">
          <cell r="A37">
            <v>20</v>
          </cell>
          <cell r="B37">
            <v>39987</v>
          </cell>
          <cell r="C37">
            <v>26798.581104258075</v>
          </cell>
          <cell r="D37">
            <v>806.38953509186445</v>
          </cell>
          <cell r="E37">
            <v>-109.32</v>
          </cell>
          <cell r="F37">
            <v>697.06953509186451</v>
          </cell>
          <cell r="G37">
            <v>484.91410134982141</v>
          </cell>
          <cell r="H37">
            <v>212.1554337420431</v>
          </cell>
          <cell r="I37">
            <v>26313.6670029083</v>
          </cell>
        </row>
        <row r="38">
          <cell r="A38">
            <v>21</v>
          </cell>
          <cell r="B38">
            <v>40017</v>
          </cell>
          <cell r="C38">
            <v>26313.667002908252</v>
          </cell>
          <cell r="D38">
            <v>806.38953509186445</v>
          </cell>
          <cell r="E38">
            <v>-109.32</v>
          </cell>
          <cell r="F38">
            <v>697.06953509186451</v>
          </cell>
          <cell r="G38">
            <v>488.75300465217413</v>
          </cell>
          <cell r="H38">
            <v>208.31653043969035</v>
          </cell>
          <cell r="I38">
            <v>25824.913998256099</v>
          </cell>
        </row>
        <row r="39">
          <cell r="A39">
            <v>22</v>
          </cell>
          <cell r="B39">
            <v>40048</v>
          </cell>
          <cell r="C39">
            <v>25824.913998256077</v>
          </cell>
          <cell r="D39">
            <v>806.38953509186445</v>
          </cell>
          <cell r="E39">
            <v>-109.32</v>
          </cell>
          <cell r="F39">
            <v>697.06953509186451</v>
          </cell>
          <cell r="G39">
            <v>492.62229927233727</v>
          </cell>
          <cell r="H39">
            <v>204.44723581952726</v>
          </cell>
          <cell r="I39">
            <v>25332.291698983699</v>
          </cell>
        </row>
        <row r="40">
          <cell r="A40">
            <v>23</v>
          </cell>
          <cell r="B40">
            <v>40079</v>
          </cell>
          <cell r="C40">
            <v>25332.291698983739</v>
          </cell>
          <cell r="D40">
            <v>806.38953509186445</v>
          </cell>
          <cell r="E40">
            <v>-109.32</v>
          </cell>
          <cell r="F40">
            <v>697.06953509186451</v>
          </cell>
          <cell r="G40">
            <v>496.52222580824321</v>
          </cell>
          <cell r="H40">
            <v>200.54730928362127</v>
          </cell>
          <cell r="I40">
            <v>24835.7694731755</v>
          </cell>
        </row>
        <row r="41">
          <cell r="A41">
            <v>24</v>
          </cell>
          <cell r="B41">
            <v>40109</v>
          </cell>
          <cell r="C41">
            <v>24835.769473175496</v>
          </cell>
          <cell r="D41">
            <v>806.38953509186445</v>
          </cell>
          <cell r="E41">
            <v>-109.32</v>
          </cell>
          <cell r="F41">
            <v>697.06953509186451</v>
          </cell>
          <cell r="G41">
            <v>500.45302676255847</v>
          </cell>
          <cell r="H41">
            <v>196.61650832930601</v>
          </cell>
          <cell r="I41">
            <v>24335.3164464129</v>
          </cell>
        </row>
        <row r="42">
          <cell r="A42">
            <v>25</v>
          </cell>
          <cell r="B42">
            <v>40140</v>
          </cell>
          <cell r="C42">
            <v>24335.316446412937</v>
          </cell>
          <cell r="D42">
            <v>806.38953509186445</v>
          </cell>
          <cell r="E42">
            <v>-109.32</v>
          </cell>
          <cell r="F42">
            <v>697.06953509186451</v>
          </cell>
          <cell r="G42">
            <v>504.41494655776205</v>
          </cell>
          <cell r="H42">
            <v>192.65458853410243</v>
          </cell>
          <cell r="I42">
            <v>23830.901499855201</v>
          </cell>
        </row>
        <row r="43">
          <cell r="A43">
            <v>26</v>
          </cell>
          <cell r="B43">
            <v>40170</v>
          </cell>
          <cell r="C43">
            <v>23830.901499855176</v>
          </cell>
          <cell r="D43">
            <v>806.38953509186445</v>
          </cell>
          <cell r="E43">
            <v>-109.32</v>
          </cell>
          <cell r="F43">
            <v>697.06953509186451</v>
          </cell>
          <cell r="G43">
            <v>508.40823155134433</v>
          </cell>
          <cell r="H43">
            <v>188.66130354052015</v>
          </cell>
          <cell r="I43">
            <v>23322.493268303799</v>
          </cell>
        </row>
        <row r="44">
          <cell r="A44">
            <v>27</v>
          </cell>
          <cell r="B44">
            <v>40201</v>
          </cell>
          <cell r="C44">
            <v>23322.493268303831</v>
          </cell>
          <cell r="D44">
            <v>806.38953509186445</v>
          </cell>
          <cell r="E44">
            <v>-109.32</v>
          </cell>
          <cell r="F44">
            <v>697.06953509186451</v>
          </cell>
          <cell r="G44">
            <v>512.43313005112589</v>
          </cell>
          <cell r="H44">
            <v>184.63640504073865</v>
          </cell>
          <cell r="I44">
            <v>22810.060138252698</v>
          </cell>
        </row>
        <row r="45">
          <cell r="A45">
            <v>28</v>
          </cell>
          <cell r="B45">
            <v>40232</v>
          </cell>
          <cell r="C45">
            <v>22810.060138252706</v>
          </cell>
          <cell r="D45">
            <v>806.38953509186445</v>
          </cell>
          <cell r="E45">
            <v>-109.32</v>
          </cell>
          <cell r="F45">
            <v>697.06953509186451</v>
          </cell>
          <cell r="G45">
            <v>516.48989233069722</v>
          </cell>
          <cell r="H45">
            <v>180.57964276116726</v>
          </cell>
          <cell r="I45">
            <v>22293.570245922001</v>
          </cell>
        </row>
        <row r="46">
          <cell r="A46">
            <v>29</v>
          </cell>
          <cell r="B46">
            <v>40260</v>
          </cell>
          <cell r="C46">
            <v>22293.570245922008</v>
          </cell>
          <cell r="D46">
            <v>806.38953509186445</v>
          </cell>
          <cell r="E46">
            <v>-109.32</v>
          </cell>
          <cell r="F46">
            <v>697.06953509186451</v>
          </cell>
          <cell r="G46">
            <v>520.57877064498189</v>
          </cell>
          <cell r="H46">
            <v>176.49076444688259</v>
          </cell>
          <cell r="I46">
            <v>21772.991475276998</v>
          </cell>
        </row>
        <row r="47">
          <cell r="A47">
            <v>30</v>
          </cell>
          <cell r="B47">
            <v>40291</v>
          </cell>
          <cell r="C47">
            <v>21772.991475277027</v>
          </cell>
          <cell r="D47">
            <v>806.38953509186445</v>
          </cell>
          <cell r="E47">
            <v>-109.32</v>
          </cell>
          <cell r="F47">
            <v>697.06953509186451</v>
          </cell>
          <cell r="G47">
            <v>524.70001924592134</v>
          </cell>
          <cell r="H47">
            <v>172.36951584594314</v>
          </cell>
          <cell r="I47">
            <v>21248.2914560311</v>
          </cell>
        </row>
        <row r="48">
          <cell r="A48">
            <v>31</v>
          </cell>
          <cell r="B48">
            <v>40321</v>
          </cell>
          <cell r="C48">
            <v>21248.291456031107</v>
          </cell>
          <cell r="D48">
            <v>806.38953509186445</v>
          </cell>
          <cell r="E48">
            <v>-109.32</v>
          </cell>
          <cell r="F48">
            <v>697.06953509186451</v>
          </cell>
          <cell r="G48">
            <v>528.85389439828487</v>
          </cell>
          <cell r="H48">
            <v>168.21564069357962</v>
          </cell>
          <cell r="I48">
            <v>20719.4375616328</v>
          </cell>
        </row>
        <row r="49">
          <cell r="A49">
            <v>32</v>
          </cell>
          <cell r="B49">
            <v>40352</v>
          </cell>
          <cell r="C49">
            <v>20719.437561632822</v>
          </cell>
          <cell r="D49">
            <v>806.38953509186445</v>
          </cell>
          <cell r="E49">
            <v>-109.32</v>
          </cell>
          <cell r="F49">
            <v>697.06953509186451</v>
          </cell>
          <cell r="G49">
            <v>533.04065439560463</v>
          </cell>
          <cell r="H49">
            <v>164.02888069625985</v>
          </cell>
          <cell r="I49">
            <v>20186.396907237198</v>
          </cell>
        </row>
        <row r="50">
          <cell r="A50">
            <v>33</v>
          </cell>
          <cell r="B50">
            <v>40382</v>
          </cell>
          <cell r="C50">
            <v>20186.396907237217</v>
          </cell>
          <cell r="D50">
            <v>806.38953509186445</v>
          </cell>
          <cell r="E50">
            <v>-109.32</v>
          </cell>
          <cell r="F50">
            <v>697.06953509186451</v>
          </cell>
          <cell r="G50">
            <v>537.26055957623657</v>
          </cell>
          <cell r="H50">
            <v>159.80897551562796</v>
          </cell>
          <cell r="I50">
            <v>19649.136347660999</v>
          </cell>
        </row>
        <row r="51">
          <cell r="A51">
            <v>34</v>
          </cell>
          <cell r="B51">
            <v>40413</v>
          </cell>
          <cell r="C51">
            <v>19649.13634766098</v>
          </cell>
          <cell r="D51">
            <v>806.38953509186445</v>
          </cell>
          <cell r="E51">
            <v>-109.32</v>
          </cell>
          <cell r="F51">
            <v>697.06953509186451</v>
          </cell>
          <cell r="G51">
            <v>541.51387233954847</v>
          </cell>
          <cell r="H51">
            <v>155.5556627523161</v>
          </cell>
          <cell r="I51">
            <v>19107.622475321401</v>
          </cell>
        </row>
        <row r="52">
          <cell r="A52">
            <v>35</v>
          </cell>
          <cell r="B52">
            <v>40444</v>
          </cell>
          <cell r="C52">
            <v>19107.622475321434</v>
          </cell>
          <cell r="D52">
            <v>806.38953509186445</v>
          </cell>
          <cell r="E52">
            <v>-109.32</v>
          </cell>
          <cell r="F52">
            <v>697.06953509186451</v>
          </cell>
          <cell r="G52">
            <v>545.80085716223653</v>
          </cell>
          <cell r="H52">
            <v>151.26867792962801</v>
          </cell>
          <cell r="I52">
            <v>18561.8216181592</v>
          </cell>
        </row>
        <row r="53">
          <cell r="A53">
            <v>36</v>
          </cell>
          <cell r="B53">
            <v>40474</v>
          </cell>
          <cell r="C53">
            <v>18561.821618159196</v>
          </cell>
          <cell r="D53">
            <v>806.38953509186445</v>
          </cell>
          <cell r="E53">
            <v>-109.32</v>
          </cell>
          <cell r="F53">
            <v>697.06953509186451</v>
          </cell>
          <cell r="G53">
            <v>550.12178061477084</v>
          </cell>
          <cell r="H53">
            <v>146.94775447709364</v>
          </cell>
          <cell r="I53">
            <v>18011.699837544402</v>
          </cell>
        </row>
        <row r="54">
          <cell r="A54">
            <v>37</v>
          </cell>
          <cell r="B54">
            <v>40505</v>
          </cell>
          <cell r="C54">
            <v>18011.699837544424</v>
          </cell>
          <cell r="D54">
            <v>806.38953509186445</v>
          </cell>
          <cell r="E54">
            <v>-109.32</v>
          </cell>
          <cell r="F54">
            <v>697.06953509186451</v>
          </cell>
          <cell r="G54">
            <v>554.47691137797119</v>
          </cell>
          <cell r="H54">
            <v>142.59262371389335</v>
          </cell>
          <cell r="I54">
            <v>17457.222926166502</v>
          </cell>
        </row>
        <row r="55">
          <cell r="A55">
            <v>38</v>
          </cell>
          <cell r="B55">
            <v>40535</v>
          </cell>
          <cell r="C55">
            <v>17457.222926166454</v>
          </cell>
          <cell r="D55">
            <v>806.38953509186445</v>
          </cell>
          <cell r="E55">
            <v>-109.32</v>
          </cell>
          <cell r="F55">
            <v>697.06953509186451</v>
          </cell>
          <cell r="G55">
            <v>558.86652025971341</v>
          </cell>
          <cell r="H55">
            <v>138.2030148321511</v>
          </cell>
          <cell r="I55">
            <v>16898.356405906699</v>
          </cell>
        </row>
        <row r="56">
          <cell r="A56">
            <v>39</v>
          </cell>
          <cell r="B56">
            <v>40566</v>
          </cell>
          <cell r="C56">
            <v>16898.356405906739</v>
          </cell>
          <cell r="D56">
            <v>806.38953509186445</v>
          </cell>
          <cell r="E56">
            <v>-109.32</v>
          </cell>
          <cell r="F56">
            <v>697.06953509186451</v>
          </cell>
          <cell r="G56">
            <v>563.29088021176949</v>
          </cell>
          <cell r="H56">
            <v>133.77865488009502</v>
          </cell>
          <cell r="I56">
            <v>16335.065525694999</v>
          </cell>
        </row>
        <row r="57">
          <cell r="A57">
            <v>40</v>
          </cell>
          <cell r="B57">
            <v>40597</v>
          </cell>
          <cell r="C57">
            <v>16335.06552569497</v>
          </cell>
          <cell r="D57">
            <v>806.38953509186445</v>
          </cell>
          <cell r="E57">
            <v>-109.32</v>
          </cell>
          <cell r="F57">
            <v>697.06953509186451</v>
          </cell>
          <cell r="G57">
            <v>567.75026634677931</v>
          </cell>
          <cell r="H57">
            <v>129.31926874508517</v>
          </cell>
          <cell r="I57">
            <v>15767.315259348199</v>
          </cell>
        </row>
        <row r="58">
          <cell r="A58">
            <v>41</v>
          </cell>
          <cell r="B58">
            <v>40625</v>
          </cell>
          <cell r="C58">
            <v>15767.315259348192</v>
          </cell>
          <cell r="D58">
            <v>806.38953509186445</v>
          </cell>
          <cell r="E58">
            <v>-109.32</v>
          </cell>
          <cell r="F58">
            <v>697.06953509186451</v>
          </cell>
          <cell r="G58">
            <v>572.24495595535802</v>
          </cell>
          <cell r="H58">
            <v>124.82457913650653</v>
          </cell>
          <cell r="I58">
            <v>15195.0703033928</v>
          </cell>
        </row>
        <row r="59">
          <cell r="A59">
            <v>42</v>
          </cell>
          <cell r="B59">
            <v>40656</v>
          </cell>
          <cell r="C59">
            <v>15195.070303392833</v>
          </cell>
          <cell r="D59">
            <v>806.38953509186445</v>
          </cell>
          <cell r="E59">
            <v>-109.32</v>
          </cell>
          <cell r="F59">
            <v>697.06953509186451</v>
          </cell>
          <cell r="G59">
            <v>576.77522852333789</v>
          </cell>
          <cell r="H59">
            <v>120.29430656852661</v>
          </cell>
          <cell r="I59">
            <v>14618.2950748695</v>
          </cell>
        </row>
        <row r="60">
          <cell r="A60">
            <v>43</v>
          </cell>
          <cell r="B60">
            <v>40686</v>
          </cell>
          <cell r="C60">
            <v>14618.295074869495</v>
          </cell>
          <cell r="D60">
            <v>806.38953509186445</v>
          </cell>
          <cell r="E60">
            <v>-109.32</v>
          </cell>
          <cell r="F60">
            <v>697.06953509186451</v>
          </cell>
          <cell r="G60">
            <v>581.34136574914771</v>
          </cell>
          <cell r="H60">
            <v>115.72816934271684</v>
          </cell>
          <cell r="I60">
            <v>14036.9537091203</v>
          </cell>
        </row>
        <row r="61">
          <cell r="A61">
            <v>44</v>
          </cell>
          <cell r="B61">
            <v>40717</v>
          </cell>
          <cell r="C61">
            <v>14036.953709120347</v>
          </cell>
          <cell r="D61">
            <v>806.38953509186445</v>
          </cell>
          <cell r="E61">
            <v>-109.32</v>
          </cell>
          <cell r="F61">
            <v>697.06953509186451</v>
          </cell>
          <cell r="G61">
            <v>585.94365156132847</v>
          </cell>
          <cell r="H61">
            <v>111.12588353053609</v>
          </cell>
          <cell r="I61">
            <v>13451.010057559</v>
          </cell>
        </row>
        <row r="62">
          <cell r="A62">
            <v>45</v>
          </cell>
          <cell r="B62">
            <v>40747</v>
          </cell>
          <cell r="C62">
            <v>13451.010057559019</v>
          </cell>
          <cell r="D62">
            <v>806.38953509186445</v>
          </cell>
          <cell r="E62">
            <v>-109.32</v>
          </cell>
          <cell r="F62">
            <v>697.06953509186451</v>
          </cell>
          <cell r="G62">
            <v>590.58237213618895</v>
          </cell>
          <cell r="H62">
            <v>106.48716295567556</v>
          </cell>
          <cell r="I62">
            <v>12860.427685422799</v>
          </cell>
        </row>
        <row r="63">
          <cell r="A63">
            <v>46</v>
          </cell>
          <cell r="B63">
            <v>40778</v>
          </cell>
          <cell r="C63">
            <v>12860.42768542283</v>
          </cell>
          <cell r="D63">
            <v>806.38953509186445</v>
          </cell>
          <cell r="E63">
            <v>-109.32</v>
          </cell>
          <cell r="F63">
            <v>697.06953509186451</v>
          </cell>
          <cell r="G63">
            <v>595.25781591560042</v>
          </cell>
          <cell r="H63">
            <v>101.81171917626408</v>
          </cell>
          <cell r="I63">
            <v>12265.169869507199</v>
          </cell>
        </row>
        <row r="64">
          <cell r="A64">
            <v>47</v>
          </cell>
          <cell r="B64">
            <v>40809</v>
          </cell>
          <cell r="C64">
            <v>12265.16986950723</v>
          </cell>
          <cell r="D64">
            <v>806.38953509186445</v>
          </cell>
          <cell r="E64">
            <v>-109.32</v>
          </cell>
          <cell r="F64">
            <v>697.06953509186451</v>
          </cell>
          <cell r="G64">
            <v>599.97027362493225</v>
          </cell>
          <cell r="H64">
            <v>97.099261466932248</v>
          </cell>
          <cell r="I64">
            <v>11665.199595882301</v>
          </cell>
        </row>
        <row r="65">
          <cell r="A65">
            <v>48</v>
          </cell>
          <cell r="B65">
            <v>40839</v>
          </cell>
          <cell r="C65">
            <v>11665.199595882297</v>
          </cell>
          <cell r="D65">
            <v>806.38953509186445</v>
          </cell>
          <cell r="E65">
            <v>-109.32</v>
          </cell>
          <cell r="F65">
            <v>697.06953509186451</v>
          </cell>
          <cell r="G65">
            <v>604.72003829112964</v>
          </cell>
          <cell r="H65">
            <v>92.349496800734855</v>
          </cell>
          <cell r="I65">
            <v>11060.479557591199</v>
          </cell>
        </row>
        <row r="66">
          <cell r="A66">
            <v>49</v>
          </cell>
          <cell r="B66">
            <v>40870</v>
          </cell>
          <cell r="C66">
            <v>11060.479557591167</v>
          </cell>
          <cell r="D66">
            <v>806.38953509186445</v>
          </cell>
          <cell r="E66">
            <v>-109.32</v>
          </cell>
          <cell r="F66">
            <v>697.06953509186451</v>
          </cell>
          <cell r="G66">
            <v>609.50740526093443</v>
          </cell>
          <cell r="H66">
            <v>87.562129830930076</v>
          </cell>
          <cell r="I66">
            <v>10450.9721523302</v>
          </cell>
        </row>
        <row r="67">
          <cell r="A67">
            <v>50</v>
          </cell>
          <cell r="B67">
            <v>40900</v>
          </cell>
          <cell r="C67">
            <v>10450.972152330232</v>
          </cell>
          <cell r="D67">
            <v>806.38953509186445</v>
          </cell>
          <cell r="E67">
            <v>-109.32</v>
          </cell>
          <cell r="F67">
            <v>697.06953509186451</v>
          </cell>
          <cell r="G67">
            <v>614.33267221925018</v>
          </cell>
          <cell r="H67">
            <v>82.736862872614338</v>
          </cell>
          <cell r="I67">
            <v>9836.63948011098</v>
          </cell>
        </row>
        <row r="68">
          <cell r="A68">
            <v>51</v>
          </cell>
          <cell r="B68">
            <v>40931</v>
          </cell>
          <cell r="C68">
            <v>9836.6394801109818</v>
          </cell>
          <cell r="D68">
            <v>806.38953509186445</v>
          </cell>
          <cell r="E68">
            <v>-109.32</v>
          </cell>
          <cell r="F68">
            <v>697.06953509186451</v>
          </cell>
          <cell r="G68">
            <v>619.19613920765255</v>
          </cell>
          <cell r="H68">
            <v>77.873395884211945</v>
          </cell>
          <cell r="I68">
            <v>9217.44334090333</v>
          </cell>
        </row>
        <row r="69">
          <cell r="A69">
            <v>52</v>
          </cell>
          <cell r="B69">
            <v>40962</v>
          </cell>
          <cell r="C69">
            <v>9217.44334090333</v>
          </cell>
          <cell r="D69">
            <v>806.38953509186445</v>
          </cell>
          <cell r="E69">
            <v>-109.32</v>
          </cell>
          <cell r="F69">
            <v>697.06953509186451</v>
          </cell>
          <cell r="G69">
            <v>624.09810864304643</v>
          </cell>
          <cell r="H69">
            <v>72.971426448818036</v>
          </cell>
          <cell r="I69">
            <v>8593.3452322602807</v>
          </cell>
        </row>
        <row r="70">
          <cell r="A70">
            <v>53</v>
          </cell>
          <cell r="B70">
            <v>40991</v>
          </cell>
          <cell r="C70">
            <v>8593.3452322602843</v>
          </cell>
          <cell r="D70">
            <v>806.38953509186445</v>
          </cell>
          <cell r="E70">
            <v>-109.32</v>
          </cell>
          <cell r="F70">
            <v>697.06953509186451</v>
          </cell>
          <cell r="G70">
            <v>629.03888533647057</v>
          </cell>
          <cell r="H70">
            <v>68.030649755393924</v>
          </cell>
          <cell r="I70">
            <v>7964.3063469238105</v>
          </cell>
        </row>
        <row r="71">
          <cell r="A71">
            <v>54</v>
          </cell>
          <cell r="B71">
            <v>41022</v>
          </cell>
          <cell r="C71">
            <v>7964.3063469238141</v>
          </cell>
          <cell r="D71">
            <v>806.38953509186445</v>
          </cell>
          <cell r="E71">
            <v>-128.88999999999999</v>
          </cell>
          <cell r="F71">
            <v>677.49953509186446</v>
          </cell>
          <cell r="G71">
            <v>614.44877651205093</v>
          </cell>
          <cell r="H71">
            <v>63.050758579813532</v>
          </cell>
          <cell r="I71">
            <v>7349.8575704117602</v>
          </cell>
        </row>
        <row r="72">
          <cell r="A72">
            <v>55</v>
          </cell>
          <cell r="B72">
            <v>41052</v>
          </cell>
          <cell r="C72">
            <v>7349.8575704117629</v>
          </cell>
          <cell r="D72">
            <v>806.38953509186445</v>
          </cell>
          <cell r="E72">
            <v>-128.88999999999999</v>
          </cell>
          <cell r="F72">
            <v>677.49953509186446</v>
          </cell>
          <cell r="G72">
            <v>619.31316265943804</v>
          </cell>
          <cell r="H72">
            <v>58.18637243242646</v>
          </cell>
          <cell r="I72">
            <v>6730.5444077523298</v>
          </cell>
        </row>
        <row r="73">
          <cell r="A73">
            <v>56</v>
          </cell>
          <cell r="B73">
            <v>41083</v>
          </cell>
          <cell r="C73">
            <v>6730.5444077523252</v>
          </cell>
          <cell r="D73">
            <v>806.38953509186445</v>
          </cell>
          <cell r="E73">
            <v>6960</v>
          </cell>
          <cell r="F73">
            <v>6730.5444077523252</v>
          </cell>
          <cell r="G73">
            <v>6677.2609311909528</v>
          </cell>
          <cell r="H73">
            <v>53.283476561372574</v>
          </cell>
          <cell r="I73">
            <v>0</v>
          </cell>
        </row>
        <row r="74">
          <cell r="A74">
            <v>57</v>
          </cell>
          <cell r="B74">
            <v>41113</v>
          </cell>
          <cell r="C74">
            <v>0</v>
          </cell>
          <cell r="D74">
            <v>806.38953509186445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</row>
        <row r="75">
          <cell r="A75">
            <v>58</v>
          </cell>
          <cell r="B75">
            <v>41144</v>
          </cell>
          <cell r="C75">
            <v>0</v>
          </cell>
          <cell r="D75">
            <v>806.38953509186445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</row>
        <row r="76">
          <cell r="A76">
            <v>59</v>
          </cell>
          <cell r="B76">
            <v>41175</v>
          </cell>
          <cell r="C76">
            <v>0</v>
          </cell>
          <cell r="D76">
            <v>806.38953509186445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</row>
        <row r="77">
          <cell r="A77">
            <v>60</v>
          </cell>
          <cell r="B77">
            <v>41205</v>
          </cell>
          <cell r="C77">
            <v>0</v>
          </cell>
          <cell r="D77">
            <v>806.38953509186445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</row>
        <row r="78">
          <cell r="A78">
            <v>61</v>
          </cell>
          <cell r="B78">
            <v>41236</v>
          </cell>
          <cell r="C78">
            <v>0</v>
          </cell>
          <cell r="D78">
            <v>806.38953509186445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</row>
        <row r="79">
          <cell r="A79">
            <v>62</v>
          </cell>
          <cell r="B79">
            <v>41266</v>
          </cell>
          <cell r="C79">
            <v>0</v>
          </cell>
          <cell r="D79">
            <v>806.38953509186445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</row>
        <row r="80">
          <cell r="A80">
            <v>63</v>
          </cell>
          <cell r="B80">
            <v>41297</v>
          </cell>
          <cell r="C80">
            <v>0</v>
          </cell>
          <cell r="D80">
            <v>806.38953509186445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</row>
        <row r="81">
          <cell r="A81">
            <v>64</v>
          </cell>
          <cell r="B81">
            <v>41328</v>
          </cell>
          <cell r="C81">
            <v>0</v>
          </cell>
          <cell r="D81">
            <v>806.38953509186445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</row>
        <row r="82">
          <cell r="A82">
            <v>65</v>
          </cell>
          <cell r="B82">
            <v>41356</v>
          </cell>
          <cell r="C82">
            <v>0</v>
          </cell>
          <cell r="D82">
            <v>806.38953509186445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</row>
        <row r="83">
          <cell r="A83">
            <v>66</v>
          </cell>
          <cell r="B83">
            <v>41387</v>
          </cell>
          <cell r="C83">
            <v>0</v>
          </cell>
          <cell r="D83">
            <v>806.38953509186445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</row>
        <row r="84">
          <cell r="A84">
            <v>67</v>
          </cell>
          <cell r="B84">
            <v>41417</v>
          </cell>
          <cell r="C84">
            <v>0</v>
          </cell>
          <cell r="D84">
            <v>806.38953509186445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</row>
        <row r="85">
          <cell r="A85">
            <v>68</v>
          </cell>
          <cell r="B85">
            <v>41448</v>
          </cell>
          <cell r="C85">
            <v>0</v>
          </cell>
          <cell r="D85">
            <v>806.38953509186445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</row>
        <row r="86">
          <cell r="A86">
            <v>69</v>
          </cell>
          <cell r="B86">
            <v>41478</v>
          </cell>
          <cell r="C86">
            <v>0</v>
          </cell>
          <cell r="D86">
            <v>806.38953509186445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</row>
        <row r="87">
          <cell r="A87">
            <v>70</v>
          </cell>
          <cell r="B87">
            <v>41509</v>
          </cell>
          <cell r="C87">
            <v>0</v>
          </cell>
          <cell r="D87">
            <v>806.38953509186445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</row>
        <row r="88">
          <cell r="A88">
            <v>71</v>
          </cell>
          <cell r="B88">
            <v>41540</v>
          </cell>
          <cell r="C88">
            <v>0</v>
          </cell>
          <cell r="D88">
            <v>806.38953509186445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</row>
        <row r="89">
          <cell r="A89">
            <v>72</v>
          </cell>
          <cell r="B89">
            <v>41570</v>
          </cell>
          <cell r="C89">
            <v>0</v>
          </cell>
          <cell r="D89">
            <v>806.38953509186445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</row>
        <row r="90">
          <cell r="A90">
            <v>73</v>
          </cell>
          <cell r="B90">
            <v>41601</v>
          </cell>
          <cell r="C90">
            <v>0</v>
          </cell>
          <cell r="D90">
            <v>806.38953509186445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</row>
        <row r="91">
          <cell r="A91">
            <v>74</v>
          </cell>
          <cell r="B91">
            <v>41631</v>
          </cell>
          <cell r="C91">
            <v>0</v>
          </cell>
          <cell r="D91">
            <v>806.38953509186445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</row>
        <row r="92">
          <cell r="A92">
            <v>75</v>
          </cell>
          <cell r="B92">
            <v>41662</v>
          </cell>
          <cell r="C92">
            <v>0</v>
          </cell>
          <cell r="D92">
            <v>806.38953509186445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</row>
        <row r="93">
          <cell r="A93">
            <v>76</v>
          </cell>
          <cell r="B93">
            <v>41693</v>
          </cell>
          <cell r="C93">
            <v>0</v>
          </cell>
          <cell r="D93">
            <v>806.38953509186445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</row>
        <row r="94">
          <cell r="A94">
            <v>77</v>
          </cell>
          <cell r="B94">
            <v>41721</v>
          </cell>
          <cell r="C94">
            <v>0</v>
          </cell>
          <cell r="D94">
            <v>806.38953509186445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</row>
        <row r="95">
          <cell r="A95">
            <v>78</v>
          </cell>
          <cell r="B95">
            <v>41752</v>
          </cell>
          <cell r="C95">
            <v>0</v>
          </cell>
          <cell r="D95">
            <v>806.38953509186445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</row>
        <row r="96">
          <cell r="A96">
            <v>79</v>
          </cell>
          <cell r="B96">
            <v>41782</v>
          </cell>
          <cell r="C96">
            <v>0</v>
          </cell>
          <cell r="D96">
            <v>806.38953509186445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</row>
        <row r="97">
          <cell r="A97">
            <v>80</v>
          </cell>
          <cell r="B97">
            <v>41813</v>
          </cell>
          <cell r="C97">
            <v>0</v>
          </cell>
          <cell r="D97">
            <v>806.38953509186445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</row>
        <row r="98">
          <cell r="A98">
            <v>81</v>
          </cell>
          <cell r="B98">
            <v>41843</v>
          </cell>
          <cell r="C98">
            <v>0</v>
          </cell>
          <cell r="D98">
            <v>806.38953509186445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</row>
        <row r="99">
          <cell r="A99">
            <v>82</v>
          </cell>
          <cell r="B99">
            <v>41874</v>
          </cell>
          <cell r="C99">
            <v>0</v>
          </cell>
          <cell r="D99">
            <v>806.38953509186445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</row>
        <row r="100">
          <cell r="A100">
            <v>83</v>
          </cell>
          <cell r="B100">
            <v>41905</v>
          </cell>
          <cell r="C100">
            <v>0</v>
          </cell>
          <cell r="D100">
            <v>806.38953509186445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</row>
        <row r="101">
          <cell r="A101">
            <v>84</v>
          </cell>
          <cell r="B101">
            <v>41935</v>
          </cell>
          <cell r="C101">
            <v>0</v>
          </cell>
          <cell r="D101">
            <v>806.38953509186445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</row>
        <row r="102">
          <cell r="A102">
            <v>85</v>
          </cell>
          <cell r="B102">
            <v>41966</v>
          </cell>
          <cell r="C102">
            <v>0</v>
          </cell>
          <cell r="D102">
            <v>806.38953509186445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</row>
        <row r="103">
          <cell r="A103">
            <v>86</v>
          </cell>
          <cell r="B103">
            <v>41996</v>
          </cell>
          <cell r="C103">
            <v>0</v>
          </cell>
          <cell r="D103">
            <v>806.38953509186445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</row>
        <row r="104">
          <cell r="A104">
            <v>87</v>
          </cell>
          <cell r="B104">
            <v>42027</v>
          </cell>
          <cell r="C104">
            <v>0</v>
          </cell>
          <cell r="D104">
            <v>806.38953509186445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</row>
        <row r="105">
          <cell r="A105">
            <v>88</v>
          </cell>
          <cell r="B105">
            <v>42058</v>
          </cell>
          <cell r="C105">
            <v>0</v>
          </cell>
          <cell r="D105">
            <v>806.38953509186445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</row>
        <row r="106">
          <cell r="A106">
            <v>89</v>
          </cell>
          <cell r="B106">
            <v>42086</v>
          </cell>
          <cell r="C106">
            <v>0</v>
          </cell>
          <cell r="D106">
            <v>806.38953509186445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</row>
        <row r="107">
          <cell r="A107">
            <v>90</v>
          </cell>
          <cell r="B107">
            <v>42117</v>
          </cell>
          <cell r="C107">
            <v>0</v>
          </cell>
          <cell r="D107">
            <v>806.38953509186445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</row>
        <row r="108">
          <cell r="A108">
            <v>91</v>
          </cell>
          <cell r="B108">
            <v>42147</v>
          </cell>
          <cell r="C108">
            <v>0</v>
          </cell>
          <cell r="D108">
            <v>806.38953509186445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</row>
        <row r="109">
          <cell r="A109">
            <v>92</v>
          </cell>
          <cell r="B109">
            <v>42178</v>
          </cell>
          <cell r="C109">
            <v>0</v>
          </cell>
          <cell r="D109">
            <v>806.38953509186445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</row>
        <row r="110">
          <cell r="A110">
            <v>93</v>
          </cell>
          <cell r="B110">
            <v>42208</v>
          </cell>
          <cell r="C110">
            <v>0</v>
          </cell>
          <cell r="D110">
            <v>806.38953509186445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</row>
        <row r="111">
          <cell r="A111">
            <v>94</v>
          </cell>
          <cell r="B111">
            <v>42239</v>
          </cell>
          <cell r="C111">
            <v>0</v>
          </cell>
          <cell r="D111">
            <v>806.38953509186445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</row>
        <row r="112">
          <cell r="A112">
            <v>95</v>
          </cell>
          <cell r="B112">
            <v>42270</v>
          </cell>
          <cell r="C112">
            <v>0</v>
          </cell>
          <cell r="D112">
            <v>806.38953509186445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</row>
        <row r="113">
          <cell r="A113">
            <v>96</v>
          </cell>
          <cell r="B113">
            <v>42300</v>
          </cell>
          <cell r="C113">
            <v>0</v>
          </cell>
          <cell r="D113">
            <v>806.38953509186445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</row>
        <row r="114">
          <cell r="A114">
            <v>97</v>
          </cell>
          <cell r="B114">
            <v>42331</v>
          </cell>
          <cell r="C114">
            <v>0</v>
          </cell>
          <cell r="D114">
            <v>806.38953509186445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</row>
        <row r="115">
          <cell r="A115">
            <v>98</v>
          </cell>
          <cell r="B115">
            <v>42361</v>
          </cell>
          <cell r="C115">
            <v>0</v>
          </cell>
          <cell r="D115">
            <v>806.38953509186445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</row>
        <row r="116">
          <cell r="A116">
            <v>99</v>
          </cell>
          <cell r="B116">
            <v>42392</v>
          </cell>
          <cell r="C116">
            <v>0</v>
          </cell>
          <cell r="D116">
            <v>806.38953509186445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</row>
        <row r="117">
          <cell r="A117">
            <v>100</v>
          </cell>
          <cell r="B117">
            <v>42423</v>
          </cell>
          <cell r="C117">
            <v>0</v>
          </cell>
          <cell r="D117">
            <v>806.38953509186445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</row>
        <row r="118">
          <cell r="A118">
            <v>101</v>
          </cell>
          <cell r="B118">
            <v>42452</v>
          </cell>
          <cell r="C118">
            <v>0</v>
          </cell>
          <cell r="D118">
            <v>806.38953509186445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</row>
        <row r="119">
          <cell r="A119">
            <v>102</v>
          </cell>
          <cell r="B119">
            <v>42483</v>
          </cell>
          <cell r="C119">
            <v>0</v>
          </cell>
          <cell r="D119">
            <v>806.38953509186445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</row>
        <row r="120">
          <cell r="A120">
            <v>103</v>
          </cell>
          <cell r="B120">
            <v>42513</v>
          </cell>
          <cell r="C120">
            <v>0</v>
          </cell>
          <cell r="D120">
            <v>806.38953509186445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</row>
        <row r="121">
          <cell r="A121">
            <v>104</v>
          </cell>
          <cell r="B121">
            <v>42544</v>
          </cell>
          <cell r="C121">
            <v>0</v>
          </cell>
          <cell r="D121">
            <v>806.38953509186445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</row>
        <row r="122">
          <cell r="A122">
            <v>105</v>
          </cell>
          <cell r="B122">
            <v>42574</v>
          </cell>
          <cell r="C122">
            <v>0</v>
          </cell>
          <cell r="D122">
            <v>806.38953509186445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</row>
        <row r="123">
          <cell r="A123">
            <v>106</v>
          </cell>
          <cell r="B123">
            <v>42605</v>
          </cell>
          <cell r="C123">
            <v>0</v>
          </cell>
          <cell r="D123">
            <v>806.38953509186445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</row>
        <row r="124">
          <cell r="A124">
            <v>107</v>
          </cell>
          <cell r="B124">
            <v>42636</v>
          </cell>
          <cell r="C124">
            <v>0</v>
          </cell>
          <cell r="D124">
            <v>806.38953509186445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</row>
        <row r="125">
          <cell r="A125">
            <v>108</v>
          </cell>
          <cell r="B125">
            <v>42666</v>
          </cell>
          <cell r="C125">
            <v>0</v>
          </cell>
          <cell r="D125">
            <v>806.38953509186445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</row>
        <row r="126">
          <cell r="A126">
            <v>109</v>
          </cell>
          <cell r="B126">
            <v>42697</v>
          </cell>
          <cell r="C126">
            <v>0</v>
          </cell>
          <cell r="D126">
            <v>806.38953509186445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</row>
        <row r="127">
          <cell r="A127">
            <v>110</v>
          </cell>
          <cell r="B127">
            <v>42727</v>
          </cell>
          <cell r="C127">
            <v>0</v>
          </cell>
          <cell r="D127">
            <v>806.38953509186445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</row>
        <row r="128">
          <cell r="A128">
            <v>111</v>
          </cell>
          <cell r="B128">
            <v>42758</v>
          </cell>
          <cell r="C128">
            <v>0</v>
          </cell>
          <cell r="D128">
            <v>806.38953509186445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</row>
        <row r="129">
          <cell r="A129">
            <v>112</v>
          </cell>
          <cell r="B129">
            <v>42789</v>
          </cell>
          <cell r="C129">
            <v>0</v>
          </cell>
          <cell r="D129">
            <v>806.38953509186445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</row>
        <row r="130">
          <cell r="A130">
            <v>113</v>
          </cell>
          <cell r="B130">
            <v>42817</v>
          </cell>
          <cell r="C130">
            <v>0</v>
          </cell>
          <cell r="D130">
            <v>806.38953509186445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</row>
        <row r="131">
          <cell r="A131">
            <v>114</v>
          </cell>
          <cell r="B131">
            <v>42848</v>
          </cell>
          <cell r="C131">
            <v>0</v>
          </cell>
          <cell r="D131">
            <v>806.38953509186445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</row>
        <row r="132">
          <cell r="A132">
            <v>115</v>
          </cell>
          <cell r="B132">
            <v>42878</v>
          </cell>
          <cell r="C132">
            <v>0</v>
          </cell>
          <cell r="D132">
            <v>806.38953509186445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</row>
        <row r="133">
          <cell r="A133">
            <v>116</v>
          </cell>
          <cell r="B133">
            <v>42909</v>
          </cell>
          <cell r="C133">
            <v>0</v>
          </cell>
          <cell r="D133">
            <v>806.38953509186445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</row>
        <row r="134">
          <cell r="A134">
            <v>117</v>
          </cell>
          <cell r="B134">
            <v>42939</v>
          </cell>
          <cell r="C134">
            <v>0</v>
          </cell>
          <cell r="D134">
            <v>806.38953509186445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</row>
        <row r="135">
          <cell r="A135">
            <v>118</v>
          </cell>
          <cell r="B135">
            <v>42970</v>
          </cell>
          <cell r="C135">
            <v>0</v>
          </cell>
          <cell r="D135">
            <v>806.38953509186445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</row>
        <row r="136">
          <cell r="A136">
            <v>119</v>
          </cell>
          <cell r="B136">
            <v>43001</v>
          </cell>
          <cell r="C136">
            <v>0</v>
          </cell>
          <cell r="D136">
            <v>806.38953509186445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</row>
        <row r="137">
          <cell r="A137">
            <v>120</v>
          </cell>
          <cell r="B137">
            <v>43031</v>
          </cell>
          <cell r="C137">
            <v>0</v>
          </cell>
          <cell r="D137">
            <v>806.38953509186445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</row>
        <row r="138">
          <cell r="A138">
            <v>121</v>
          </cell>
          <cell r="B138">
            <v>43062</v>
          </cell>
          <cell r="C138">
            <v>0</v>
          </cell>
          <cell r="D138">
            <v>806.38953509186445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</row>
        <row r="139">
          <cell r="A139">
            <v>122</v>
          </cell>
          <cell r="B139">
            <v>43092</v>
          </cell>
          <cell r="C139">
            <v>0</v>
          </cell>
          <cell r="D139">
            <v>806.38953509186445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</row>
        <row r="140">
          <cell r="A140">
            <v>123</v>
          </cell>
          <cell r="B140">
            <v>43123</v>
          </cell>
          <cell r="C140">
            <v>0</v>
          </cell>
          <cell r="D140">
            <v>806.38953509186445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</row>
        <row r="141">
          <cell r="A141">
            <v>124</v>
          </cell>
          <cell r="B141">
            <v>43154</v>
          </cell>
          <cell r="C141">
            <v>0</v>
          </cell>
          <cell r="D141">
            <v>806.38953509186445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</row>
        <row r="142">
          <cell r="A142">
            <v>125</v>
          </cell>
          <cell r="B142">
            <v>43182</v>
          </cell>
          <cell r="C142">
            <v>0</v>
          </cell>
          <cell r="D142">
            <v>806.38953509186445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</row>
        <row r="143">
          <cell r="A143">
            <v>126</v>
          </cell>
          <cell r="B143">
            <v>43213</v>
          </cell>
          <cell r="C143">
            <v>0</v>
          </cell>
          <cell r="D143">
            <v>806.38953509186445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</row>
        <row r="144">
          <cell r="A144">
            <v>127</v>
          </cell>
          <cell r="B144">
            <v>43243</v>
          </cell>
          <cell r="C144">
            <v>0</v>
          </cell>
          <cell r="D144">
            <v>806.38953509186445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</row>
        <row r="145">
          <cell r="A145">
            <v>128</v>
          </cell>
          <cell r="B145">
            <v>43274</v>
          </cell>
          <cell r="C145">
            <v>0</v>
          </cell>
          <cell r="D145">
            <v>806.38953509186445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</row>
        <row r="146">
          <cell r="A146">
            <v>129</v>
          </cell>
          <cell r="B146">
            <v>43304</v>
          </cell>
          <cell r="C146">
            <v>0</v>
          </cell>
          <cell r="D146">
            <v>806.38953509186445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</row>
        <row r="147">
          <cell r="A147">
            <v>130</v>
          </cell>
          <cell r="B147">
            <v>43335</v>
          </cell>
          <cell r="C147">
            <v>0</v>
          </cell>
          <cell r="D147">
            <v>806.38953509186445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</row>
        <row r="148">
          <cell r="A148">
            <v>131</v>
          </cell>
          <cell r="B148">
            <v>43366</v>
          </cell>
          <cell r="C148">
            <v>0</v>
          </cell>
          <cell r="D148">
            <v>806.38953509186445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</row>
        <row r="149">
          <cell r="A149">
            <v>132</v>
          </cell>
          <cell r="B149">
            <v>43396</v>
          </cell>
          <cell r="C149">
            <v>0</v>
          </cell>
          <cell r="D149">
            <v>806.38953509186445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</row>
        <row r="150">
          <cell r="A150">
            <v>133</v>
          </cell>
          <cell r="B150">
            <v>43427</v>
          </cell>
          <cell r="C150">
            <v>0</v>
          </cell>
          <cell r="D150">
            <v>806.38953509186445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</row>
        <row r="151">
          <cell r="A151">
            <v>134</v>
          </cell>
          <cell r="B151">
            <v>43457</v>
          </cell>
          <cell r="C151">
            <v>0</v>
          </cell>
          <cell r="D151">
            <v>806.38953509186445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</row>
        <row r="152">
          <cell r="A152">
            <v>135</v>
          </cell>
          <cell r="B152">
            <v>43488</v>
          </cell>
          <cell r="C152">
            <v>0</v>
          </cell>
          <cell r="D152">
            <v>806.38953509186445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</row>
        <row r="153">
          <cell r="A153">
            <v>136</v>
          </cell>
          <cell r="B153">
            <v>43519</v>
          </cell>
          <cell r="C153">
            <v>0</v>
          </cell>
          <cell r="D153">
            <v>806.38953509186445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</row>
        <row r="154">
          <cell r="A154">
            <v>137</v>
          </cell>
          <cell r="B154">
            <v>43547</v>
          </cell>
          <cell r="C154">
            <v>0</v>
          </cell>
          <cell r="D154">
            <v>806.38953509186445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</row>
        <row r="155">
          <cell r="A155">
            <v>138</v>
          </cell>
          <cell r="B155">
            <v>43578</v>
          </cell>
          <cell r="C155">
            <v>0</v>
          </cell>
          <cell r="D155">
            <v>806.38953509186445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</row>
        <row r="156">
          <cell r="A156">
            <v>139</v>
          </cell>
          <cell r="B156">
            <v>43608</v>
          </cell>
          <cell r="C156">
            <v>0</v>
          </cell>
          <cell r="D156">
            <v>806.38953509186445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</row>
        <row r="157">
          <cell r="A157">
            <v>140</v>
          </cell>
          <cell r="B157">
            <v>43639</v>
          </cell>
          <cell r="C157">
            <v>0</v>
          </cell>
          <cell r="D157">
            <v>806.38953509186445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</row>
        <row r="158">
          <cell r="A158">
            <v>141</v>
          </cell>
          <cell r="B158">
            <v>43669</v>
          </cell>
          <cell r="C158">
            <v>0</v>
          </cell>
          <cell r="D158">
            <v>806.38953509186445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</row>
        <row r="159">
          <cell r="A159">
            <v>142</v>
          </cell>
          <cell r="B159">
            <v>43700</v>
          </cell>
          <cell r="C159">
            <v>0</v>
          </cell>
          <cell r="D159">
            <v>806.38953509186445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</row>
        <row r="160">
          <cell r="A160">
            <v>143</v>
          </cell>
          <cell r="B160">
            <v>43731</v>
          </cell>
          <cell r="C160">
            <v>0</v>
          </cell>
          <cell r="D160">
            <v>806.38953509186445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</row>
        <row r="161">
          <cell r="A161">
            <v>144</v>
          </cell>
          <cell r="B161">
            <v>43761</v>
          </cell>
          <cell r="C161">
            <v>0</v>
          </cell>
          <cell r="D161">
            <v>806.38953509186445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</row>
        <row r="162">
          <cell r="A162">
            <v>145</v>
          </cell>
          <cell r="B162">
            <v>43792</v>
          </cell>
          <cell r="C162">
            <v>0</v>
          </cell>
          <cell r="D162">
            <v>806.38953509186445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</row>
        <row r="163">
          <cell r="A163">
            <v>146</v>
          </cell>
          <cell r="B163">
            <v>43822</v>
          </cell>
          <cell r="C163">
            <v>0</v>
          </cell>
          <cell r="D163">
            <v>806.38953509186445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</row>
        <row r="164">
          <cell r="A164">
            <v>147</v>
          </cell>
          <cell r="B164">
            <v>43853</v>
          </cell>
          <cell r="C164">
            <v>0</v>
          </cell>
          <cell r="D164">
            <v>806.38953509186445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</row>
        <row r="165">
          <cell r="A165">
            <v>148</v>
          </cell>
          <cell r="B165">
            <v>43884</v>
          </cell>
          <cell r="C165">
            <v>0</v>
          </cell>
          <cell r="D165">
            <v>806.38953509186445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</row>
        <row r="166">
          <cell r="A166">
            <v>149</v>
          </cell>
          <cell r="B166">
            <v>43913</v>
          </cell>
          <cell r="C166">
            <v>0</v>
          </cell>
          <cell r="D166">
            <v>806.38953509186445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</row>
        <row r="167">
          <cell r="A167">
            <v>150</v>
          </cell>
          <cell r="B167">
            <v>43944</v>
          </cell>
          <cell r="C167">
            <v>0</v>
          </cell>
          <cell r="D167">
            <v>806.38953509186445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</row>
        <row r="168">
          <cell r="A168">
            <v>151</v>
          </cell>
          <cell r="B168">
            <v>43974</v>
          </cell>
          <cell r="C168">
            <v>0</v>
          </cell>
          <cell r="D168">
            <v>806.38953509186445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</row>
        <row r="169">
          <cell r="A169">
            <v>152</v>
          </cell>
          <cell r="B169">
            <v>44005</v>
          </cell>
          <cell r="C169">
            <v>0</v>
          </cell>
          <cell r="D169">
            <v>806.38953509186445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</row>
        <row r="170">
          <cell r="A170">
            <v>153</v>
          </cell>
          <cell r="B170">
            <v>44035</v>
          </cell>
          <cell r="C170">
            <v>0</v>
          </cell>
          <cell r="D170">
            <v>806.38953509186445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</row>
        <row r="171">
          <cell r="A171">
            <v>154</v>
          </cell>
          <cell r="B171">
            <v>44066</v>
          </cell>
          <cell r="C171">
            <v>0</v>
          </cell>
          <cell r="D171">
            <v>806.38953509186445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</row>
        <row r="172">
          <cell r="A172">
            <v>155</v>
          </cell>
          <cell r="B172">
            <v>44097</v>
          </cell>
          <cell r="C172">
            <v>0</v>
          </cell>
          <cell r="D172">
            <v>806.38953509186445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</row>
        <row r="173">
          <cell r="A173">
            <v>156</v>
          </cell>
          <cell r="B173">
            <v>44127</v>
          </cell>
          <cell r="C173">
            <v>0</v>
          </cell>
          <cell r="D173">
            <v>806.38953509186445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</row>
        <row r="174">
          <cell r="A174">
            <v>157</v>
          </cell>
          <cell r="B174">
            <v>44158</v>
          </cell>
          <cell r="C174">
            <v>0</v>
          </cell>
          <cell r="D174">
            <v>806.38953509186445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</row>
        <row r="175">
          <cell r="A175">
            <v>158</v>
          </cell>
          <cell r="B175">
            <v>44188</v>
          </cell>
          <cell r="C175">
            <v>0</v>
          </cell>
          <cell r="D175">
            <v>806.38953509186445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</row>
        <row r="176">
          <cell r="A176">
            <v>159</v>
          </cell>
          <cell r="B176">
            <v>44219</v>
          </cell>
          <cell r="C176">
            <v>0</v>
          </cell>
          <cell r="D176">
            <v>806.38953509186445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</row>
        <row r="177">
          <cell r="A177">
            <v>160</v>
          </cell>
          <cell r="B177">
            <v>44250</v>
          </cell>
          <cell r="C177">
            <v>0</v>
          </cell>
          <cell r="D177">
            <v>806.38953509186445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</row>
        <row r="178">
          <cell r="A178">
            <v>161</v>
          </cell>
          <cell r="B178">
            <v>44278</v>
          </cell>
          <cell r="C178">
            <v>0</v>
          </cell>
          <cell r="D178">
            <v>806.38953509186445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</row>
        <row r="179">
          <cell r="A179">
            <v>162</v>
          </cell>
          <cell r="B179">
            <v>44309</v>
          </cell>
          <cell r="C179">
            <v>0</v>
          </cell>
          <cell r="D179">
            <v>806.38953509186445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</row>
        <row r="180">
          <cell r="A180">
            <v>163</v>
          </cell>
          <cell r="B180">
            <v>44339</v>
          </cell>
          <cell r="C180">
            <v>0</v>
          </cell>
          <cell r="D180">
            <v>806.38953509186445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</row>
        <row r="181">
          <cell r="A181">
            <v>164</v>
          </cell>
          <cell r="B181">
            <v>44370</v>
          </cell>
          <cell r="C181">
            <v>0</v>
          </cell>
          <cell r="D181">
            <v>806.38953509186445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</row>
        <row r="182">
          <cell r="A182">
            <v>165</v>
          </cell>
          <cell r="B182">
            <v>44400</v>
          </cell>
          <cell r="C182">
            <v>0</v>
          </cell>
          <cell r="D182">
            <v>806.38953509186445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</row>
        <row r="183">
          <cell r="A183">
            <v>166</v>
          </cell>
          <cell r="B183">
            <v>44431</v>
          </cell>
          <cell r="C183">
            <v>0</v>
          </cell>
          <cell r="D183">
            <v>806.38953509186445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</row>
        <row r="184">
          <cell r="A184">
            <v>167</v>
          </cell>
          <cell r="B184">
            <v>44462</v>
          </cell>
          <cell r="C184">
            <v>0</v>
          </cell>
          <cell r="D184">
            <v>806.38953509186445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</row>
        <row r="185">
          <cell r="A185">
            <v>168</v>
          </cell>
          <cell r="B185">
            <v>44492</v>
          </cell>
          <cell r="C185">
            <v>0</v>
          </cell>
          <cell r="D185">
            <v>806.38953509186445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</row>
        <row r="186">
          <cell r="A186">
            <v>169</v>
          </cell>
          <cell r="B186">
            <v>44523</v>
          </cell>
          <cell r="C186">
            <v>0</v>
          </cell>
          <cell r="D186">
            <v>806.38953509186445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</row>
        <row r="187">
          <cell r="A187">
            <v>170</v>
          </cell>
          <cell r="B187">
            <v>44553</v>
          </cell>
          <cell r="C187">
            <v>0</v>
          </cell>
          <cell r="D187">
            <v>806.38953509186445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</row>
        <row r="188">
          <cell r="A188">
            <v>171</v>
          </cell>
          <cell r="B188">
            <v>44584</v>
          </cell>
          <cell r="C188">
            <v>0</v>
          </cell>
          <cell r="D188">
            <v>806.38953509186445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</row>
        <row r="189">
          <cell r="A189">
            <v>172</v>
          </cell>
          <cell r="B189">
            <v>44615</v>
          </cell>
          <cell r="C189">
            <v>0</v>
          </cell>
          <cell r="D189">
            <v>806.38953509186445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</row>
        <row r="190">
          <cell r="A190">
            <v>173</v>
          </cell>
          <cell r="B190">
            <v>44643</v>
          </cell>
          <cell r="C190">
            <v>0</v>
          </cell>
          <cell r="D190">
            <v>806.38953509186445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</row>
        <row r="191">
          <cell r="A191">
            <v>174</v>
          </cell>
          <cell r="B191">
            <v>44674</v>
          </cell>
          <cell r="C191">
            <v>0</v>
          </cell>
          <cell r="D191">
            <v>806.38953509186445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</row>
        <row r="192">
          <cell r="A192">
            <v>175</v>
          </cell>
          <cell r="B192">
            <v>44704</v>
          </cell>
          <cell r="C192">
            <v>0</v>
          </cell>
          <cell r="D192">
            <v>806.38953509186445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</row>
        <row r="193">
          <cell r="A193">
            <v>176</v>
          </cell>
          <cell r="B193">
            <v>44735</v>
          </cell>
          <cell r="C193">
            <v>0</v>
          </cell>
          <cell r="D193">
            <v>806.38953509186445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</row>
        <row r="194">
          <cell r="A194">
            <v>177</v>
          </cell>
          <cell r="B194">
            <v>44765</v>
          </cell>
          <cell r="C194">
            <v>0</v>
          </cell>
          <cell r="D194">
            <v>806.38953509186445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</row>
        <row r="195">
          <cell r="A195">
            <v>178</v>
          </cell>
          <cell r="B195">
            <v>44796</v>
          </cell>
          <cell r="C195">
            <v>0</v>
          </cell>
          <cell r="D195">
            <v>806.38953509186445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</row>
        <row r="196">
          <cell r="A196">
            <v>179</v>
          </cell>
          <cell r="B196">
            <v>44827</v>
          </cell>
          <cell r="C196">
            <v>0</v>
          </cell>
          <cell r="D196">
            <v>806.38953509186445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</row>
        <row r="197">
          <cell r="A197">
            <v>180</v>
          </cell>
          <cell r="B197">
            <v>44857</v>
          </cell>
          <cell r="C197">
            <v>0</v>
          </cell>
          <cell r="D197">
            <v>806.38953509186445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</row>
        <row r="198">
          <cell r="A198">
            <v>181</v>
          </cell>
          <cell r="B198">
            <v>44888</v>
          </cell>
          <cell r="C198">
            <v>0</v>
          </cell>
          <cell r="D198">
            <v>806.38953509186445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</row>
        <row r="199">
          <cell r="A199">
            <v>182</v>
          </cell>
          <cell r="B199">
            <v>44918</v>
          </cell>
          <cell r="C199">
            <v>0</v>
          </cell>
          <cell r="D199">
            <v>806.38953509186445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</row>
        <row r="200">
          <cell r="A200">
            <v>183</v>
          </cell>
          <cell r="B200">
            <v>44949</v>
          </cell>
          <cell r="C200">
            <v>0</v>
          </cell>
          <cell r="D200">
            <v>806.38953509186445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</row>
        <row r="201">
          <cell r="A201">
            <v>184</v>
          </cell>
          <cell r="B201">
            <v>44980</v>
          </cell>
          <cell r="C201">
            <v>0</v>
          </cell>
          <cell r="D201">
            <v>806.38953509186445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</row>
        <row r="202">
          <cell r="A202">
            <v>185</v>
          </cell>
          <cell r="B202">
            <v>45008</v>
          </cell>
          <cell r="C202">
            <v>0</v>
          </cell>
          <cell r="D202">
            <v>806.38953509186445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</row>
        <row r="203">
          <cell r="A203">
            <v>186</v>
          </cell>
          <cell r="B203">
            <v>45039</v>
          </cell>
          <cell r="C203">
            <v>0</v>
          </cell>
          <cell r="D203">
            <v>806.38953509186445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</row>
        <row r="204">
          <cell r="A204">
            <v>187</v>
          </cell>
          <cell r="B204">
            <v>45069</v>
          </cell>
          <cell r="C204">
            <v>0</v>
          </cell>
          <cell r="D204">
            <v>806.38953509186445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</row>
        <row r="205">
          <cell r="A205">
            <v>188</v>
          </cell>
          <cell r="B205">
            <v>45100</v>
          </cell>
          <cell r="C205">
            <v>0</v>
          </cell>
          <cell r="D205">
            <v>806.38953509186445</v>
          </cell>
          <cell r="E205">
            <v>0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</row>
        <row r="206">
          <cell r="A206">
            <v>189</v>
          </cell>
          <cell r="B206">
            <v>45130</v>
          </cell>
          <cell r="C206">
            <v>0</v>
          </cell>
          <cell r="D206">
            <v>806.38953509186445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</row>
        <row r="207">
          <cell r="A207">
            <v>190</v>
          </cell>
          <cell r="B207">
            <v>45161</v>
          </cell>
          <cell r="C207">
            <v>0</v>
          </cell>
          <cell r="D207">
            <v>806.38953509186445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</row>
        <row r="208">
          <cell r="A208">
            <v>191</v>
          </cell>
          <cell r="B208">
            <v>45192</v>
          </cell>
          <cell r="C208">
            <v>0</v>
          </cell>
          <cell r="D208">
            <v>806.38953509186445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</row>
        <row r="209">
          <cell r="A209">
            <v>192</v>
          </cell>
          <cell r="B209">
            <v>45222</v>
          </cell>
          <cell r="C209">
            <v>0</v>
          </cell>
          <cell r="D209">
            <v>806.38953509186445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</row>
        <row r="210">
          <cell r="A210">
            <v>193</v>
          </cell>
          <cell r="B210">
            <v>45253</v>
          </cell>
          <cell r="C210">
            <v>0</v>
          </cell>
          <cell r="D210">
            <v>806.38953509186445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</row>
        <row r="211">
          <cell r="A211">
            <v>194</v>
          </cell>
          <cell r="B211">
            <v>45283</v>
          </cell>
          <cell r="C211">
            <v>0</v>
          </cell>
          <cell r="D211">
            <v>806.38953509186445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</row>
        <row r="212">
          <cell r="A212">
            <v>195</v>
          </cell>
          <cell r="B212">
            <v>45314</v>
          </cell>
          <cell r="C212">
            <v>0</v>
          </cell>
          <cell r="D212">
            <v>806.38953509186445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</row>
        <row r="213">
          <cell r="A213">
            <v>196</v>
          </cell>
          <cell r="B213">
            <v>45345</v>
          </cell>
          <cell r="C213">
            <v>0</v>
          </cell>
          <cell r="D213">
            <v>806.38953509186445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</row>
        <row r="214">
          <cell r="A214">
            <v>197</v>
          </cell>
          <cell r="B214">
            <v>45374</v>
          </cell>
          <cell r="C214">
            <v>0</v>
          </cell>
          <cell r="D214">
            <v>806.38953509186445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</row>
        <row r="215">
          <cell r="A215">
            <v>198</v>
          </cell>
          <cell r="B215">
            <v>45405</v>
          </cell>
          <cell r="C215">
            <v>0</v>
          </cell>
          <cell r="D215">
            <v>806.38953509186445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</row>
        <row r="216">
          <cell r="A216">
            <v>199</v>
          </cell>
          <cell r="B216">
            <v>45435</v>
          </cell>
          <cell r="C216">
            <v>0</v>
          </cell>
          <cell r="D216">
            <v>806.38953509186445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</row>
        <row r="217">
          <cell r="A217">
            <v>200</v>
          </cell>
          <cell r="B217">
            <v>45466</v>
          </cell>
          <cell r="C217">
            <v>0</v>
          </cell>
          <cell r="D217">
            <v>806.38953509186445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</row>
        <row r="218">
          <cell r="A218">
            <v>201</v>
          </cell>
          <cell r="B218">
            <v>45496</v>
          </cell>
          <cell r="C218">
            <v>0</v>
          </cell>
          <cell r="D218">
            <v>806.38953509186445</v>
          </cell>
          <cell r="E218">
            <v>0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</row>
        <row r="219">
          <cell r="A219">
            <v>202</v>
          </cell>
          <cell r="B219">
            <v>45527</v>
          </cell>
          <cell r="C219">
            <v>0</v>
          </cell>
          <cell r="D219">
            <v>806.38953509186445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</row>
        <row r="220">
          <cell r="A220">
            <v>203</v>
          </cell>
          <cell r="B220">
            <v>45558</v>
          </cell>
          <cell r="C220">
            <v>0</v>
          </cell>
          <cell r="D220">
            <v>806.38953509186445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</row>
        <row r="221">
          <cell r="A221">
            <v>204</v>
          </cell>
          <cell r="B221">
            <v>45588</v>
          </cell>
          <cell r="C221">
            <v>0</v>
          </cell>
          <cell r="D221">
            <v>806.38953509186445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</row>
        <row r="222">
          <cell r="A222">
            <v>205</v>
          </cell>
          <cell r="B222">
            <v>45619</v>
          </cell>
          <cell r="C222">
            <v>0</v>
          </cell>
          <cell r="D222">
            <v>806.38953509186445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</row>
        <row r="223">
          <cell r="A223">
            <v>206</v>
          </cell>
          <cell r="B223">
            <v>45649</v>
          </cell>
          <cell r="C223">
            <v>0</v>
          </cell>
          <cell r="D223">
            <v>806.38953509186445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</row>
        <row r="224">
          <cell r="A224">
            <v>207</v>
          </cell>
          <cell r="B224">
            <v>45680</v>
          </cell>
          <cell r="C224">
            <v>0</v>
          </cell>
          <cell r="D224">
            <v>806.38953509186445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</row>
        <row r="225">
          <cell r="A225">
            <v>208</v>
          </cell>
          <cell r="B225">
            <v>45711</v>
          </cell>
          <cell r="C225">
            <v>0</v>
          </cell>
          <cell r="D225">
            <v>806.38953509186445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</row>
        <row r="226">
          <cell r="A226">
            <v>209</v>
          </cell>
          <cell r="B226">
            <v>45739</v>
          </cell>
          <cell r="C226">
            <v>0</v>
          </cell>
          <cell r="D226">
            <v>806.38953509186445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</row>
        <row r="227">
          <cell r="A227">
            <v>210</v>
          </cell>
          <cell r="B227">
            <v>45770</v>
          </cell>
          <cell r="C227">
            <v>0</v>
          </cell>
          <cell r="D227">
            <v>806.38953509186445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</row>
        <row r="228">
          <cell r="A228">
            <v>211</v>
          </cell>
          <cell r="B228">
            <v>45800</v>
          </cell>
          <cell r="C228">
            <v>0</v>
          </cell>
          <cell r="D228">
            <v>806.38953509186445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</row>
        <row r="229">
          <cell r="A229">
            <v>212</v>
          </cell>
          <cell r="B229">
            <v>45831</v>
          </cell>
          <cell r="C229">
            <v>0</v>
          </cell>
          <cell r="D229">
            <v>806.38953509186445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</row>
        <row r="230">
          <cell r="A230">
            <v>213</v>
          </cell>
          <cell r="B230">
            <v>45861</v>
          </cell>
          <cell r="C230">
            <v>0</v>
          </cell>
          <cell r="D230">
            <v>806.38953509186445</v>
          </cell>
          <cell r="E230">
            <v>0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</row>
        <row r="231">
          <cell r="A231">
            <v>214</v>
          </cell>
          <cell r="B231">
            <v>45892</v>
          </cell>
          <cell r="C231">
            <v>0</v>
          </cell>
          <cell r="D231">
            <v>806.38953509186445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</row>
        <row r="232">
          <cell r="A232">
            <v>215</v>
          </cell>
          <cell r="B232">
            <v>45923</v>
          </cell>
          <cell r="C232">
            <v>0</v>
          </cell>
          <cell r="D232">
            <v>806.38953509186445</v>
          </cell>
          <cell r="E232">
            <v>0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</row>
        <row r="233">
          <cell r="A233">
            <v>216</v>
          </cell>
          <cell r="B233">
            <v>45953</v>
          </cell>
          <cell r="C233">
            <v>0</v>
          </cell>
          <cell r="D233">
            <v>806.38953509186445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</row>
        <row r="234">
          <cell r="A234">
            <v>217</v>
          </cell>
          <cell r="B234">
            <v>45984</v>
          </cell>
          <cell r="C234">
            <v>0</v>
          </cell>
          <cell r="D234">
            <v>806.38953509186445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</row>
        <row r="235">
          <cell r="A235">
            <v>218</v>
          </cell>
          <cell r="B235">
            <v>46014</v>
          </cell>
          <cell r="C235">
            <v>0</v>
          </cell>
          <cell r="D235">
            <v>806.38953509186445</v>
          </cell>
          <cell r="E235">
            <v>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</row>
        <row r="236">
          <cell r="A236">
            <v>219</v>
          </cell>
          <cell r="B236">
            <v>46045</v>
          </cell>
          <cell r="C236">
            <v>0</v>
          </cell>
          <cell r="D236">
            <v>806.38953509186445</v>
          </cell>
          <cell r="E236">
            <v>0</v>
          </cell>
          <cell r="F236">
            <v>0</v>
          </cell>
          <cell r="G236">
            <v>0</v>
          </cell>
          <cell r="H236">
            <v>0</v>
          </cell>
          <cell r="I236">
            <v>0</v>
          </cell>
        </row>
        <row r="237">
          <cell r="A237">
            <v>220</v>
          </cell>
          <cell r="B237">
            <v>46076</v>
          </cell>
          <cell r="C237">
            <v>0</v>
          </cell>
          <cell r="D237">
            <v>806.38953509186445</v>
          </cell>
          <cell r="E237">
            <v>0</v>
          </cell>
          <cell r="F237">
            <v>0</v>
          </cell>
          <cell r="G237">
            <v>0</v>
          </cell>
          <cell r="H237">
            <v>0</v>
          </cell>
          <cell r="I237">
            <v>0</v>
          </cell>
        </row>
        <row r="238">
          <cell r="A238">
            <v>221</v>
          </cell>
          <cell r="B238">
            <v>46104</v>
          </cell>
          <cell r="C238">
            <v>0</v>
          </cell>
          <cell r="D238">
            <v>806.38953509186445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</row>
        <row r="239">
          <cell r="A239">
            <v>222</v>
          </cell>
          <cell r="B239">
            <v>46135</v>
          </cell>
          <cell r="C239">
            <v>0</v>
          </cell>
          <cell r="D239">
            <v>806.38953509186445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</row>
        <row r="240">
          <cell r="A240">
            <v>223</v>
          </cell>
          <cell r="B240">
            <v>46165</v>
          </cell>
          <cell r="C240">
            <v>0</v>
          </cell>
          <cell r="D240">
            <v>806.38953509186445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</row>
        <row r="241">
          <cell r="A241">
            <v>224</v>
          </cell>
          <cell r="B241">
            <v>46196</v>
          </cell>
          <cell r="C241">
            <v>0</v>
          </cell>
          <cell r="D241">
            <v>806.38953509186445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</row>
        <row r="242">
          <cell r="A242">
            <v>225</v>
          </cell>
          <cell r="B242">
            <v>46226</v>
          </cell>
          <cell r="C242">
            <v>0</v>
          </cell>
          <cell r="D242">
            <v>806.38953509186445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</row>
        <row r="243">
          <cell r="A243">
            <v>226</v>
          </cell>
          <cell r="B243">
            <v>46257</v>
          </cell>
          <cell r="C243">
            <v>0</v>
          </cell>
          <cell r="D243">
            <v>806.38953509186445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</row>
        <row r="244">
          <cell r="A244">
            <v>227</v>
          </cell>
          <cell r="B244">
            <v>46288</v>
          </cell>
          <cell r="C244">
            <v>0</v>
          </cell>
          <cell r="D244">
            <v>806.38953509186445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  <cell r="I244">
            <v>0</v>
          </cell>
        </row>
        <row r="245">
          <cell r="A245">
            <v>228</v>
          </cell>
          <cell r="B245">
            <v>46318</v>
          </cell>
          <cell r="C245">
            <v>0</v>
          </cell>
          <cell r="D245">
            <v>806.38953509186445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</row>
        <row r="246">
          <cell r="A246">
            <v>229</v>
          </cell>
          <cell r="B246">
            <v>46349</v>
          </cell>
          <cell r="C246">
            <v>0</v>
          </cell>
          <cell r="D246">
            <v>806.38953509186445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</row>
        <row r="247">
          <cell r="A247">
            <v>230</v>
          </cell>
          <cell r="B247">
            <v>46379</v>
          </cell>
          <cell r="C247">
            <v>0</v>
          </cell>
          <cell r="D247">
            <v>806.38953509186445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</row>
        <row r="248">
          <cell r="A248">
            <v>231</v>
          </cell>
          <cell r="B248">
            <v>46410</v>
          </cell>
          <cell r="C248">
            <v>0</v>
          </cell>
          <cell r="D248">
            <v>806.38953509186445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</row>
        <row r="249">
          <cell r="A249">
            <v>232</v>
          </cell>
          <cell r="B249">
            <v>46441</v>
          </cell>
          <cell r="C249">
            <v>0</v>
          </cell>
          <cell r="D249">
            <v>806.38953509186445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</row>
        <row r="250">
          <cell r="A250">
            <v>233</v>
          </cell>
          <cell r="B250">
            <v>46469</v>
          </cell>
          <cell r="C250">
            <v>0</v>
          </cell>
          <cell r="D250">
            <v>806.38953509186445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</row>
        <row r="251">
          <cell r="A251">
            <v>234</v>
          </cell>
          <cell r="B251">
            <v>46500</v>
          </cell>
          <cell r="C251">
            <v>0</v>
          </cell>
          <cell r="D251">
            <v>806.38953509186445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  <cell r="I251">
            <v>0</v>
          </cell>
        </row>
        <row r="252">
          <cell r="A252">
            <v>235</v>
          </cell>
          <cell r="B252">
            <v>46530</v>
          </cell>
          <cell r="C252">
            <v>0</v>
          </cell>
          <cell r="D252">
            <v>806.38953509186445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</row>
        <row r="253">
          <cell r="A253">
            <v>236</v>
          </cell>
          <cell r="B253">
            <v>46561</v>
          </cell>
          <cell r="C253">
            <v>0</v>
          </cell>
          <cell r="D253">
            <v>806.38953509186445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</row>
        <row r="254">
          <cell r="A254">
            <v>237</v>
          </cell>
          <cell r="B254">
            <v>46591</v>
          </cell>
          <cell r="C254">
            <v>0</v>
          </cell>
          <cell r="D254">
            <v>806.38953509186445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</row>
        <row r="255">
          <cell r="A255">
            <v>238</v>
          </cell>
          <cell r="B255">
            <v>46622</v>
          </cell>
          <cell r="C255">
            <v>0</v>
          </cell>
          <cell r="D255">
            <v>806.38953509186445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</row>
        <row r="256">
          <cell r="A256">
            <v>239</v>
          </cell>
          <cell r="B256">
            <v>46653</v>
          </cell>
          <cell r="C256">
            <v>0</v>
          </cell>
          <cell r="D256">
            <v>806.38953509186445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</row>
        <row r="257">
          <cell r="A257">
            <v>240</v>
          </cell>
          <cell r="B257">
            <v>46683</v>
          </cell>
          <cell r="C257">
            <v>0</v>
          </cell>
          <cell r="D257">
            <v>806.38953509186445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</row>
        <row r="258">
          <cell r="A258">
            <v>241</v>
          </cell>
          <cell r="B258">
            <v>46714</v>
          </cell>
          <cell r="C258">
            <v>0</v>
          </cell>
          <cell r="D258">
            <v>806.38953509186445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</row>
        <row r="259">
          <cell r="A259">
            <v>242</v>
          </cell>
          <cell r="B259">
            <v>46744</v>
          </cell>
          <cell r="C259">
            <v>0</v>
          </cell>
          <cell r="D259">
            <v>806.38953509186445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</row>
        <row r="260">
          <cell r="A260">
            <v>243</v>
          </cell>
          <cell r="B260">
            <v>46775</v>
          </cell>
          <cell r="C260">
            <v>0</v>
          </cell>
          <cell r="D260">
            <v>806.38953509186445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  <cell r="I260">
            <v>0</v>
          </cell>
        </row>
        <row r="261">
          <cell r="A261">
            <v>244</v>
          </cell>
          <cell r="B261">
            <v>46806</v>
          </cell>
          <cell r="C261">
            <v>0</v>
          </cell>
          <cell r="D261">
            <v>806.38953509186445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  <cell r="I261">
            <v>0</v>
          </cell>
        </row>
        <row r="262">
          <cell r="A262">
            <v>245</v>
          </cell>
          <cell r="B262">
            <v>46835</v>
          </cell>
          <cell r="C262">
            <v>0</v>
          </cell>
          <cell r="D262">
            <v>806.38953509186445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</row>
        <row r="263">
          <cell r="A263">
            <v>246</v>
          </cell>
          <cell r="B263">
            <v>46866</v>
          </cell>
          <cell r="C263">
            <v>0</v>
          </cell>
          <cell r="D263">
            <v>806.38953509186445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</row>
        <row r="264">
          <cell r="A264">
            <v>247</v>
          </cell>
          <cell r="B264">
            <v>46896</v>
          </cell>
          <cell r="C264">
            <v>0</v>
          </cell>
          <cell r="D264">
            <v>806.38953509186445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</row>
        <row r="265">
          <cell r="A265">
            <v>248</v>
          </cell>
          <cell r="B265">
            <v>46927</v>
          </cell>
          <cell r="C265">
            <v>0</v>
          </cell>
          <cell r="D265">
            <v>806.38953509186445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</row>
        <row r="266">
          <cell r="A266">
            <v>249</v>
          </cell>
          <cell r="B266">
            <v>46957</v>
          </cell>
          <cell r="C266">
            <v>0</v>
          </cell>
          <cell r="D266">
            <v>806.38953509186445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</row>
        <row r="267">
          <cell r="A267">
            <v>250</v>
          </cell>
          <cell r="B267">
            <v>46988</v>
          </cell>
          <cell r="C267">
            <v>0</v>
          </cell>
          <cell r="D267">
            <v>806.38953509186445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</row>
        <row r="268">
          <cell r="A268">
            <v>251</v>
          </cell>
          <cell r="B268">
            <v>47019</v>
          </cell>
          <cell r="C268">
            <v>0</v>
          </cell>
          <cell r="D268">
            <v>806.38953509186445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</row>
        <row r="269">
          <cell r="A269">
            <v>252</v>
          </cell>
          <cell r="B269">
            <v>47049</v>
          </cell>
          <cell r="C269">
            <v>0</v>
          </cell>
          <cell r="D269">
            <v>806.38953509186445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</row>
        <row r="270">
          <cell r="A270">
            <v>253</v>
          </cell>
          <cell r="B270">
            <v>47080</v>
          </cell>
          <cell r="C270">
            <v>0</v>
          </cell>
          <cell r="D270">
            <v>806.38953509186445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</row>
        <row r="271">
          <cell r="A271">
            <v>254</v>
          </cell>
          <cell r="B271">
            <v>47110</v>
          </cell>
          <cell r="C271">
            <v>0</v>
          </cell>
          <cell r="D271">
            <v>806.38953509186445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</row>
        <row r="272">
          <cell r="A272">
            <v>255</v>
          </cell>
          <cell r="B272">
            <v>47141</v>
          </cell>
          <cell r="C272">
            <v>0</v>
          </cell>
          <cell r="D272">
            <v>806.38953509186445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</row>
        <row r="273">
          <cell r="A273">
            <v>256</v>
          </cell>
          <cell r="B273">
            <v>47172</v>
          </cell>
          <cell r="C273">
            <v>0</v>
          </cell>
          <cell r="D273">
            <v>806.38953509186445</v>
          </cell>
          <cell r="E273">
            <v>0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</row>
        <row r="274">
          <cell r="A274">
            <v>257</v>
          </cell>
          <cell r="B274">
            <v>47200</v>
          </cell>
          <cell r="C274">
            <v>0</v>
          </cell>
          <cell r="D274">
            <v>806.38953509186445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</row>
        <row r="275">
          <cell r="A275">
            <v>258</v>
          </cell>
          <cell r="B275">
            <v>47231</v>
          </cell>
          <cell r="C275">
            <v>0</v>
          </cell>
          <cell r="D275">
            <v>806.38953509186445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</row>
        <row r="276">
          <cell r="A276">
            <v>259</v>
          </cell>
          <cell r="B276">
            <v>47261</v>
          </cell>
          <cell r="C276">
            <v>0</v>
          </cell>
          <cell r="D276">
            <v>806.38953509186445</v>
          </cell>
          <cell r="E276">
            <v>0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</row>
        <row r="277">
          <cell r="A277">
            <v>260</v>
          </cell>
          <cell r="B277">
            <v>47292</v>
          </cell>
          <cell r="C277">
            <v>0</v>
          </cell>
          <cell r="D277">
            <v>806.38953509186445</v>
          </cell>
          <cell r="E277">
            <v>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</row>
        <row r="278">
          <cell r="A278">
            <v>261</v>
          </cell>
          <cell r="B278">
            <v>47322</v>
          </cell>
          <cell r="C278">
            <v>0</v>
          </cell>
          <cell r="D278">
            <v>806.38953509186445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  <cell r="I278">
            <v>0</v>
          </cell>
        </row>
        <row r="279">
          <cell r="A279">
            <v>262</v>
          </cell>
          <cell r="B279">
            <v>47353</v>
          </cell>
          <cell r="C279">
            <v>0</v>
          </cell>
          <cell r="D279">
            <v>806.38953509186445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</row>
        <row r="280">
          <cell r="A280">
            <v>263</v>
          </cell>
          <cell r="B280">
            <v>47384</v>
          </cell>
          <cell r="C280">
            <v>0</v>
          </cell>
          <cell r="D280">
            <v>806.38953509186445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  <cell r="I280">
            <v>0</v>
          </cell>
        </row>
        <row r="281">
          <cell r="A281">
            <v>264</v>
          </cell>
          <cell r="B281">
            <v>47414</v>
          </cell>
          <cell r="C281">
            <v>0</v>
          </cell>
          <cell r="D281">
            <v>806.38953509186445</v>
          </cell>
          <cell r="E281">
            <v>0</v>
          </cell>
          <cell r="F281">
            <v>0</v>
          </cell>
          <cell r="G281">
            <v>0</v>
          </cell>
          <cell r="H281">
            <v>0</v>
          </cell>
          <cell r="I281">
            <v>0</v>
          </cell>
        </row>
        <row r="282">
          <cell r="A282">
            <v>265</v>
          </cell>
          <cell r="B282">
            <v>47445</v>
          </cell>
          <cell r="C282">
            <v>0</v>
          </cell>
          <cell r="D282">
            <v>806.38953509186445</v>
          </cell>
          <cell r="E282">
            <v>0</v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</row>
        <row r="283">
          <cell r="A283">
            <v>266</v>
          </cell>
          <cell r="B283">
            <v>47475</v>
          </cell>
          <cell r="C283">
            <v>0</v>
          </cell>
          <cell r="D283">
            <v>806.38953509186445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  <cell r="I283">
            <v>0</v>
          </cell>
        </row>
        <row r="284">
          <cell r="A284">
            <v>267</v>
          </cell>
          <cell r="B284">
            <v>47506</v>
          </cell>
          <cell r="C284">
            <v>0</v>
          </cell>
          <cell r="D284">
            <v>806.38953509186445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</row>
        <row r="285">
          <cell r="A285">
            <v>268</v>
          </cell>
          <cell r="B285">
            <v>47537</v>
          </cell>
          <cell r="C285">
            <v>0</v>
          </cell>
          <cell r="D285">
            <v>806.38953509186445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</row>
        <row r="286">
          <cell r="A286">
            <v>269</v>
          </cell>
          <cell r="B286">
            <v>47565</v>
          </cell>
          <cell r="C286">
            <v>0</v>
          </cell>
          <cell r="D286">
            <v>806.38953509186445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</row>
        <row r="287">
          <cell r="A287">
            <v>270</v>
          </cell>
          <cell r="B287">
            <v>47596</v>
          </cell>
          <cell r="C287">
            <v>0</v>
          </cell>
          <cell r="D287">
            <v>806.38953509186445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</row>
        <row r="288">
          <cell r="A288">
            <v>271</v>
          </cell>
          <cell r="B288">
            <v>47626</v>
          </cell>
          <cell r="C288">
            <v>0</v>
          </cell>
          <cell r="D288">
            <v>806.38953509186445</v>
          </cell>
          <cell r="E288">
            <v>0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</row>
        <row r="289">
          <cell r="A289">
            <v>272</v>
          </cell>
          <cell r="B289">
            <v>47657</v>
          </cell>
          <cell r="C289">
            <v>0</v>
          </cell>
          <cell r="D289">
            <v>806.38953509186445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</row>
        <row r="290">
          <cell r="A290">
            <v>273</v>
          </cell>
          <cell r="B290">
            <v>47687</v>
          </cell>
          <cell r="C290">
            <v>0</v>
          </cell>
          <cell r="D290">
            <v>806.38953509186445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</row>
        <row r="291">
          <cell r="A291">
            <v>274</v>
          </cell>
          <cell r="B291">
            <v>47718</v>
          </cell>
          <cell r="C291">
            <v>0</v>
          </cell>
          <cell r="D291">
            <v>806.38953509186445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</row>
        <row r="292">
          <cell r="A292">
            <v>275</v>
          </cell>
          <cell r="B292">
            <v>47749</v>
          </cell>
          <cell r="C292">
            <v>0</v>
          </cell>
          <cell r="D292">
            <v>806.38953509186445</v>
          </cell>
          <cell r="E292">
            <v>0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</row>
        <row r="293">
          <cell r="A293">
            <v>276</v>
          </cell>
          <cell r="B293">
            <v>47779</v>
          </cell>
          <cell r="C293">
            <v>0</v>
          </cell>
          <cell r="D293">
            <v>806.38953509186445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</row>
        <row r="294">
          <cell r="A294">
            <v>277</v>
          </cell>
          <cell r="B294">
            <v>47810</v>
          </cell>
          <cell r="C294">
            <v>0</v>
          </cell>
          <cell r="D294">
            <v>806.38953509186445</v>
          </cell>
          <cell r="E294">
            <v>0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</row>
        <row r="295">
          <cell r="A295">
            <v>278</v>
          </cell>
          <cell r="B295">
            <v>47840</v>
          </cell>
          <cell r="C295">
            <v>0</v>
          </cell>
          <cell r="D295">
            <v>806.38953509186445</v>
          </cell>
          <cell r="E295">
            <v>0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</row>
        <row r="296">
          <cell r="A296">
            <v>279</v>
          </cell>
          <cell r="B296">
            <v>47871</v>
          </cell>
          <cell r="C296">
            <v>0</v>
          </cell>
          <cell r="D296">
            <v>806.38953509186445</v>
          </cell>
          <cell r="E296">
            <v>0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</row>
        <row r="297">
          <cell r="A297">
            <v>280</v>
          </cell>
          <cell r="B297">
            <v>47902</v>
          </cell>
          <cell r="C297">
            <v>0</v>
          </cell>
          <cell r="D297">
            <v>806.38953509186445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</row>
        <row r="298">
          <cell r="A298">
            <v>281</v>
          </cell>
          <cell r="B298">
            <v>47930</v>
          </cell>
          <cell r="C298">
            <v>0</v>
          </cell>
          <cell r="D298">
            <v>806.38953509186445</v>
          </cell>
          <cell r="E298">
            <v>0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</row>
        <row r="299">
          <cell r="A299">
            <v>282</v>
          </cell>
          <cell r="B299">
            <v>47961</v>
          </cell>
          <cell r="C299">
            <v>0</v>
          </cell>
          <cell r="D299">
            <v>806.38953509186445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</row>
        <row r="300">
          <cell r="A300">
            <v>283</v>
          </cell>
          <cell r="B300">
            <v>47991</v>
          </cell>
          <cell r="C300">
            <v>0</v>
          </cell>
          <cell r="D300">
            <v>806.38953509186445</v>
          </cell>
          <cell r="E300">
            <v>0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</row>
        <row r="301">
          <cell r="A301">
            <v>284</v>
          </cell>
          <cell r="B301">
            <v>48022</v>
          </cell>
          <cell r="C301">
            <v>0</v>
          </cell>
          <cell r="D301">
            <v>806.38953509186445</v>
          </cell>
          <cell r="E301">
            <v>0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</row>
        <row r="302">
          <cell r="A302">
            <v>285</v>
          </cell>
          <cell r="B302">
            <v>48052</v>
          </cell>
          <cell r="C302">
            <v>0</v>
          </cell>
          <cell r="D302">
            <v>806.38953509186445</v>
          </cell>
          <cell r="E302">
            <v>0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</row>
        <row r="303">
          <cell r="A303">
            <v>286</v>
          </cell>
          <cell r="B303">
            <v>48083</v>
          </cell>
          <cell r="C303">
            <v>0</v>
          </cell>
          <cell r="D303">
            <v>806.38953509186445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  <cell r="I303">
            <v>0</v>
          </cell>
        </row>
        <row r="304">
          <cell r="A304">
            <v>287</v>
          </cell>
          <cell r="B304">
            <v>48114</v>
          </cell>
          <cell r="C304">
            <v>0</v>
          </cell>
          <cell r="D304">
            <v>806.38953509186445</v>
          </cell>
          <cell r="E304">
            <v>0</v>
          </cell>
          <cell r="F304">
            <v>0</v>
          </cell>
          <cell r="G304">
            <v>0</v>
          </cell>
          <cell r="H304">
            <v>0</v>
          </cell>
          <cell r="I304">
            <v>0</v>
          </cell>
        </row>
        <row r="305">
          <cell r="A305">
            <v>288</v>
          </cell>
          <cell r="B305">
            <v>48144</v>
          </cell>
          <cell r="C305">
            <v>0</v>
          </cell>
          <cell r="D305">
            <v>806.38953509186445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  <cell r="I305">
            <v>0</v>
          </cell>
        </row>
        <row r="306">
          <cell r="A306">
            <v>289</v>
          </cell>
          <cell r="B306">
            <v>48175</v>
          </cell>
          <cell r="C306">
            <v>0</v>
          </cell>
          <cell r="D306">
            <v>806.38953509186445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</row>
        <row r="307">
          <cell r="A307">
            <v>290</v>
          </cell>
          <cell r="B307">
            <v>48205</v>
          </cell>
          <cell r="C307">
            <v>0</v>
          </cell>
          <cell r="D307">
            <v>806.38953509186445</v>
          </cell>
          <cell r="E307">
            <v>0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</row>
        <row r="308">
          <cell r="A308">
            <v>291</v>
          </cell>
          <cell r="B308">
            <v>48236</v>
          </cell>
          <cell r="C308">
            <v>0</v>
          </cell>
          <cell r="D308">
            <v>806.38953509186445</v>
          </cell>
          <cell r="E308">
            <v>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</row>
        <row r="309">
          <cell r="A309">
            <v>292</v>
          </cell>
          <cell r="B309">
            <v>48267</v>
          </cell>
          <cell r="C309">
            <v>0</v>
          </cell>
          <cell r="D309">
            <v>806.38953509186445</v>
          </cell>
          <cell r="E309">
            <v>0</v>
          </cell>
          <cell r="F309">
            <v>0</v>
          </cell>
          <cell r="G309">
            <v>0</v>
          </cell>
          <cell r="H309">
            <v>0</v>
          </cell>
          <cell r="I309">
            <v>0</v>
          </cell>
        </row>
        <row r="310">
          <cell r="A310">
            <v>293</v>
          </cell>
          <cell r="B310">
            <v>48296</v>
          </cell>
          <cell r="C310">
            <v>0</v>
          </cell>
          <cell r="D310">
            <v>806.38953509186445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</row>
        <row r="311">
          <cell r="A311">
            <v>294</v>
          </cell>
          <cell r="B311">
            <v>48327</v>
          </cell>
          <cell r="C311">
            <v>0</v>
          </cell>
          <cell r="D311">
            <v>806.38953509186445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</row>
        <row r="312">
          <cell r="A312">
            <v>295</v>
          </cell>
          <cell r="B312">
            <v>48357</v>
          </cell>
          <cell r="C312">
            <v>0</v>
          </cell>
          <cell r="D312">
            <v>806.38953509186445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  <cell r="I312">
            <v>0</v>
          </cell>
        </row>
        <row r="313">
          <cell r="A313">
            <v>296</v>
          </cell>
          <cell r="B313">
            <v>48388</v>
          </cell>
          <cell r="C313">
            <v>0</v>
          </cell>
          <cell r="D313">
            <v>806.38953509186445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</row>
        <row r="314">
          <cell r="A314">
            <v>297</v>
          </cell>
          <cell r="B314">
            <v>48418</v>
          </cell>
          <cell r="C314">
            <v>0</v>
          </cell>
          <cell r="D314">
            <v>806.38953509186445</v>
          </cell>
          <cell r="E314">
            <v>0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</row>
        <row r="315">
          <cell r="A315">
            <v>298</v>
          </cell>
          <cell r="B315">
            <v>48449</v>
          </cell>
          <cell r="C315">
            <v>0</v>
          </cell>
          <cell r="D315">
            <v>806.38953509186445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</row>
        <row r="316">
          <cell r="A316">
            <v>299</v>
          </cell>
          <cell r="B316">
            <v>48480</v>
          </cell>
          <cell r="C316">
            <v>0</v>
          </cell>
          <cell r="D316">
            <v>806.38953509186445</v>
          </cell>
          <cell r="E316">
            <v>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</row>
        <row r="317">
          <cell r="A317">
            <v>300</v>
          </cell>
          <cell r="B317">
            <v>48510</v>
          </cell>
          <cell r="C317">
            <v>0</v>
          </cell>
          <cell r="D317">
            <v>806.38953509186445</v>
          </cell>
          <cell r="E317">
            <v>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</row>
        <row r="318">
          <cell r="A318">
            <v>301</v>
          </cell>
          <cell r="B318">
            <v>48541</v>
          </cell>
          <cell r="C318">
            <v>0</v>
          </cell>
          <cell r="D318">
            <v>806.38953509186445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</row>
        <row r="319">
          <cell r="A319">
            <v>302</v>
          </cell>
          <cell r="B319">
            <v>48571</v>
          </cell>
          <cell r="C319">
            <v>0</v>
          </cell>
          <cell r="D319">
            <v>806.38953509186445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</row>
        <row r="320">
          <cell r="A320">
            <v>303</v>
          </cell>
          <cell r="B320">
            <v>48602</v>
          </cell>
          <cell r="C320">
            <v>0</v>
          </cell>
          <cell r="D320">
            <v>806.38953509186445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</row>
        <row r="321">
          <cell r="A321">
            <v>304</v>
          </cell>
          <cell r="B321">
            <v>48633</v>
          </cell>
          <cell r="C321">
            <v>0</v>
          </cell>
          <cell r="D321">
            <v>806.38953509186445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</row>
        <row r="322">
          <cell r="A322">
            <v>305</v>
          </cell>
          <cell r="B322">
            <v>48661</v>
          </cell>
          <cell r="C322">
            <v>0</v>
          </cell>
          <cell r="D322">
            <v>806.38953509186445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</row>
        <row r="323">
          <cell r="A323">
            <v>306</v>
          </cell>
          <cell r="B323">
            <v>48692</v>
          </cell>
          <cell r="C323">
            <v>0</v>
          </cell>
          <cell r="D323">
            <v>806.38953509186445</v>
          </cell>
          <cell r="E323">
            <v>0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</row>
        <row r="324">
          <cell r="A324">
            <v>307</v>
          </cell>
          <cell r="B324">
            <v>48722</v>
          </cell>
          <cell r="C324">
            <v>0</v>
          </cell>
          <cell r="D324">
            <v>806.38953509186445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</row>
        <row r="325">
          <cell r="A325">
            <v>308</v>
          </cell>
          <cell r="B325">
            <v>48753</v>
          </cell>
          <cell r="C325">
            <v>0</v>
          </cell>
          <cell r="D325">
            <v>806.38953509186445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</row>
        <row r="326">
          <cell r="A326">
            <v>309</v>
          </cell>
          <cell r="B326">
            <v>48783</v>
          </cell>
          <cell r="C326">
            <v>0</v>
          </cell>
          <cell r="D326">
            <v>806.38953509186445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</row>
        <row r="327">
          <cell r="A327">
            <v>310</v>
          </cell>
          <cell r="B327">
            <v>48814</v>
          </cell>
          <cell r="C327">
            <v>0</v>
          </cell>
          <cell r="D327">
            <v>806.38953509186445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</row>
        <row r="328">
          <cell r="A328">
            <v>311</v>
          </cell>
          <cell r="B328">
            <v>48845</v>
          </cell>
          <cell r="C328">
            <v>0</v>
          </cell>
          <cell r="D328">
            <v>806.38953509186445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</row>
        <row r="329">
          <cell r="A329">
            <v>312</v>
          </cell>
          <cell r="B329">
            <v>48875</v>
          </cell>
          <cell r="C329">
            <v>0</v>
          </cell>
          <cell r="D329">
            <v>806.38953509186445</v>
          </cell>
          <cell r="E329">
            <v>0</v>
          </cell>
          <cell r="F329">
            <v>0</v>
          </cell>
          <cell r="G329">
            <v>0</v>
          </cell>
          <cell r="H329">
            <v>0</v>
          </cell>
          <cell r="I329">
            <v>0</v>
          </cell>
        </row>
        <row r="330">
          <cell r="A330">
            <v>313</v>
          </cell>
          <cell r="B330">
            <v>48906</v>
          </cell>
          <cell r="C330">
            <v>0</v>
          </cell>
          <cell r="D330">
            <v>806.38953509186445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  <cell r="I330">
            <v>0</v>
          </cell>
        </row>
        <row r="331">
          <cell r="A331">
            <v>314</v>
          </cell>
          <cell r="B331">
            <v>48936</v>
          </cell>
          <cell r="C331">
            <v>0</v>
          </cell>
          <cell r="D331">
            <v>806.38953509186445</v>
          </cell>
          <cell r="E331">
            <v>0</v>
          </cell>
          <cell r="F331">
            <v>0</v>
          </cell>
          <cell r="G331">
            <v>0</v>
          </cell>
          <cell r="H331">
            <v>0</v>
          </cell>
          <cell r="I331">
            <v>0</v>
          </cell>
        </row>
        <row r="332">
          <cell r="A332">
            <v>315</v>
          </cell>
          <cell r="B332">
            <v>48967</v>
          </cell>
          <cell r="C332">
            <v>0</v>
          </cell>
          <cell r="D332">
            <v>806.38953509186445</v>
          </cell>
          <cell r="E332">
            <v>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</row>
        <row r="333">
          <cell r="A333">
            <v>316</v>
          </cell>
          <cell r="B333">
            <v>48998</v>
          </cell>
          <cell r="C333">
            <v>0</v>
          </cell>
          <cell r="D333">
            <v>806.38953509186445</v>
          </cell>
          <cell r="E333">
            <v>0</v>
          </cell>
          <cell r="F333">
            <v>0</v>
          </cell>
          <cell r="G333">
            <v>0</v>
          </cell>
          <cell r="H333">
            <v>0</v>
          </cell>
          <cell r="I333">
            <v>0</v>
          </cell>
        </row>
        <row r="334">
          <cell r="A334">
            <v>317</v>
          </cell>
          <cell r="B334">
            <v>49026</v>
          </cell>
          <cell r="C334">
            <v>0</v>
          </cell>
          <cell r="D334">
            <v>806.38953509186445</v>
          </cell>
          <cell r="E334">
            <v>0</v>
          </cell>
          <cell r="F334">
            <v>0</v>
          </cell>
          <cell r="G334">
            <v>0</v>
          </cell>
          <cell r="H334">
            <v>0</v>
          </cell>
          <cell r="I334">
            <v>0</v>
          </cell>
        </row>
        <row r="335">
          <cell r="A335">
            <v>318</v>
          </cell>
          <cell r="B335">
            <v>49057</v>
          </cell>
          <cell r="C335">
            <v>0</v>
          </cell>
          <cell r="D335">
            <v>806.38953509186445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  <cell r="I335">
            <v>0</v>
          </cell>
        </row>
        <row r="336">
          <cell r="A336">
            <v>319</v>
          </cell>
          <cell r="B336">
            <v>49087</v>
          </cell>
          <cell r="C336">
            <v>0</v>
          </cell>
          <cell r="D336">
            <v>806.38953509186445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  <cell r="I336">
            <v>0</v>
          </cell>
        </row>
        <row r="337">
          <cell r="A337">
            <v>320</v>
          </cell>
          <cell r="B337">
            <v>49118</v>
          </cell>
          <cell r="C337">
            <v>0</v>
          </cell>
          <cell r="D337">
            <v>806.38953509186445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  <cell r="I337">
            <v>0</v>
          </cell>
        </row>
        <row r="338">
          <cell r="A338">
            <v>321</v>
          </cell>
          <cell r="B338">
            <v>49148</v>
          </cell>
          <cell r="C338">
            <v>0</v>
          </cell>
          <cell r="D338">
            <v>806.38953509186445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  <cell r="I338">
            <v>0</v>
          </cell>
        </row>
        <row r="339">
          <cell r="A339">
            <v>322</v>
          </cell>
          <cell r="B339">
            <v>49179</v>
          </cell>
          <cell r="C339">
            <v>0</v>
          </cell>
          <cell r="D339">
            <v>806.38953509186445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</row>
        <row r="340">
          <cell r="A340">
            <v>323</v>
          </cell>
          <cell r="B340">
            <v>49210</v>
          </cell>
          <cell r="C340">
            <v>0</v>
          </cell>
          <cell r="D340">
            <v>806.38953509186445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  <cell r="I340">
            <v>0</v>
          </cell>
        </row>
        <row r="341">
          <cell r="A341">
            <v>324</v>
          </cell>
          <cell r="B341">
            <v>49240</v>
          </cell>
          <cell r="C341">
            <v>0</v>
          </cell>
          <cell r="D341">
            <v>806.38953509186445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  <cell r="I341">
            <v>0</v>
          </cell>
        </row>
        <row r="342">
          <cell r="A342">
            <v>325</v>
          </cell>
          <cell r="B342">
            <v>49271</v>
          </cell>
          <cell r="C342">
            <v>0</v>
          </cell>
          <cell r="D342">
            <v>806.38953509186445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  <cell r="I342">
            <v>0</v>
          </cell>
        </row>
        <row r="343">
          <cell r="A343">
            <v>326</v>
          </cell>
          <cell r="B343">
            <v>49301</v>
          </cell>
          <cell r="C343">
            <v>0</v>
          </cell>
          <cell r="D343">
            <v>806.38953509186445</v>
          </cell>
          <cell r="E343">
            <v>0</v>
          </cell>
          <cell r="F343">
            <v>0</v>
          </cell>
          <cell r="G343">
            <v>0</v>
          </cell>
          <cell r="H343">
            <v>0</v>
          </cell>
          <cell r="I343">
            <v>0</v>
          </cell>
        </row>
        <row r="344">
          <cell r="A344">
            <v>327</v>
          </cell>
          <cell r="B344">
            <v>49332</v>
          </cell>
          <cell r="C344">
            <v>0</v>
          </cell>
          <cell r="D344">
            <v>806.38953509186445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  <cell r="I344">
            <v>0</v>
          </cell>
        </row>
        <row r="345">
          <cell r="A345">
            <v>328</v>
          </cell>
          <cell r="B345">
            <v>49363</v>
          </cell>
          <cell r="C345">
            <v>0</v>
          </cell>
          <cell r="D345">
            <v>806.38953509186445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  <cell r="I345">
            <v>0</v>
          </cell>
        </row>
        <row r="346">
          <cell r="A346">
            <v>329</v>
          </cell>
          <cell r="B346">
            <v>49391</v>
          </cell>
          <cell r="C346">
            <v>0</v>
          </cell>
          <cell r="D346">
            <v>806.38953509186445</v>
          </cell>
          <cell r="E346">
            <v>0</v>
          </cell>
          <cell r="F346">
            <v>0</v>
          </cell>
          <cell r="G346">
            <v>0</v>
          </cell>
          <cell r="H346">
            <v>0</v>
          </cell>
          <cell r="I346">
            <v>0</v>
          </cell>
        </row>
        <row r="347">
          <cell r="A347">
            <v>330</v>
          </cell>
          <cell r="B347">
            <v>49422</v>
          </cell>
          <cell r="C347">
            <v>0</v>
          </cell>
          <cell r="D347">
            <v>806.38953509186445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  <cell r="I347">
            <v>0</v>
          </cell>
        </row>
        <row r="348">
          <cell r="A348">
            <v>331</v>
          </cell>
          <cell r="B348">
            <v>49452</v>
          </cell>
          <cell r="C348">
            <v>0</v>
          </cell>
          <cell r="D348">
            <v>806.38953509186445</v>
          </cell>
          <cell r="E348">
            <v>0</v>
          </cell>
          <cell r="F348">
            <v>0</v>
          </cell>
          <cell r="G348">
            <v>0</v>
          </cell>
          <cell r="H348">
            <v>0</v>
          </cell>
          <cell r="I348">
            <v>0</v>
          </cell>
        </row>
        <row r="349">
          <cell r="A349">
            <v>332</v>
          </cell>
          <cell r="B349">
            <v>49483</v>
          </cell>
          <cell r="C349">
            <v>0</v>
          </cell>
          <cell r="D349">
            <v>806.38953509186445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  <cell r="I349">
            <v>0</v>
          </cell>
        </row>
        <row r="350">
          <cell r="A350">
            <v>333</v>
          </cell>
          <cell r="B350">
            <v>49513</v>
          </cell>
          <cell r="C350">
            <v>0</v>
          </cell>
          <cell r="D350">
            <v>806.38953509186445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  <cell r="I350">
            <v>0</v>
          </cell>
        </row>
        <row r="351">
          <cell r="A351">
            <v>334</v>
          </cell>
          <cell r="B351">
            <v>49544</v>
          </cell>
          <cell r="C351">
            <v>0</v>
          </cell>
          <cell r="D351">
            <v>806.38953509186445</v>
          </cell>
          <cell r="E351">
            <v>0</v>
          </cell>
          <cell r="F351">
            <v>0</v>
          </cell>
          <cell r="G351">
            <v>0</v>
          </cell>
          <cell r="H351">
            <v>0</v>
          </cell>
          <cell r="I351">
            <v>0</v>
          </cell>
        </row>
        <row r="352">
          <cell r="A352">
            <v>335</v>
          </cell>
          <cell r="B352">
            <v>49575</v>
          </cell>
          <cell r="C352">
            <v>0</v>
          </cell>
          <cell r="D352">
            <v>806.38953509186445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  <cell r="I352">
            <v>0</v>
          </cell>
        </row>
        <row r="353">
          <cell r="A353">
            <v>336</v>
          </cell>
          <cell r="B353">
            <v>49605</v>
          </cell>
          <cell r="C353">
            <v>0</v>
          </cell>
          <cell r="D353">
            <v>806.38953509186445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  <cell r="I353">
            <v>0</v>
          </cell>
        </row>
        <row r="354">
          <cell r="A354">
            <v>337</v>
          </cell>
          <cell r="B354">
            <v>49636</v>
          </cell>
          <cell r="C354">
            <v>0</v>
          </cell>
          <cell r="D354">
            <v>806.38953509186445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  <cell r="I354">
            <v>0</v>
          </cell>
        </row>
        <row r="355">
          <cell r="A355">
            <v>338</v>
          </cell>
          <cell r="B355">
            <v>49666</v>
          </cell>
          <cell r="C355">
            <v>0</v>
          </cell>
          <cell r="D355">
            <v>806.38953509186445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  <cell r="I355">
            <v>0</v>
          </cell>
        </row>
        <row r="356">
          <cell r="A356">
            <v>339</v>
          </cell>
          <cell r="B356">
            <v>49697</v>
          </cell>
          <cell r="C356">
            <v>0</v>
          </cell>
          <cell r="D356">
            <v>806.38953509186445</v>
          </cell>
          <cell r="E356">
            <v>0</v>
          </cell>
          <cell r="F356">
            <v>0</v>
          </cell>
          <cell r="G356">
            <v>0</v>
          </cell>
          <cell r="H356">
            <v>0</v>
          </cell>
          <cell r="I356">
            <v>0</v>
          </cell>
        </row>
        <row r="357">
          <cell r="A357">
            <v>340</v>
          </cell>
          <cell r="B357">
            <v>49728</v>
          </cell>
          <cell r="C357">
            <v>0</v>
          </cell>
          <cell r="D357">
            <v>806.38953509186445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</row>
        <row r="358">
          <cell r="A358">
            <v>341</v>
          </cell>
          <cell r="B358">
            <v>49757</v>
          </cell>
          <cell r="C358">
            <v>0</v>
          </cell>
          <cell r="D358">
            <v>806.38953509186445</v>
          </cell>
          <cell r="E358">
            <v>0</v>
          </cell>
          <cell r="F358">
            <v>0</v>
          </cell>
          <cell r="G358">
            <v>0</v>
          </cell>
          <cell r="H358">
            <v>0</v>
          </cell>
          <cell r="I358">
            <v>0</v>
          </cell>
        </row>
        <row r="359">
          <cell r="A359">
            <v>342</v>
          </cell>
          <cell r="B359">
            <v>49788</v>
          </cell>
          <cell r="C359">
            <v>0</v>
          </cell>
          <cell r="D359">
            <v>806.38953509186445</v>
          </cell>
          <cell r="E359">
            <v>0</v>
          </cell>
          <cell r="F359">
            <v>0</v>
          </cell>
          <cell r="G359">
            <v>0</v>
          </cell>
          <cell r="H359">
            <v>0</v>
          </cell>
          <cell r="I359">
            <v>0</v>
          </cell>
        </row>
        <row r="360">
          <cell r="A360">
            <v>343</v>
          </cell>
          <cell r="B360">
            <v>49818</v>
          </cell>
          <cell r="C360">
            <v>0</v>
          </cell>
          <cell r="D360">
            <v>806.38953509186445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</row>
        <row r="361">
          <cell r="A361">
            <v>344</v>
          </cell>
          <cell r="B361">
            <v>49849</v>
          </cell>
          <cell r="C361">
            <v>0</v>
          </cell>
          <cell r="D361">
            <v>806.38953509186445</v>
          </cell>
          <cell r="E361">
            <v>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</row>
        <row r="362">
          <cell r="A362">
            <v>345</v>
          </cell>
          <cell r="B362">
            <v>49879</v>
          </cell>
          <cell r="C362">
            <v>0</v>
          </cell>
          <cell r="D362">
            <v>806.38953509186445</v>
          </cell>
          <cell r="E362">
            <v>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</row>
        <row r="363">
          <cell r="A363">
            <v>346</v>
          </cell>
          <cell r="B363">
            <v>49910</v>
          </cell>
          <cell r="C363">
            <v>0</v>
          </cell>
          <cell r="D363">
            <v>806.38953509186445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  <cell r="I363">
            <v>0</v>
          </cell>
        </row>
        <row r="364">
          <cell r="A364">
            <v>347</v>
          </cell>
          <cell r="B364">
            <v>49941</v>
          </cell>
          <cell r="C364">
            <v>0</v>
          </cell>
          <cell r="D364">
            <v>806.38953509186445</v>
          </cell>
          <cell r="E364">
            <v>0</v>
          </cell>
          <cell r="F364">
            <v>0</v>
          </cell>
          <cell r="G364">
            <v>0</v>
          </cell>
          <cell r="H364">
            <v>0</v>
          </cell>
          <cell r="I364">
            <v>0</v>
          </cell>
        </row>
        <row r="365">
          <cell r="A365">
            <v>348</v>
          </cell>
          <cell r="B365">
            <v>49971</v>
          </cell>
          <cell r="C365">
            <v>0</v>
          </cell>
          <cell r="D365">
            <v>806.38953509186445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</row>
        <row r="366">
          <cell r="A366">
            <v>349</v>
          </cell>
          <cell r="B366">
            <v>50002</v>
          </cell>
          <cell r="C366">
            <v>0</v>
          </cell>
          <cell r="D366">
            <v>806.38953509186445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</row>
        <row r="367">
          <cell r="A367">
            <v>350</v>
          </cell>
          <cell r="B367">
            <v>50032</v>
          </cell>
          <cell r="C367">
            <v>0</v>
          </cell>
          <cell r="D367">
            <v>806.38953509186445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</row>
        <row r="368">
          <cell r="A368">
            <v>351</v>
          </cell>
          <cell r="B368">
            <v>50063</v>
          </cell>
          <cell r="C368">
            <v>0</v>
          </cell>
          <cell r="D368">
            <v>806.38953509186445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</row>
        <row r="369">
          <cell r="A369">
            <v>352</v>
          </cell>
          <cell r="B369">
            <v>50094</v>
          </cell>
          <cell r="C369">
            <v>0</v>
          </cell>
          <cell r="D369">
            <v>806.38953509186445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</row>
        <row r="370">
          <cell r="A370">
            <v>353</v>
          </cell>
          <cell r="B370">
            <v>50122</v>
          </cell>
          <cell r="C370">
            <v>0</v>
          </cell>
          <cell r="D370">
            <v>806.38953509186445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</row>
        <row r="371">
          <cell r="A371">
            <v>354</v>
          </cell>
          <cell r="B371">
            <v>50153</v>
          </cell>
          <cell r="C371">
            <v>0</v>
          </cell>
          <cell r="D371">
            <v>806.38953509186445</v>
          </cell>
          <cell r="E371">
            <v>0</v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</row>
        <row r="372">
          <cell r="A372">
            <v>355</v>
          </cell>
          <cell r="B372">
            <v>50183</v>
          </cell>
          <cell r="C372">
            <v>0</v>
          </cell>
          <cell r="D372">
            <v>806.38953509186445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</row>
        <row r="373">
          <cell r="A373">
            <v>356</v>
          </cell>
          <cell r="B373">
            <v>50214</v>
          </cell>
          <cell r="C373">
            <v>0</v>
          </cell>
          <cell r="D373">
            <v>806.38953509186445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</row>
        <row r="374">
          <cell r="A374">
            <v>357</v>
          </cell>
          <cell r="B374">
            <v>50244</v>
          </cell>
          <cell r="C374">
            <v>0</v>
          </cell>
          <cell r="D374">
            <v>806.38953509186445</v>
          </cell>
          <cell r="E374">
            <v>0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</row>
        <row r="375">
          <cell r="A375">
            <v>358</v>
          </cell>
          <cell r="B375">
            <v>50275</v>
          </cell>
          <cell r="C375">
            <v>0</v>
          </cell>
          <cell r="D375">
            <v>806.38953509186445</v>
          </cell>
          <cell r="E375">
            <v>0</v>
          </cell>
          <cell r="F375">
            <v>0</v>
          </cell>
          <cell r="G375">
            <v>0</v>
          </cell>
          <cell r="H375">
            <v>0</v>
          </cell>
          <cell r="I375">
            <v>0</v>
          </cell>
        </row>
        <row r="376">
          <cell r="A376">
            <v>359</v>
          </cell>
          <cell r="B376">
            <v>50306</v>
          </cell>
          <cell r="C376">
            <v>0</v>
          </cell>
          <cell r="D376">
            <v>806.38953509186445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  <cell r="I376">
            <v>0</v>
          </cell>
        </row>
        <row r="377">
          <cell r="A377">
            <v>360</v>
          </cell>
          <cell r="B377">
            <v>50336</v>
          </cell>
          <cell r="C377">
            <v>0</v>
          </cell>
          <cell r="D377">
            <v>806.38953509186445</v>
          </cell>
          <cell r="E377">
            <v>0</v>
          </cell>
          <cell r="F377">
            <v>0</v>
          </cell>
          <cell r="G377">
            <v>0</v>
          </cell>
          <cell r="H377">
            <v>0</v>
          </cell>
          <cell r="I377">
            <v>0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menu"/>
      <sheetName val="blank workpaper"/>
      <sheetName val="Formation Costs"/>
      <sheetName val="GST Rec"/>
      <sheetName val="Blank"/>
      <sheetName val="Black hole"/>
      <sheetName val="Mgt Rights Tax Split"/>
      <sheetName val="Queries"/>
      <sheetName val="Mgt Disc Points"/>
      <sheetName val="BSA calcs"/>
      <sheetName val="Budget"/>
      <sheetName val="borrowing"/>
      <sheetName val="Journal"/>
      <sheetName val="private use"/>
      <sheetName val="Rental"/>
      <sheetName val="Service Entities"/>
      <sheetName val="Tax Rec"/>
      <sheetName val="Div 7A"/>
      <sheetName val="Div 7A Daily"/>
      <sheetName val="FBT Combined"/>
    </sheetNames>
    <sheetDataSet>
      <sheetData sheetId="0"/>
      <sheetData sheetId="1">
        <row r="3">
          <cell r="E3">
            <v>40724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ter"/>
      <sheetName val="P&amp;L Report"/>
      <sheetName val="P&amp;L_Report"/>
    </sheetNames>
    <sheetDataSet>
      <sheetData sheetId="0">
        <row r="3">
          <cell r="B3" t="str">
            <v>2007/012</v>
          </cell>
        </row>
        <row r="8">
          <cell r="B8" t="str">
            <v>2007/001</v>
          </cell>
        </row>
      </sheetData>
      <sheetData sheetId="1" refreshError="1"/>
      <sheetData sheetId="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me"/>
      <sheetName val="Index of Workpapers"/>
      <sheetName val="Queries"/>
      <sheetName val="Review Points"/>
      <sheetName val="Financial Statements"/>
      <sheetName val="Tax Returns"/>
      <sheetName val="Balance Sheet"/>
      <sheetName val="Profit &amp; Loss"/>
      <sheetName val="Results Comparison"/>
      <sheetName val="Tax Calculation - Company"/>
      <sheetName val="Tax Calcu"/>
      <sheetName val="Tax Calc - Trust Streaming"/>
      <sheetName val="Trust &amp; Beneficiary Data"/>
      <sheetName val="Distribution Statement-Template"/>
      <sheetName val="BRC"/>
      <sheetName val="BLC"/>
      <sheetName val="TDE"/>
      <sheetName val="TCR"/>
      <sheetName val="Prepayments"/>
      <sheetName val="BCN"/>
      <sheetName val="FCO"/>
      <sheetName val="Investment Register"/>
      <sheetName val="HIN SRN Register"/>
      <sheetName val="MLC Wrap Account Rec"/>
      <sheetName val="Other Wrap Account Rec"/>
      <sheetName val="Netwealth Rec "/>
      <sheetName val="ALEX Rec"/>
      <sheetName val="Trade Creditors "/>
      <sheetName val="TFN Report Log"/>
      <sheetName val="DLL"/>
      <sheetName val="Div 7A Client Info"/>
      <sheetName val="Div 7A Summary"/>
      <sheetName val="Lookup Details"/>
      <sheetName val="Loan 20XX"/>
      <sheetName val="GST Rec - Accruals"/>
      <sheetName val="GRCC"/>
      <sheetName val="LSC"/>
      <sheetName val="HPSA"/>
      <sheetName val="ECE"/>
      <sheetName val="RSS"/>
      <sheetName val="IRN"/>
      <sheetName val="CG"/>
      <sheetName val="Capital Gain - Property "/>
      <sheetName val="Salary Rec"/>
      <sheetName val="Dividend Data"/>
      <sheetName val="Dividend Statement 1"/>
      <sheetName val="Dividend Statement 2"/>
      <sheetName val="Dividend Statement 3"/>
      <sheetName val="PT"/>
      <sheetName val="ACT"/>
      <sheetName val="Tax Distributions Received"/>
      <sheetName val="Instructions - Year End Journal"/>
      <sheetName val="Client Information"/>
      <sheetName val="Client TB"/>
      <sheetName val="Altus - YE JNL"/>
      <sheetName val="Coded Movement 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>
        <row r="26">
          <cell r="A26" t="str">
            <v>Unsecured</v>
          </cell>
        </row>
        <row r="27">
          <cell r="A27" t="str">
            <v>Secured</v>
          </cell>
        </row>
      </sheetData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yroll Tax"/>
      <sheetName val="Data"/>
      <sheetName val="Amortization Table"/>
      <sheetName val="WP Index"/>
    </sheetNames>
    <sheetDataSet>
      <sheetData sheetId="0">
        <row r="44">
          <cell r="A44" t="str">
            <v>NSW</v>
          </cell>
        </row>
        <row r="45">
          <cell r="A45" t="str">
            <v>QLD</v>
          </cell>
        </row>
        <row r="46">
          <cell r="A46" t="str">
            <v>VIC</v>
          </cell>
        </row>
      </sheetData>
      <sheetData sheetId="1"/>
      <sheetData sheetId="2" refreshError="1"/>
      <sheetData sheetId="3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 Info"/>
      <sheetName val="ChangeHistory"/>
      <sheetName val="WP Index"/>
      <sheetName val="Standard Rates"/>
      <sheetName val="Standard Thresholds"/>
      <sheetName val="Tax Rec"/>
      <sheetName val="Journals (1 page)"/>
      <sheetName val="SBE Worksheet"/>
      <sheetName val="Dist - Non Averaging"/>
      <sheetName val="Dist - Averaging"/>
      <sheetName val="Drought Write-Off (s385-105)"/>
      <sheetName val="Drought Write-Off (s385-110)"/>
      <sheetName val="Entrepeneurs"/>
      <sheetName val="Investment Allowance"/>
      <sheetName val="Debtors"/>
      <sheetName val="Bank Rec"/>
      <sheetName val="Prepayments"/>
      <sheetName val="Livestock"/>
      <sheetName val="Commercial Bill Pre"/>
      <sheetName val="Trading Stock"/>
      <sheetName val="Borrowing Costs"/>
      <sheetName val="Blackhole Expenses"/>
      <sheetName val="Low Value Pool"/>
      <sheetName val="Capital Asset Schedule"/>
      <sheetName val="Building Write-Off"/>
      <sheetName val="Water Improvements Write-Off"/>
      <sheetName val="Mains Electricity Write-Off"/>
      <sheetName val="Div7A Loan"/>
      <sheetName val="Sale or Purch Business"/>
      <sheetName val="Creditors"/>
      <sheetName val="AWB Loans"/>
      <sheetName val="GST Rec"/>
      <sheetName val="Interest Calc"/>
      <sheetName val="Loan Schedule"/>
      <sheetName val="HP Summary"/>
      <sheetName val="Inter Entity Loans"/>
      <sheetName val="Interest Deduct"/>
      <sheetName val="Farm Income Split"/>
      <sheetName val="Inv Income"/>
      <sheetName val="Dividend Summary"/>
      <sheetName val="Rental"/>
      <sheetName val="Pvt Use"/>
      <sheetName val="Motor Vec WP"/>
      <sheetName val="Car FBT"/>
      <sheetName val="Wages Reconciliation"/>
      <sheetName val="Total Debt"/>
      <sheetName val="FMD's"/>
      <sheetName val="Template Workpaper"/>
      <sheetName val="Amortization Table"/>
      <sheetName val="Payroll Tax"/>
      <sheetName val="S Trader ITR only Business "/>
    </sheetNames>
    <sheetDataSet>
      <sheetData sheetId="0"/>
      <sheetData sheetId="1"/>
      <sheetData sheetId="2">
        <row r="26">
          <cell r="E26" t="str">
            <v>Livestock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82582-463A-4C21-9458-8AA577FD0F37}">
  <dimension ref="A6:E55"/>
  <sheetViews>
    <sheetView tabSelected="1" topLeftCell="A11" workbookViewId="0">
      <selection activeCell="F21" sqref="F21"/>
    </sheetView>
  </sheetViews>
  <sheetFormatPr defaultColWidth="9.109375" defaultRowHeight="14.4" x14ac:dyDescent="0.3"/>
  <cols>
    <col min="1" max="1" width="35.5546875" style="9" customWidth="1"/>
    <col min="2" max="3" width="12.6640625" style="2" customWidth="1"/>
    <col min="4" max="4" width="13.44140625" style="2" customWidth="1"/>
    <col min="5" max="5" width="14.44140625" style="2" bestFit="1" customWidth="1"/>
    <col min="6" max="16384" width="9.109375" style="9"/>
  </cols>
  <sheetData>
    <row r="6" spans="1:4" s="2" customFormat="1" x14ac:dyDescent="0.3">
      <c r="A6" s="1" t="s">
        <v>0</v>
      </c>
    </row>
    <row r="7" spans="1:4" s="2" customFormat="1" x14ac:dyDescent="0.3">
      <c r="A7" s="3"/>
    </row>
    <row r="8" spans="1:4" s="2" customFormat="1" x14ac:dyDescent="0.3">
      <c r="A8" s="4" t="s">
        <v>1</v>
      </c>
    </row>
    <row r="12" spans="1:4" s="2" customFormat="1" x14ac:dyDescent="0.3">
      <c r="A12" s="3" t="s">
        <v>2</v>
      </c>
    </row>
    <row r="13" spans="1:4" s="5" customFormat="1" x14ac:dyDescent="0.3">
      <c r="A13" s="3"/>
      <c r="B13" s="2"/>
      <c r="C13" s="2"/>
      <c r="D13" s="2"/>
    </row>
    <row r="14" spans="1:4" s="8" customFormat="1" x14ac:dyDescent="0.3">
      <c r="A14" s="6"/>
      <c r="B14" s="7" t="s">
        <v>3</v>
      </c>
      <c r="C14" s="7" t="s">
        <v>4</v>
      </c>
      <c r="D14" s="7" t="s">
        <v>5</v>
      </c>
    </row>
    <row r="16" spans="1:4" s="2" customFormat="1" x14ac:dyDescent="0.3">
      <c r="A16" s="9" t="s">
        <v>6</v>
      </c>
      <c r="B16" s="10">
        <v>1319</v>
      </c>
      <c r="C16" s="10"/>
      <c r="D16" s="10">
        <f>SUM(B16:C16)</f>
        <v>1319</v>
      </c>
    </row>
    <row r="17" spans="1:5" x14ac:dyDescent="0.3">
      <c r="A17" s="9" t="s">
        <v>7</v>
      </c>
      <c r="B17" s="10"/>
      <c r="C17" s="10"/>
      <c r="D17" s="10">
        <f t="shared" ref="D17:D19" si="0">SUM(B17:C17)</f>
        <v>0</v>
      </c>
    </row>
    <row r="18" spans="1:5" x14ac:dyDescent="0.3">
      <c r="A18" s="9" t="s">
        <v>8</v>
      </c>
      <c r="B18" s="10"/>
      <c r="C18" s="10"/>
      <c r="D18" s="10">
        <f t="shared" si="0"/>
        <v>0</v>
      </c>
    </row>
    <row r="19" spans="1:5" x14ac:dyDescent="0.3">
      <c r="A19" s="9" t="s">
        <v>9</v>
      </c>
      <c r="B19" s="10"/>
      <c r="C19" s="10"/>
      <c r="D19" s="10">
        <f t="shared" si="0"/>
        <v>0</v>
      </c>
    </row>
    <row r="20" spans="1:5" x14ac:dyDescent="0.3">
      <c r="A20" s="3" t="s">
        <v>10</v>
      </c>
      <c r="B20" s="11">
        <f>SUM(B16:B19)</f>
        <v>1319</v>
      </c>
      <c r="C20" s="11">
        <f>SUM(C16:C19)</f>
        <v>0</v>
      </c>
      <c r="D20" s="11">
        <f>SUM(D16:D19)</f>
        <v>1319</v>
      </c>
    </row>
    <row r="21" spans="1:5" x14ac:dyDescent="0.3">
      <c r="B21" s="12"/>
      <c r="C21" s="12"/>
    </row>
    <row r="22" spans="1:5" x14ac:dyDescent="0.3">
      <c r="A22" s="9" t="s">
        <v>11</v>
      </c>
      <c r="B22" s="13">
        <v>45005</v>
      </c>
      <c r="C22" s="13"/>
    </row>
    <row r="23" spans="1:5" x14ac:dyDescent="0.3">
      <c r="B23" s="13"/>
      <c r="C23" s="13"/>
    </row>
    <row r="24" spans="1:5" x14ac:dyDescent="0.3">
      <c r="A24" s="9" t="s">
        <v>12</v>
      </c>
      <c r="B24" s="14">
        <v>5</v>
      </c>
      <c r="C24" s="14"/>
    </row>
    <row r="25" spans="1:5" x14ac:dyDescent="0.3">
      <c r="B25" s="15"/>
      <c r="C25" s="15"/>
    </row>
    <row r="26" spans="1:5" x14ac:dyDescent="0.3">
      <c r="A26" s="9" t="s">
        <v>13</v>
      </c>
      <c r="B26" s="13">
        <v>45107</v>
      </c>
      <c r="C26" s="13"/>
    </row>
    <row r="27" spans="1:5" x14ac:dyDescent="0.3">
      <c r="A27" s="3"/>
      <c r="B27" s="16"/>
      <c r="C27" s="16"/>
    </row>
    <row r="29" spans="1:5" s="5" customFormat="1" ht="43.2" x14ac:dyDescent="0.3">
      <c r="A29" s="17" t="s">
        <v>14</v>
      </c>
      <c r="B29" s="18" t="s">
        <v>15</v>
      </c>
      <c r="C29" s="18" t="s">
        <v>15</v>
      </c>
      <c r="D29" s="18" t="s">
        <v>16</v>
      </c>
      <c r="E29" s="18" t="s">
        <v>17</v>
      </c>
    </row>
    <row r="30" spans="1:5" x14ac:dyDescent="0.3">
      <c r="A30" s="19"/>
      <c r="B30" s="8"/>
      <c r="C30" s="8"/>
      <c r="D30" s="8"/>
      <c r="E30" s="8"/>
    </row>
    <row r="31" spans="1:5" x14ac:dyDescent="0.3">
      <c r="A31" s="20">
        <f>YEAR(B26)</f>
        <v>2023</v>
      </c>
      <c r="B31" s="21">
        <f>IF($A31&lt;YEAR(B$26),0,IF($A31=YEAR(B$26),(B$26-B$22+1)/365*B$20/B$24,IF($A31&lt;YEAR(B$26)+B$24,B$20/B$24,IF($A31=YEAR(B$26)+B$24,(365-(B$26-B$22+1))/365*B$20/B$24,0))))</f>
        <v>74.442191780821915</v>
      </c>
      <c r="C31" s="21">
        <f>IF($A31&lt;YEAR(C$26),0,IF($A31=YEAR(C$26),(C$26-C$22+1)/365*C$20/C$24,IF($A31&lt;YEAR(C$26)+C$24,C$20/C$24,IF($A31=YEAR(C$26)+C$24,(365-(C$26-C$22+1))/365*C$20/C$24,0))))</f>
        <v>0</v>
      </c>
      <c r="D31" s="21">
        <f>B31+C31</f>
        <v>74.442191780821915</v>
      </c>
      <c r="E31" s="21">
        <f>$D$20-D31</f>
        <v>1244.557808219178</v>
      </c>
    </row>
    <row r="32" spans="1:5" x14ac:dyDescent="0.3">
      <c r="A32" s="20">
        <f>A31+1</f>
        <v>2024</v>
      </c>
      <c r="B32" s="21">
        <f t="shared" ref="B32:C41" si="1">IF($A32&lt;YEAR(B$26),0,IF($A32=YEAR(B$26),(B$26-B$22+1)/365*B$20/B$24,IF($A32&lt;YEAR(B$26)+B$24,B$20/B$24,IF($A32=YEAR(B$26)+B$24,(365-(B$26-B$22+1))/365*B$20/B$24,0))))</f>
        <v>263.8</v>
      </c>
      <c r="C32" s="21">
        <f t="shared" si="1"/>
        <v>0</v>
      </c>
      <c r="D32" s="21">
        <f>D31+B32+C32</f>
        <v>338.24219178082194</v>
      </c>
      <c r="E32" s="21">
        <f t="shared" ref="E32:E41" si="2">$D$20-D32</f>
        <v>980.75780821917806</v>
      </c>
    </row>
    <row r="33" spans="1:5" x14ac:dyDescent="0.3">
      <c r="A33" s="20">
        <f t="shared" ref="A33:A41" si="3">A32+1</f>
        <v>2025</v>
      </c>
      <c r="B33" s="21">
        <f t="shared" si="1"/>
        <v>263.8</v>
      </c>
      <c r="C33" s="21">
        <f t="shared" si="1"/>
        <v>0</v>
      </c>
      <c r="D33" s="21">
        <f>D32+B33+C33</f>
        <v>602.0421917808219</v>
      </c>
      <c r="E33" s="21">
        <f t="shared" si="2"/>
        <v>716.9578082191781</v>
      </c>
    </row>
    <row r="34" spans="1:5" x14ac:dyDescent="0.3">
      <c r="A34" s="20">
        <f t="shared" si="3"/>
        <v>2026</v>
      </c>
      <c r="B34" s="21">
        <f t="shared" si="1"/>
        <v>263.8</v>
      </c>
      <c r="C34" s="21">
        <f t="shared" si="1"/>
        <v>0</v>
      </c>
      <c r="D34" s="21">
        <f t="shared" ref="D34:D41" si="4">D33+B34+C34</f>
        <v>865.84219178082185</v>
      </c>
      <c r="E34" s="21">
        <f t="shared" si="2"/>
        <v>453.15780821917815</v>
      </c>
    </row>
    <row r="35" spans="1:5" x14ac:dyDescent="0.3">
      <c r="A35" s="20">
        <f t="shared" si="3"/>
        <v>2027</v>
      </c>
      <c r="B35" s="21">
        <f t="shared" si="1"/>
        <v>263.8</v>
      </c>
      <c r="C35" s="21">
        <f t="shared" si="1"/>
        <v>0</v>
      </c>
      <c r="D35" s="21">
        <f t="shared" si="4"/>
        <v>1129.6421917808218</v>
      </c>
      <c r="E35" s="21">
        <f t="shared" si="2"/>
        <v>189.3578082191782</v>
      </c>
    </row>
    <row r="36" spans="1:5" x14ac:dyDescent="0.3">
      <c r="A36" s="20">
        <f t="shared" si="3"/>
        <v>2028</v>
      </c>
      <c r="B36" s="21">
        <f t="shared" si="1"/>
        <v>189.35780821917811</v>
      </c>
      <c r="C36" s="21">
        <f t="shared" si="1"/>
        <v>0</v>
      </c>
      <c r="D36" s="21">
        <f t="shared" si="4"/>
        <v>1319</v>
      </c>
      <c r="E36" s="21">
        <f t="shared" si="2"/>
        <v>0</v>
      </c>
    </row>
    <row r="37" spans="1:5" x14ac:dyDescent="0.3">
      <c r="A37" s="20">
        <f t="shared" si="3"/>
        <v>2029</v>
      </c>
      <c r="B37" s="21">
        <f t="shared" si="1"/>
        <v>0</v>
      </c>
      <c r="C37" s="21">
        <f t="shared" si="1"/>
        <v>0</v>
      </c>
      <c r="D37" s="21">
        <f t="shared" si="4"/>
        <v>1319</v>
      </c>
      <c r="E37" s="21">
        <f t="shared" si="2"/>
        <v>0</v>
      </c>
    </row>
    <row r="38" spans="1:5" x14ac:dyDescent="0.3">
      <c r="A38" s="20">
        <f t="shared" si="3"/>
        <v>2030</v>
      </c>
      <c r="B38" s="21">
        <f t="shared" si="1"/>
        <v>0</v>
      </c>
      <c r="C38" s="21">
        <f t="shared" si="1"/>
        <v>0</v>
      </c>
      <c r="D38" s="21">
        <f t="shared" si="4"/>
        <v>1319</v>
      </c>
      <c r="E38" s="21">
        <f t="shared" si="2"/>
        <v>0</v>
      </c>
    </row>
    <row r="39" spans="1:5" x14ac:dyDescent="0.3">
      <c r="A39" s="20">
        <f t="shared" si="3"/>
        <v>2031</v>
      </c>
      <c r="B39" s="21">
        <f t="shared" si="1"/>
        <v>0</v>
      </c>
      <c r="C39" s="21">
        <f t="shared" si="1"/>
        <v>0</v>
      </c>
      <c r="D39" s="21">
        <f t="shared" si="4"/>
        <v>1319</v>
      </c>
      <c r="E39" s="21">
        <f t="shared" si="2"/>
        <v>0</v>
      </c>
    </row>
    <row r="40" spans="1:5" x14ac:dyDescent="0.3">
      <c r="A40" s="20">
        <f t="shared" si="3"/>
        <v>2032</v>
      </c>
      <c r="B40" s="21">
        <f t="shared" si="1"/>
        <v>0</v>
      </c>
      <c r="C40" s="21">
        <f t="shared" si="1"/>
        <v>0</v>
      </c>
      <c r="D40" s="21">
        <f t="shared" si="4"/>
        <v>1319</v>
      </c>
      <c r="E40" s="21">
        <f t="shared" si="2"/>
        <v>0</v>
      </c>
    </row>
    <row r="41" spans="1:5" x14ac:dyDescent="0.3">
      <c r="A41" s="20">
        <f t="shared" si="3"/>
        <v>2033</v>
      </c>
      <c r="B41" s="21">
        <f t="shared" si="1"/>
        <v>0</v>
      </c>
      <c r="C41" s="21">
        <f t="shared" si="1"/>
        <v>0</v>
      </c>
      <c r="D41" s="21">
        <f t="shared" si="4"/>
        <v>1319</v>
      </c>
      <c r="E41" s="21">
        <f t="shared" si="2"/>
        <v>0</v>
      </c>
    </row>
    <row r="42" spans="1:5" x14ac:dyDescent="0.3">
      <c r="B42" s="21"/>
      <c r="C42" s="21"/>
      <c r="D42" s="21"/>
      <c r="E42" s="21"/>
    </row>
    <row r="43" spans="1:5" ht="15" thickBot="1" x14ac:dyDescent="0.35">
      <c r="B43" s="22">
        <f>SUM(B31:B42)</f>
        <v>1319</v>
      </c>
      <c r="C43" s="22">
        <f>SUM(C31:C42)</f>
        <v>0</v>
      </c>
      <c r="D43" s="21"/>
      <c r="E43" s="21"/>
    </row>
    <row r="44" spans="1:5" ht="15" thickTop="1" x14ac:dyDescent="0.3">
      <c r="B44" s="9"/>
      <c r="C44" s="9"/>
      <c r="D44" s="9"/>
      <c r="E44" s="9"/>
    </row>
    <row r="45" spans="1:5" x14ac:dyDescent="0.3">
      <c r="B45" s="9"/>
      <c r="C45" s="9"/>
      <c r="D45" s="9"/>
      <c r="E45" s="9"/>
    </row>
    <row r="46" spans="1:5" x14ac:dyDescent="0.3">
      <c r="B46" s="9"/>
      <c r="C46" s="9"/>
      <c r="D46" s="9"/>
      <c r="E46" s="9"/>
    </row>
    <row r="47" spans="1:5" x14ac:dyDescent="0.3">
      <c r="A47" s="23"/>
      <c r="B47" s="23"/>
      <c r="C47" s="23"/>
      <c r="D47" s="9"/>
      <c r="E47" s="9"/>
    </row>
    <row r="48" spans="1:5" x14ac:dyDescent="0.3">
      <c r="B48" s="9"/>
      <c r="C48" s="9"/>
      <c r="D48" s="9"/>
      <c r="E48" s="9"/>
    </row>
    <row r="49" s="9" customFormat="1" x14ac:dyDescent="0.3"/>
    <row r="50" s="9" customFormat="1" x14ac:dyDescent="0.3"/>
    <row r="51" s="9" customFormat="1" x14ac:dyDescent="0.3"/>
    <row r="52" s="9" customFormat="1" x14ac:dyDescent="0.3"/>
    <row r="53" s="9" customFormat="1" x14ac:dyDescent="0.3"/>
    <row r="54" s="9" customFormat="1" x14ac:dyDescent="0.3"/>
    <row r="55" s="9" customFormat="1" x14ac:dyDescent="0.3"/>
  </sheetData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BCN - 2023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Gurvinder Singh</dc:creator>
  <cp:lastModifiedBy>Gurvinder Singh</cp:lastModifiedBy>
  <dcterms:created xsi:type="dcterms:W3CDTF">2025-03-12T11:32:18Z</dcterms:created>
  <dcterms:modified xsi:type="dcterms:W3CDTF">2025-03-27T08:59:52Z</dcterms:modified>
</cp:coreProperties>
</file>