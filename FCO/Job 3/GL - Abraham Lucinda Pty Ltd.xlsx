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General Ledger Detail" sheetId="1" r:id="rId1"/>
  </sheets>
  <calcPr calcId="162913"/>
</workbook>
</file>

<file path=xl/sharedStrings.xml><?xml version="1.0" encoding="utf-8"?>
<sst xmlns="http://schemas.openxmlformats.org/spreadsheetml/2006/main" count="45" uniqueCount="45">
  <si>
    <t>General Ledger Detail</t>
  </si>
  <si>
    <t>Abraham Lucinda Pty Ltd</t>
  </si>
  <si>
    <t>For the period 1 July 2022 to 30 June 2023</t>
  </si>
  <si>
    <t>Date</t>
  </si>
  <si>
    <t>Account Code</t>
  </si>
  <si>
    <t>Account Type</t>
  </si>
  <si>
    <t>Source</t>
  </si>
  <si>
    <t>Description</t>
  </si>
  <si>
    <t>Reference</t>
  </si>
  <si>
    <t>Debit</t>
  </si>
  <si>
    <t>Credit</t>
  </si>
  <si>
    <t>Running Balance</t>
  </si>
  <si>
    <t>GST</t>
  </si>
  <si>
    <t>GST Rate</t>
  </si>
  <si>
    <t>GST Rate Name</t>
  </si>
  <si>
    <t>401 - Formation Cost Amortization Expense</t>
  </si>
  <si>
    <t>Opening Balance</t>
  </si>
  <si>
    <t>401</t>
  </si>
  <si>
    <t>Expense</t>
  </si>
  <si>
    <t>Manual Journal</t>
  </si>
  <si>
    <t>2023 Adjustment Journal - To amortize formation cost</t>
  </si>
  <si>
    <t>#5</t>
  </si>
  <si>
    <t>BAS Excluded</t>
  </si>
  <si>
    <t>Total 401 - Formation Cost Amortization Expense</t>
  </si>
  <si>
    <t>Net movement</t>
  </si>
  <si>
    <t>Closing Balance</t>
  </si>
  <si>
    <t>601 - Cash on Hand</t>
  </si>
  <si>
    <t>601</t>
  </si>
  <si>
    <t>Current Asset</t>
  </si>
  <si>
    <t>2023 Adjustment Journal - To record share capital</t>
  </si>
  <si>
    <t>Total 601 - Cash on Hand</t>
  </si>
  <si>
    <t>700 - Formation Cost</t>
  </si>
  <si>
    <t>700</t>
  </si>
  <si>
    <t>Non-current Asset</t>
  </si>
  <si>
    <t>2023 Adjustment Journal - To record accounting Fees</t>
  </si>
  <si>
    <t>Total 700 - Formation Cost</t>
  </si>
  <si>
    <t>900 - Loan Abraham Family Trust (2023)</t>
  </si>
  <si>
    <t>900</t>
  </si>
  <si>
    <t>Non-current Liability</t>
  </si>
  <si>
    <t>Total 900 - Loan Abraham Family Trust (2023)</t>
  </si>
  <si>
    <t>970 - Issued Paid up Capital</t>
  </si>
  <si>
    <t>970</t>
  </si>
  <si>
    <t>Equity</t>
  </si>
  <si>
    <t>Total 970 - Issued Paid up Capital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</si>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</sst>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(#,##0.00)"/>
    <numFmt numFmtId="165" formatCode="dd mmm yyyy"/>
    <numFmt numFmtId="166" formatCode="0.00##\%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5" fillId="0" borderId="0" xfId="0" applyFont="true" applyBorder="true" applyAlignment="true">
      <alignment vertical="center"/>
    </xf>
    <xf numFmtId="0" fontId="0" fillId="0" borderId="0" xfId="0" applyFont="true"/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  <xf numFmtId="165" fontId="0" fillId="0" borderId="0" xfId="0" applyNumberFormat="true" applyFont="true" applyAlignment="true">
      <alignment horizontal="left" vertical="center"/>
    </xf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166" fontId="0" fillId="0" borderId="0" xfId="0" applyNumberFormat="true" applyFont="true" applyAlignment="true">
      <alignment horizontal="right" vertical="center"/>
    </xf>
    <xf numFmtId="0" fontId="6" fillId="0" borderId="3" xfId="0" applyFont="true" applyBorder="true" applyAlignment="true">
      <alignment vertical="center"/>
    </xf>
    <xf numFmtId="164" fontId="6" fillId="0" borderId="3" xfId="0" applyNumberFormat="true" applyFont="true" applyBorder="true" applyAlignment="true">
      <alignment horizontal="right" vertical="center"/>
    </xf>
    <xf numFmtId="165" fontId="0" fillId="0" borderId="3" xfId="0" applyNumberFormat="true" applyFont="true" applyBorder="true" applyAlignment="true">
      <alignment horizontal="left" vertical="center"/>
    </xf>
    <xf numFmtId="0" fontId="0" fillId="0" borderId="3" xfId="0" applyFont="true" applyBorder="true" applyAlignment="true">
      <alignment vertical="center"/>
    </xf>
    <xf numFmtId="164" fontId="0" fillId="0" borderId="3" xfId="0" applyNumberFormat="true" applyFont="true" applyBorder="true" applyAlignment="true">
      <alignment horizontal="right" vertical="center"/>
    </xf>
    <xf numFmtId="166" fontId="0" fillId="0" borderId="3" xfId="0" applyNumberFormat="true" applyFont="true" applyBorder="true" applyAlignment="true">
      <alignment horizontal="right" vertical="center"/>
    </xf>
    <xf numFmtId="0" fontId="6" fillId="2" borderId="2" xfId="0" applyFont="true" applyFill="true" applyBorder="true" applyAlignment="true">
      <alignment vertical="center"/>
    </xf>
    <xf numFmtId="164" fontId="6" fillId="2" borderId="2" xfId="0" applyNumberFormat="true" applyFont="true" applyFill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L43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48.33203125" customWidth="1"/>
    <col min="2" max="2" width="16" customWidth="1"/>
    <col min="3" max="3" width="20.16015625" customWidth="1"/>
    <col min="4" max="4" width="15" customWidth="1"/>
    <col min="5" max="5" width="49.33203125" customWidth="1"/>
    <col min="6" max="6" width="11.66015625" customWidth="1"/>
    <col min="7" max="8" width="9" customWidth="1"/>
    <col min="9" max="9" width="19.33203125" customWidth="1"/>
    <col min="10" max="10" width="6.16015625" customWidth="1"/>
    <col min="11" max="11" width="11.66015625" customWidth="1"/>
    <col min="12" max="12" width="18.332031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ht="14.4" customHeight="true" customFormat="true" s="3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6" t="s">
        <v>14</v>
      </c>
    </row>
    <row r="6" ht="13.35" customHeight="true"/>
    <row r="7" ht="12.1" customHeight="true" customFormat="true" s="5">
      <c r="A7" s="8" t="s">
        <v>15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ht="10.95" customHeight="true" customFormat="true" s="9">
      <c r="A8" s="10" t="s">
        <v>16</v>
      </c>
      <c r="B8" s="10"/>
      <c r="C8" s="10"/>
      <c r="D8" s="10"/>
      <c r="E8" s="10"/>
      <c r="F8" s="10"/>
      <c r="G8" s="11">
        <v>0</v>
      </c>
      <c r="H8" s="11">
        <v>0</v>
      </c>
      <c r="I8" s="11">
        <f ca="1">(G8 - H8)</f>
        <v>0</v>
      </c>
      <c r="J8" s="11">
        <v>0</v>
      </c>
      <c r="K8" s="10"/>
      <c r="L8" s="10"/>
    </row>
    <row r="9" ht="10.95" customHeight="true" customFormat="true" s="9">
      <c r="A9" s="12">
        <v>45107</v>
      </c>
      <c r="B9" s="13" t="s">
        <v>17</v>
      </c>
      <c r="C9" s="13" t="s">
        <v>18</v>
      </c>
      <c r="D9" s="13" t="s">
        <v>19</v>
      </c>
      <c r="E9" s="13" t="s">
        <v>20</v>
      </c>
      <c r="F9" s="13" t="s">
        <v>21</v>
      </c>
      <c r="G9" s="14">
        <v>9.7000</v>
      </c>
      <c r="H9" s="14">
        <v>0</v>
      </c>
      <c r="I9" s="14">
        <f ca="1">((I8 + G9) - H9)</f>
        <v>0</v>
      </c>
      <c r="J9" s="14">
        <v>0</v>
      </c>
      <c r="K9" s="15">
        <v>0</v>
      </c>
      <c r="L9" s="13" t="s">
        <v>22</v>
      </c>
    </row>
    <row r="10" ht="10.95" customHeight="true" customFormat="true" s="9">
      <c r="A10" s="16" t="s">
        <v>23</v>
      </c>
      <c r="B10" s="16"/>
      <c r="C10" s="16"/>
      <c r="D10" s="16"/>
      <c r="E10" s="16"/>
      <c r="F10" s="16"/>
      <c r="G10" s="17">
        <f ca="1">G9</f>
        <v>0</v>
      </c>
      <c r="H10" s="17">
        <f ca="1">H9</f>
        <v>0</v>
      </c>
      <c r="I10" s="17">
        <f ca="1">I9</f>
        <v>0</v>
      </c>
      <c r="J10" s="17">
        <f ca="1">J9</f>
        <v>0</v>
      </c>
      <c r="K10" s="16"/>
      <c r="L10" s="16"/>
    </row>
    <row r="11" ht="10.95" customHeight="true" customFormat="true" s="9">
      <c r="A11" s="16" t="s">
        <v>24</v>
      </c>
      <c r="B11" s="16"/>
      <c r="C11" s="16"/>
      <c r="D11" s="16"/>
      <c r="E11" s="16"/>
      <c r="F11" s="16"/>
      <c r="G11" s="17">
        <v>9.7000</v>
      </c>
      <c r="H11" s="17">
        <v>0</v>
      </c>
      <c r="I11" s="17">
        <v>0</v>
      </c>
      <c r="J11" s="17">
        <v>0</v>
      </c>
      <c r="K11" s="16"/>
      <c r="L11" s="16"/>
    </row>
    <row r="12" ht="10.95" customHeight="true" customFormat="true" s="9">
      <c r="A12" s="10" t="s">
        <v>25</v>
      </c>
      <c r="B12" s="10"/>
      <c r="C12" s="10"/>
      <c r="D12" s="10"/>
      <c r="E12" s="10"/>
      <c r="F12" s="10"/>
      <c r="G12" s="11">
        <v>9.7000</v>
      </c>
      <c r="H12" s="11">
        <v>0</v>
      </c>
      <c r="I12" s="11">
        <f ca="1">I9</f>
        <v>0</v>
      </c>
      <c r="J12" s="11">
        <v>0</v>
      </c>
      <c r="K12" s="10"/>
      <c r="L12" s="10"/>
    </row>
    <row r="13" ht="13.35" customHeight="true"/>
    <row r="14" ht="12.1" customHeight="true" customFormat="true" s="5">
      <c r="A14" s="8" t="s">
        <v>26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ht="10.95" customHeight="true" customFormat="true" s="9">
      <c r="A15" s="10" t="s">
        <v>16</v>
      </c>
      <c r="B15" s="10"/>
      <c r="C15" s="10"/>
      <c r="D15" s="10"/>
      <c r="E15" s="10"/>
      <c r="F15" s="10"/>
      <c r="G15" s="11">
        <v>0</v>
      </c>
      <c r="H15" s="11">
        <v>0</v>
      </c>
      <c r="I15" s="11">
        <f ca="1">(G15 - H15)</f>
        <v>0</v>
      </c>
      <c r="J15" s="11">
        <v>0</v>
      </c>
      <c r="K15" s="10"/>
      <c r="L15" s="10"/>
    </row>
    <row r="16" ht="10.95" customHeight="true" customFormat="true" s="9">
      <c r="A16" s="12">
        <v>45107</v>
      </c>
      <c r="B16" s="13" t="s">
        <v>27</v>
      </c>
      <c r="C16" s="13" t="s">
        <v>28</v>
      </c>
      <c r="D16" s="13" t="s">
        <v>19</v>
      </c>
      <c r="E16" s="13" t="s">
        <v>29</v>
      </c>
      <c r="F16" s="13" t="s">
        <v>21</v>
      </c>
      <c r="G16" s="14">
        <v>100.0000</v>
      </c>
      <c r="H16" s="14">
        <v>0</v>
      </c>
      <c r="I16" s="14">
        <f ca="1">((I15 + G16) - H16)</f>
        <v>0</v>
      </c>
      <c r="J16" s="14">
        <v>0</v>
      </c>
      <c r="K16" s="15">
        <v>0</v>
      </c>
      <c r="L16" s="13" t="s">
        <v>22</v>
      </c>
    </row>
    <row r="17" ht="10.95" customHeight="true" customFormat="true" s="9">
      <c r="A17" s="16" t="s">
        <v>30</v>
      </c>
      <c r="B17" s="16"/>
      <c r="C17" s="16"/>
      <c r="D17" s="16"/>
      <c r="E17" s="16"/>
      <c r="F17" s="16"/>
      <c r="G17" s="17">
        <f ca="1">G16</f>
        <v>0</v>
      </c>
      <c r="H17" s="17">
        <f ca="1">H16</f>
        <v>0</v>
      </c>
      <c r="I17" s="17">
        <f ca="1">I16</f>
        <v>0</v>
      </c>
      <c r="J17" s="17">
        <f ca="1">J16</f>
        <v>0</v>
      </c>
      <c r="K17" s="16"/>
      <c r="L17" s="16"/>
    </row>
    <row r="18" ht="10.95" customHeight="true" customFormat="true" s="9">
      <c r="A18" s="16" t="s">
        <v>24</v>
      </c>
      <c r="B18" s="16"/>
      <c r="C18" s="16"/>
      <c r="D18" s="16"/>
      <c r="E18" s="16"/>
      <c r="F18" s="16"/>
      <c r="G18" s="17">
        <v>100.0000</v>
      </c>
      <c r="H18" s="17">
        <v>0</v>
      </c>
      <c r="I18" s="17">
        <v>0</v>
      </c>
      <c r="J18" s="17">
        <v>0</v>
      </c>
      <c r="K18" s="16"/>
      <c r="L18" s="16"/>
    </row>
    <row r="19" ht="10.95" customHeight="true" customFormat="true" s="9">
      <c r="A19" s="10" t="s">
        <v>25</v>
      </c>
      <c r="B19" s="10"/>
      <c r="C19" s="10"/>
      <c r="D19" s="10"/>
      <c r="E19" s="10"/>
      <c r="F19" s="10"/>
      <c r="G19" s="11">
        <v>100.0000</v>
      </c>
      <c r="H19" s="11">
        <v>0</v>
      </c>
      <c r="I19" s="11">
        <f ca="1">I16</f>
        <v>0</v>
      </c>
      <c r="J19" s="11">
        <v>0</v>
      </c>
      <c r="K19" s="10"/>
      <c r="L19" s="10"/>
    </row>
    <row r="20" ht="13.35" customHeight="true"/>
    <row r="21" ht="12.1" customHeight="true" customFormat="true" s="5">
      <c r="A21" s="8" t="s">
        <v>31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ht="10.95" customHeight="true" customFormat="true" s="9">
      <c r="A22" s="10" t="s">
        <v>16</v>
      </c>
      <c r="B22" s="10"/>
      <c r="C22" s="10"/>
      <c r="D22" s="10"/>
      <c r="E22" s="10"/>
      <c r="F22" s="10"/>
      <c r="G22" s="11">
        <v>0</v>
      </c>
      <c r="H22" s="11">
        <v>0</v>
      </c>
      <c r="I22" s="11">
        <f ca="1">(G22 - H22)</f>
        <v>0</v>
      </c>
      <c r="J22" s="11">
        <v>0</v>
      </c>
      <c r="K22" s="10"/>
      <c r="L22" s="10"/>
    </row>
    <row r="23" ht="10.95" customHeight="true" customFormat="true" s="9">
      <c r="A23" s="12">
        <v>45107</v>
      </c>
      <c r="B23" s="13" t="s">
        <v>32</v>
      </c>
      <c r="C23" s="13" t="s">
        <v>33</v>
      </c>
      <c r="D23" s="13" t="s">
        <v>19</v>
      </c>
      <c r="E23" s="13" t="s">
        <v>34</v>
      </c>
      <c r="F23" s="13" t="s">
        <v>21</v>
      </c>
      <c r="G23" s="14">
        <v>2530.0000</v>
      </c>
      <c r="H23" s="14">
        <v>0</v>
      </c>
      <c r="I23" s="14">
        <f ca="1">((I22 + G23) - H23)</f>
        <v>0</v>
      </c>
      <c r="J23" s="14">
        <v>0</v>
      </c>
      <c r="K23" s="15">
        <v>0</v>
      </c>
      <c r="L23" s="13" t="s">
        <v>22</v>
      </c>
    </row>
    <row r="24" ht="10.95" customHeight="true" customFormat="true" s="9">
      <c r="A24" s="18">
        <v>45107</v>
      </c>
      <c r="B24" s="19" t="s">
        <v>32</v>
      </c>
      <c r="C24" s="19" t="s">
        <v>33</v>
      </c>
      <c r="D24" s="19" t="s">
        <v>19</v>
      </c>
      <c r="E24" s="19" t="s">
        <v>20</v>
      </c>
      <c r="F24" s="19" t="s">
        <v>21</v>
      </c>
      <c r="G24" s="20">
        <v>0</v>
      </c>
      <c r="H24" s="20">
        <v>9.7000</v>
      </c>
      <c r="I24" s="20">
        <f ca="1">((I23 + G24) - H24)</f>
        <v>0</v>
      </c>
      <c r="J24" s="20">
        <v>0</v>
      </c>
      <c r="K24" s="21">
        <v>0</v>
      </c>
      <c r="L24" s="19" t="s">
        <v>22</v>
      </c>
    </row>
    <row r="25" ht="10.95" customHeight="true" customFormat="true" s="9">
      <c r="A25" s="16" t="s">
        <v>35</v>
      </c>
      <c r="B25" s="16"/>
      <c r="C25" s="16"/>
      <c r="D25" s="16"/>
      <c r="E25" s="16"/>
      <c r="F25" s="16"/>
      <c r="G25" s="17">
        <f ca="1">SUM(G23:G24)</f>
        <v>0</v>
      </c>
      <c r="H25" s="17">
        <f ca="1">SUM(H23:H24)</f>
        <v>0</v>
      </c>
      <c r="I25" s="17">
        <f ca="1">I24</f>
        <v>0</v>
      </c>
      <c r="J25" s="17">
        <f ca="1">SUM(J23:J24)</f>
        <v>0</v>
      </c>
      <c r="K25" s="16"/>
      <c r="L25" s="16"/>
    </row>
    <row r="26" ht="10.95" customHeight="true" customFormat="true" s="9">
      <c r="A26" s="16" t="s">
        <v>24</v>
      </c>
      <c r="B26" s="16"/>
      <c r="C26" s="16"/>
      <c r="D26" s="16"/>
      <c r="E26" s="16"/>
      <c r="F26" s="16"/>
      <c r="G26" s="17">
        <v>2520.3000</v>
      </c>
      <c r="H26" s="17">
        <v>0</v>
      </c>
      <c r="I26" s="17">
        <v>0</v>
      </c>
      <c r="J26" s="17">
        <v>0</v>
      </c>
      <c r="K26" s="16"/>
      <c r="L26" s="16"/>
    </row>
    <row r="27" ht="10.95" customHeight="true" customFormat="true" s="9">
      <c r="A27" s="10" t="s">
        <v>25</v>
      </c>
      <c r="B27" s="10"/>
      <c r="C27" s="10"/>
      <c r="D27" s="10"/>
      <c r="E27" s="10"/>
      <c r="F27" s="10"/>
      <c r="G27" s="11">
        <v>2520.3000</v>
      </c>
      <c r="H27" s="11">
        <v>0</v>
      </c>
      <c r="I27" s="11">
        <f ca="1">I24</f>
        <v>0</v>
      </c>
      <c r="J27" s="11">
        <v>0</v>
      </c>
      <c r="K27" s="10"/>
      <c r="L27" s="10"/>
    </row>
    <row r="28" ht="13.35" customHeight="true"/>
    <row r="29" ht="12.1" customHeight="true" customFormat="true" s="5">
      <c r="A29" s="8" t="s">
        <v>36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ht="10.95" customHeight="true" customFormat="true" s="9">
      <c r="A30" s="10" t="s">
        <v>16</v>
      </c>
      <c r="B30" s="10"/>
      <c r="C30" s="10"/>
      <c r="D30" s="10"/>
      <c r="E30" s="10"/>
      <c r="F30" s="10"/>
      <c r="G30" s="11">
        <v>0</v>
      </c>
      <c r="H30" s="11">
        <v>0</v>
      </c>
      <c r="I30" s="11">
        <f ca="1">(G30 - H30)</f>
        <v>0</v>
      </c>
      <c r="J30" s="11">
        <v>0</v>
      </c>
      <c r="K30" s="10"/>
      <c r="L30" s="10"/>
    </row>
    <row r="31" ht="10.95" customHeight="true" customFormat="true" s="9">
      <c r="A31" s="12">
        <v>45107</v>
      </c>
      <c r="B31" s="13" t="s">
        <v>37</v>
      </c>
      <c r="C31" s="13" t="s">
        <v>38</v>
      </c>
      <c r="D31" s="13" t="s">
        <v>19</v>
      </c>
      <c r="E31" s="13" t="s">
        <v>34</v>
      </c>
      <c r="F31" s="13" t="s">
        <v>21</v>
      </c>
      <c r="G31" s="14">
        <v>0</v>
      </c>
      <c r="H31" s="14">
        <v>2530.0000</v>
      </c>
      <c r="I31" s="14">
        <f ca="1">((I30 + G31) - H31)</f>
        <v>0</v>
      </c>
      <c r="J31" s="14">
        <v>0</v>
      </c>
      <c r="K31" s="15">
        <v>0</v>
      </c>
      <c r="L31" s="13" t="s">
        <v>22</v>
      </c>
    </row>
    <row r="32" ht="10.95" customHeight="true" customFormat="true" s="9">
      <c r="A32" s="16" t="s">
        <v>39</v>
      </c>
      <c r="B32" s="16"/>
      <c r="C32" s="16"/>
      <c r="D32" s="16"/>
      <c r="E32" s="16"/>
      <c r="F32" s="16"/>
      <c r="G32" s="17">
        <f ca="1">G31</f>
        <v>0</v>
      </c>
      <c r="H32" s="17">
        <f ca="1">H31</f>
        <v>0</v>
      </c>
      <c r="I32" s="17">
        <f ca="1">I31</f>
        <v>0</v>
      </c>
      <c r="J32" s="17">
        <f ca="1">J31</f>
        <v>0</v>
      </c>
      <c r="K32" s="16"/>
      <c r="L32" s="16"/>
    </row>
    <row r="33" ht="10.95" customHeight="true" customFormat="true" s="9">
      <c r="A33" s="16" t="s">
        <v>24</v>
      </c>
      <c r="B33" s="16"/>
      <c r="C33" s="16"/>
      <c r="D33" s="16"/>
      <c r="E33" s="16"/>
      <c r="F33" s="16"/>
      <c r="G33" s="17">
        <v>0</v>
      </c>
      <c r="H33" s="17">
        <v>2530.0000</v>
      </c>
      <c r="I33" s="17">
        <v>0</v>
      </c>
      <c r="J33" s="17">
        <v>0</v>
      </c>
      <c r="K33" s="16"/>
      <c r="L33" s="16"/>
    </row>
    <row r="34" ht="10.95" customHeight="true" customFormat="true" s="9">
      <c r="A34" s="10" t="s">
        <v>25</v>
      </c>
      <c r="B34" s="10"/>
      <c r="C34" s="10"/>
      <c r="D34" s="10"/>
      <c r="E34" s="10"/>
      <c r="F34" s="10"/>
      <c r="G34" s="11">
        <v>0</v>
      </c>
      <c r="H34" s="11">
        <v>2530.0000</v>
      </c>
      <c r="I34" s="11">
        <f ca="1">I31</f>
        <v>0</v>
      </c>
      <c r="J34" s="11">
        <v>0</v>
      </c>
      <c r="K34" s="10"/>
      <c r="L34" s="10"/>
    </row>
    <row r="35" ht="13.35" customHeight="true"/>
    <row r="36" ht="12.1" customHeight="true" customFormat="true" s="5">
      <c r="A36" s="8" t="s">
        <v>40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ht="10.95" customHeight="true" customFormat="true" s="9">
      <c r="A37" s="10" t="s">
        <v>16</v>
      </c>
      <c r="B37" s="10"/>
      <c r="C37" s="10"/>
      <c r="D37" s="10"/>
      <c r="E37" s="10"/>
      <c r="F37" s="10"/>
      <c r="G37" s="11">
        <v>0</v>
      </c>
      <c r="H37" s="11">
        <v>0</v>
      </c>
      <c r="I37" s="11">
        <f ca="1">(G37 - H37)</f>
        <v>0</v>
      </c>
      <c r="J37" s="11">
        <v>0</v>
      </c>
      <c r="K37" s="10"/>
      <c r="L37" s="10"/>
    </row>
    <row r="38" ht="10.95" customHeight="true" customFormat="true" s="9">
      <c r="A38" s="12">
        <v>45107</v>
      </c>
      <c r="B38" s="13" t="s">
        <v>41</v>
      </c>
      <c r="C38" s="13" t="s">
        <v>42</v>
      </c>
      <c r="D38" s="13" t="s">
        <v>19</v>
      </c>
      <c r="E38" s="13" t="s">
        <v>29</v>
      </c>
      <c r="F38" s="13" t="s">
        <v>21</v>
      </c>
      <c r="G38" s="14">
        <v>0</v>
      </c>
      <c r="H38" s="14">
        <v>100.0000</v>
      </c>
      <c r="I38" s="14">
        <f ca="1">((I37 + G38) - H38)</f>
        <v>0</v>
      </c>
      <c r="J38" s="14">
        <v>0</v>
      </c>
      <c r="K38" s="15">
        <v>0</v>
      </c>
      <c r="L38" s="13" t="s">
        <v>22</v>
      </c>
    </row>
    <row r="39" ht="10.95" customHeight="true" customFormat="true" s="9">
      <c r="A39" s="16" t="s">
        <v>43</v>
      </c>
      <c r="B39" s="16"/>
      <c r="C39" s="16"/>
      <c r="D39" s="16"/>
      <c r="E39" s="16"/>
      <c r="F39" s="16"/>
      <c r="G39" s="17">
        <f ca="1">G38</f>
        <v>0</v>
      </c>
      <c r="H39" s="17">
        <f ca="1">H38</f>
        <v>0</v>
      </c>
      <c r="I39" s="17">
        <f ca="1">I38</f>
        <v>0</v>
      </c>
      <c r="J39" s="17">
        <f ca="1">J38</f>
        <v>0</v>
      </c>
      <c r="K39" s="16"/>
      <c r="L39" s="16"/>
    </row>
    <row r="40" ht="10.95" customHeight="true" customFormat="true" s="9">
      <c r="A40" s="16" t="s">
        <v>24</v>
      </c>
      <c r="B40" s="16"/>
      <c r="C40" s="16"/>
      <c r="D40" s="16"/>
      <c r="E40" s="16"/>
      <c r="F40" s="16"/>
      <c r="G40" s="17">
        <v>0</v>
      </c>
      <c r="H40" s="17">
        <v>100.0000</v>
      </c>
      <c r="I40" s="17">
        <v>0</v>
      </c>
      <c r="J40" s="17">
        <v>0</v>
      </c>
      <c r="K40" s="16"/>
      <c r="L40" s="16"/>
    </row>
    <row r="41" ht="10.95" customHeight="true" customFormat="true" s="9">
      <c r="A41" s="10" t="s">
        <v>25</v>
      </c>
      <c r="B41" s="10"/>
      <c r="C41" s="10"/>
      <c r="D41" s="10"/>
      <c r="E41" s="10"/>
      <c r="F41" s="10"/>
      <c r="G41" s="11">
        <v>0</v>
      </c>
      <c r="H41" s="11">
        <v>100.0000</v>
      </c>
      <c r="I41" s="11">
        <f ca="1">I38</f>
        <v>0</v>
      </c>
      <c r="J41" s="11">
        <v>0</v>
      </c>
      <c r="K41" s="10"/>
      <c r="L41" s="10"/>
    </row>
    <row r="42" ht="13.35" customHeight="true"/>
    <row r="43" ht="10.95" customHeight="true" customFormat="true" s="9">
      <c r="A43" s="22" t="s">
        <v>44</v>
      </c>
      <c r="B43" s="22"/>
      <c r="C43" s="22"/>
      <c r="D43" s="22"/>
      <c r="E43" s="22"/>
      <c r="F43" s="22"/>
      <c r="G43" s="23">
        <f ca="1">SUM(G10,G17,G25,G32,G39)</f>
        <v>0</v>
      </c>
      <c r="H43" s="23">
        <f ca="1">SUM(H10,H17,H25,H32,H39)</f>
        <v>0</v>
      </c>
      <c r="I43" s="23">
        <f ca="1">(G43 - H43)</f>
        <v>0</v>
      </c>
      <c r="J43" s="23">
        <f ca="1">SUM(J10,J17,J25,J32,J39)</f>
        <v>0</v>
      </c>
      <c r="K43" s="22"/>
      <c r="L43" s="22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