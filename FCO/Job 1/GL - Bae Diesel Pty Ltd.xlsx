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General Ledger Detail" sheetId="1" r:id="rId1"/>
  </sheets>
  <calcPr calcId="162913"/>
</workbook>
</file>

<file path=xl/sharedStrings.xml><?xml version="1.0" encoding="utf-8"?>
<sst xmlns="http://schemas.openxmlformats.org/spreadsheetml/2006/main" count="222" uniqueCount="222">
  <si>
    <t>General Ledger Detail</t>
  </si>
  <si>
    <t>Bae Diesel Pty Ltd</t>
  </si>
  <si>
    <t>For the period 1 July 2022 to 30 June 2023</t>
  </si>
  <si>
    <t>Date</t>
  </si>
  <si>
    <t>Account Code</t>
  </si>
  <si>
    <t>Account Type</t>
  </si>
  <si>
    <t>Source</t>
  </si>
  <si>
    <t>Description</t>
  </si>
  <si>
    <t>Reference</t>
  </si>
  <si>
    <t>Debit</t>
  </si>
  <si>
    <t>Credit</t>
  </si>
  <si>
    <t>Running Balance</t>
  </si>
  <si>
    <t>GST</t>
  </si>
  <si>
    <t>GST Rate</t>
  </si>
  <si>
    <t>GST Rate Name</t>
  </si>
  <si>
    <t>200 - Trading Revenue</t>
  </si>
  <si>
    <t>Opening Balance</t>
  </si>
  <si>
    <t>200</t>
  </si>
  <si>
    <t>Revenue</t>
  </si>
  <si>
    <t>Receivable Invoice</t>
  </si>
  <si>
    <t>Greens Diesel Service - ANTHILL EX 9021 shutdown repairs,
supplied tooling 28/3/23</t>
  </si>
  <si>
    <t>INV-0003</t>
  </si>
  <si>
    <t>GST on Income</t>
  </si>
  <si>
    <t>Greens Diesel Service - GFM loader repairs 30/3/23 to 31/3/23
supplied tooling.</t>
  </si>
  <si>
    <t>Greens Diesel Service - George fisher mine shutdown on LD38, tooling supplied
1/4/23
2/4/23
3/4/23
4/4/23
5/4/23
13/4/23
14/4/23
15/4/23
16/4/23
17/4/23
18/4/23
19/4/23
27/4/23
28/4/23
29/4/23
30/4/23</t>
  </si>
  <si>
    <t>INV-0004</t>
  </si>
  <si>
    <t>Greens Diesel Service - North line copper on site repairs to 966k, tooling suplied.
11/4/23
12/4/23
21/4/23</t>
  </si>
  <si>
    <t>Greens Diesel Service - Greens diesel clutch and exhaust change out on dual cab cruiser
25/4/23</t>
  </si>
  <si>
    <t>Greens Diesel Service - George fisher mine shut down on 2900G tooling supplied.
1/5/2023 
2/5/2023
3/5/2023
4/5/2023
11/5/2023
13/5/2023
12/5/2023
14/5/2023
15/5/2023
16/5/2023
17/5/2023
25/5/2023
26/5/2023
27/5/2023
28/5/2023
29/5/2023
30/5/2023
31/5/2023</t>
  </si>
  <si>
    <t>INV-0005</t>
  </si>
  <si>
    <t>Greens Diesel Service - EHM mine shut down on 777F tooling supplied.
5/5/2023EHM
6/5/2023EHM
7/5/2023EHM</t>
  </si>
  <si>
    <t>Total 200 - Trading Revenue</t>
  </si>
  <si>
    <t>Net movement</t>
  </si>
  <si>
    <t>Closing Balance</t>
  </si>
  <si>
    <t>270 - Interest Income</t>
  </si>
  <si>
    <t>270</t>
  </si>
  <si>
    <t>Receive Money</t>
  </si>
  <si>
    <t>INTEREST PAID - Interest paid</t>
  </si>
  <si>
    <t>GST Free Income</t>
  </si>
  <si>
    <t>Total 270 - Interest Income</t>
  </si>
  <si>
    <t>400 - Advertising</t>
  </si>
  <si>
    <t>400</t>
  </si>
  <si>
    <t>Expense</t>
  </si>
  <si>
    <t>Spend Money</t>
  </si>
  <si>
    <t>brandon - Purchases</t>
  </si>
  <si>
    <t>GST on Expenses</t>
  </si>
  <si>
    <t>DEBIT CARD PURCHASE GOOGLE*GSUITE BAEDIESE CC GOOGLE.CO AUS - Bae diesel domain</t>
  </si>
  <si>
    <t>Total 400 - Advertising</t>
  </si>
  <si>
    <t>404 - Bank Fees</t>
  </si>
  <si>
    <t>404</t>
  </si>
  <si>
    <t>Ausure Insurance - Bank fee</t>
  </si>
  <si>
    <t>Asure insurance premium</t>
  </si>
  <si>
    <t>GST Free Expenses</t>
  </si>
  <si>
    <t>Manual Journal</t>
  </si>
  <si>
    <t>To recognise insurance expense and premium funding agreement. - Loan Fee</t>
  </si>
  <si>
    <t>#920</t>
  </si>
  <si>
    <t>brandon - Bank fee</t>
  </si>
  <si>
    <t>2023 Adjustment Journal - To reallocate minor variance in wages payable</t>
  </si>
  <si>
    <t>#354</t>
  </si>
  <si>
    <t>BAS Excluded</t>
  </si>
  <si>
    <t>Total 404 - Bank Fees</t>
  </si>
  <si>
    <t>412 - Consulting &amp; Accounting</t>
  </si>
  <si>
    <t>412</t>
  </si>
  <si>
    <t>WITHDRAWAL-OSKO PAYMENT 1133297 Ht Ventures (trekk) Trainning - Xero training</t>
  </si>
  <si>
    <t>WITHDRAWAL-OSKO PAYMENT 1133297 Ht Ventures (trekk) Trainning - accounting fee</t>
  </si>
  <si>
    <t>2023 Adjustment Journal - To reallocate Xero subscription</t>
  </si>
  <si>
    <t>Total 412 - Consulting &amp; Accounting</t>
  </si>
  <si>
    <t>422 - Formation Cost Write-Off</t>
  </si>
  <si>
    <t>422</t>
  </si>
  <si>
    <t>Write off formation costs over five years - Write off formation costs over five years</t>
  </si>
  <si>
    <t>#916</t>
  </si>
  <si>
    <t>Total 422 - Formation Cost Write-Off</t>
  </si>
  <si>
    <t>433 - Insurance</t>
  </si>
  <si>
    <t>433</t>
  </si>
  <si>
    <t>To recognise insurance expense and premium funding agreement. - Insurance including GST</t>
  </si>
  <si>
    <t>To recognise insurance expense and premium funding agreement. - Insurance excluding GST</t>
  </si>
  <si>
    <t>To recognise insurance expense and premium funding agreement. - Interest</t>
  </si>
  <si>
    <t>Total 433 - Insurance</t>
  </si>
  <si>
    <t>449 - Motor Vehicle Expenses</t>
  </si>
  <si>
    <t>449</t>
  </si>
  <si>
    <t>DEBIT CARD PURCHASE COLES EXPRESS 1871 MOUNT ISAAUS - Fuel
deductibility to be considered w YE work, possibly claim MV use on ITR?</t>
  </si>
  <si>
    <t>Total 449 - Motor Vehicle Expenses</t>
  </si>
  <si>
    <t>453 - Office, Stationary and Computer Expenses</t>
  </si>
  <si>
    <t>453</t>
  </si>
  <si>
    <t>Tool and tackle - Tooling</t>
  </si>
  <si>
    <t>Total 453 - Office, Stationary and Computer Expenses</t>
  </si>
  <si>
    <t>477 - Salaries &amp; Wages</t>
  </si>
  <si>
    <t>477</t>
  </si>
  <si>
    <t>Payroll Expense</t>
  </si>
  <si>
    <t>Earnings</t>
  </si>
  <si>
    <t>Payroll Expense Journal - PD-1</t>
  </si>
  <si>
    <t>Payroll Expense Journal - PD-2</t>
  </si>
  <si>
    <t>Payroll Expense Journal - PD-3</t>
  </si>
  <si>
    <t>Payroll Expense Journal - PD-5</t>
  </si>
  <si>
    <t>Payroll Expense Journal - PD-6</t>
  </si>
  <si>
    <t>Payroll Expense Journal - PD-7</t>
  </si>
  <si>
    <t>Payroll Expense Journal - PD-8</t>
  </si>
  <si>
    <t>Payroll Expense Journal - PD-9</t>
  </si>
  <si>
    <t>Payroll Expense Journal - PD-10</t>
  </si>
  <si>
    <t>Payroll Expense Journal - PD-11</t>
  </si>
  <si>
    <t>Payroll Expense Journal - PD-14</t>
  </si>
  <si>
    <t>Total 477 - Salaries &amp; Wages</t>
  </si>
  <si>
    <t>478 - Superannuation</t>
  </si>
  <si>
    <t>478</t>
  </si>
  <si>
    <t>Superannuation Expense</t>
  </si>
  <si>
    <t>Total 478 - Superannuation</t>
  </si>
  <si>
    <t>485 - Subscriptions</t>
  </si>
  <si>
    <t>485</t>
  </si>
  <si>
    <t>Total 485 - Subscriptions</t>
  </si>
  <si>
    <t>489 - Telephone &amp; Internet</t>
  </si>
  <si>
    <t>489</t>
  </si>
  <si>
    <t>WITHDRAWAL MOBILE 2376574 BPAY TELSTRA Telstra - Phone bill</t>
  </si>
  <si>
    <t>WITHDRAWAL MOBILE 2376574 BPAY TELSTRA Telstra - phone bill</t>
  </si>
  <si>
    <t>Total 489 - Telephone &amp; Internet</t>
  </si>
  <si>
    <t>490 - Tooling and Workshop Expenses</t>
  </si>
  <si>
    <t>490</t>
  </si>
  <si>
    <t>Julian galindo - Tool box flat pack</t>
  </si>
  <si>
    <t>Total 490 - Tooling and Workshop Expenses</t>
  </si>
  <si>
    <t>491 - Training and Courses</t>
  </si>
  <si>
    <t>491</t>
  </si>
  <si>
    <t>DEBIT CARD PURCHASE OIR - HIGH RISK WORK L BRISBANE CIT AUS - Work trainning coarse</t>
  </si>
  <si>
    <t>Total 491 - Training and Courses</t>
  </si>
  <si>
    <t>600 - Business Bank Account</t>
  </si>
  <si>
    <t>600</t>
  </si>
  <si>
    <t>Bank</t>
  </si>
  <si>
    <t>brandon</t>
  </si>
  <si>
    <t>Ausure Insurance</t>
  </si>
  <si>
    <t>Julian galindo</t>
  </si>
  <si>
    <t>Receivable Payment</t>
  </si>
  <si>
    <t>Payment: Greens Diesel Service</t>
  </si>
  <si>
    <t>Bank Transfer</t>
  </si>
  <si>
    <t xml:space="preserve">Bank Transfer from Business Bank Account to BAS Saving Account </t>
  </si>
  <si>
    <t>Payclear</t>
  </si>
  <si>
    <t>PAYMENT BY AUTHORITY TO PAYCLEAR SERVICES PTY LTD SuperChoice P L PC160523-1,79554349</t>
  </si>
  <si>
    <t>Tool and tackle</t>
  </si>
  <si>
    <t>WITHDRAWAL-OSKO PAYMENT 1133297 Ht Ventures (trekk) Trainning</t>
  </si>
  <si>
    <t>DEBIT CARD PURCHASE GOOGLE*GSUITE BAEDIESE CC GOOGLE.CO AUS</t>
  </si>
  <si>
    <t>WITHDRAWAL MOBILE 2376574 BPAY TELSTRA Telstra</t>
  </si>
  <si>
    <t>WITHDRAWAL-OSKO PAYMENT 1977661 Brandon</t>
  </si>
  <si>
    <t>WITHDRAWAL MOBILE 8464092 BPAY ERGON ENER</t>
  </si>
  <si>
    <t>DEBIT CARD PURCHASE OIR - HIGH RISK WORK L BRISBANE CIT AUS</t>
  </si>
  <si>
    <t>PAYMENT BY AUTHORITY TO PAYCLEAR SERVICES PTY LTD SuperChoice P L PC050623-1,82604239</t>
  </si>
  <si>
    <t>DEBIT CARD PURCHASE COLES EXPRESS 1871 MOUNT ISAAUS</t>
  </si>
  <si>
    <t>Bank Transfer from BAS Saving Account  to Business Bank Account</t>
  </si>
  <si>
    <t>ATO</t>
  </si>
  <si>
    <t>PAYMENT BY AUTHORITY TO PAYCLEAR SERVICES PTY LTD SuperChoice P L PC200623-1,04450036</t>
  </si>
  <si>
    <t>Total 600 - Business Bank Account</t>
  </si>
  <si>
    <t>601 - Cash on Hand</t>
  </si>
  <si>
    <t>601</t>
  </si>
  <si>
    <t>Current Asset</t>
  </si>
  <si>
    <t>2023 Adjustment Journal - To record share capital</t>
  </si>
  <si>
    <t>Total 601 - Cash on Hand</t>
  </si>
  <si>
    <t xml:space="preserve">602 - BAS Saving Account </t>
  </si>
  <si>
    <t>602</t>
  </si>
  <si>
    <t>INTEREST PAID</t>
  </si>
  <si>
    <t>Total 602 - BAS Saving Account</t>
  </si>
  <si>
    <t>610 - Accounts Receivable</t>
  </si>
  <si>
    <t>610</t>
  </si>
  <si>
    <t>Greens Diesel Service</t>
  </si>
  <si>
    <t>Total 610 - Accounts Receivable</t>
  </si>
  <si>
    <t>625 - Formation Costs</t>
  </si>
  <si>
    <t>625</t>
  </si>
  <si>
    <t>Bring in company establishment costs - formation costs - paid by Director personally - Bring in company establishment costs - formation costs</t>
  </si>
  <si>
    <t>#918</t>
  </si>
  <si>
    <t>Total 625 - Formation Costs</t>
  </si>
  <si>
    <t>804 - Wages Payable - Payroll</t>
  </si>
  <si>
    <t>804</t>
  </si>
  <si>
    <t>Current Liability</t>
  </si>
  <si>
    <t>Wages Payable</t>
  </si>
  <si>
    <t>WITHDRAWAL-OSKO PAYMENT 1977661 Brandon - Wages</t>
  </si>
  <si>
    <t>brandon - pay slip</t>
  </si>
  <si>
    <t>Total 804 - Wages Payable - Payroll</t>
  </si>
  <si>
    <t>820 - GST</t>
  </si>
  <si>
    <t>820</t>
  </si>
  <si>
    <t>To recognise insurance expense and premium funding agreement.</t>
  </si>
  <si>
    <t>2023 Adjustment Journal - To correct BAS accounts</t>
  </si>
  <si>
    <t xml:space="preserve">GST changes on review to BAS amendments (remove GST on electricity and add GST on training course coded to interest expense) - GST changes on review to BAS amendments (remove GST on electricity and add GST on training course coded to interest expense) 
</t>
  </si>
  <si>
    <t>#925</t>
  </si>
  <si>
    <t>Total 820 - GST</t>
  </si>
  <si>
    <t>825 - PAYG Withholdings Payable</t>
  </si>
  <si>
    <t>825</t>
  </si>
  <si>
    <t>Tax</t>
  </si>
  <si>
    <t>Total 825 - PAYG Withholdings Payable</t>
  </si>
  <si>
    <t>826 - Superannuation Payable</t>
  </si>
  <si>
    <t>826</t>
  </si>
  <si>
    <t>Superannuation Liability</t>
  </si>
  <si>
    <t>PAYMENT BY AUTHORITY TO PAYCLEAR SERVICES PTY LTD SuperChoice P L PC160523-1,79554349 - Wages</t>
  </si>
  <si>
    <t>PAYMENT BY AUTHORITY TO PAYCLEAR SERVICES PTY LTD SuperChoice P L PC050623-1,82604239 - Wages</t>
  </si>
  <si>
    <t>PAYMENT BY AUTHORITY TO PAYCLEAR SERVICES PTY LTD SuperChoice P L PC200623-1,04450036 - Wages</t>
  </si>
  <si>
    <t>Total 826 - Superannuation Payable</t>
  </si>
  <si>
    <t>827 - BAS Payable</t>
  </si>
  <si>
    <t>827</t>
  </si>
  <si>
    <t>Total 827 - BAS Payable</t>
  </si>
  <si>
    <t>828 - BAS Amendment</t>
  </si>
  <si>
    <t>828</t>
  </si>
  <si>
    <t>Total 828 - BAS Amendment</t>
  </si>
  <si>
    <t>830 - Income Tax Payable</t>
  </si>
  <si>
    <t>830</t>
  </si>
  <si>
    <t>Income tax for 2023 - Income tax for 2023</t>
  </si>
  <si>
    <t>#926</t>
  </si>
  <si>
    <t>Total 830 - Income Tax Payable</t>
  </si>
  <si>
    <t>870 - Insurance Premium Funding 2023</t>
  </si>
  <si>
    <t>870</t>
  </si>
  <si>
    <t>Ausure Insurance - Premium payment for Ausure</t>
  </si>
  <si>
    <t xml:space="preserve">To recognise insurance expense and premium funding agreement. - Premium funding for General Liability Insurance </t>
  </si>
  <si>
    <t>brandon - insurance</t>
  </si>
  <si>
    <t>Ausure Insurance - Insurance Premium Funding 2023</t>
  </si>
  <si>
    <t>Total 870 - Insurance Premium Funding 2023</t>
  </si>
  <si>
    <t>900 - Loan - Director</t>
  </si>
  <si>
    <t>900</t>
  </si>
  <si>
    <t>Non-current Liability</t>
  </si>
  <si>
    <t>brandon - Loan contribution from Brandon for working capital</t>
  </si>
  <si>
    <t xml:space="preserve">WITHDRAWAL MOBILE 8464092 BPAY ERGON ENER - Office power bill
Deductibility/treatment to be discussed w YE work - possibly claim a portion, or include osme home office in ITR?? YES CLAIM INDIVIDUAL ITR AS HOME OFFICE - WILL DISCUSS WITH CLIENT IN AGM AND CONFIRM FOR FUTURE - HAVE MOVED TO DIRECTOR LOAN - EH </t>
  </si>
  <si>
    <t>Total 900 - Loan - Director</t>
  </si>
  <si>
    <t>970 - 100 ORD Shares @ $1.00 each</t>
  </si>
  <si>
    <t>970</t>
  </si>
  <si>
    <t>Equity</t>
  </si>
  <si>
    <t>Total 970 - 100 ORD Shares @ $1.00 each</t>
  </si>
  <si>
    <t>980 - Income Tax Expense</t>
  </si>
  <si>
    <t>980</t>
  </si>
  <si>
    <t>Total 980 - Income Tax Expense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</si>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</sst>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(#,##0.00)"/>
    <numFmt numFmtId="165" formatCode="dd mmm yyyy"/>
    <numFmt numFmtId="166" formatCode="0.00##\%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0" xfId="0" applyFont="true" applyBorder="true" applyAlignment="true">
      <alignment vertical="center"/>
    </xf>
    <xf numFmtId="0" fontId="0" fillId="0" borderId="0" xfId="0" applyFont="true"/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165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0" fontId="0" fillId="0" borderId="0" xfId="0" applyFont="true" applyAlignment="true">
      <alignment vertical="center" wrapText="true"/>
    </xf>
    <xf numFmtId="164" fontId="0" fillId="0" borderId="0" xfId="0" applyNumberFormat="true" applyFont="true" applyAlignment="true">
      <alignment horizontal="right" vertical="center"/>
    </xf>
    <xf numFmtId="166" fontId="0" fillId="0" borderId="0" xfId="0" applyNumberFormat="true" applyFont="true" applyAlignment="true">
      <alignment horizontal="right" vertical="center"/>
    </xf>
    <xf numFmtId="165" fontId="0" fillId="0" borderId="3" xfId="0" applyNumberFormat="true" applyFont="true" applyBorder="true" applyAlignment="true">
      <alignment horizontal="left" vertical="center"/>
    </xf>
    <xf numFmtId="0" fontId="0" fillId="0" borderId="3" xfId="0" applyFont="true" applyBorder="true" applyAlignment="true">
      <alignment vertical="center"/>
    </xf>
    <xf numFmtId="0" fontId="0" fillId="0" borderId="3" xfId="0" applyFont="true" applyBorder="true" applyAlignment="true">
      <alignment vertical="center" wrapText="true"/>
    </xf>
    <xf numFmtId="164" fontId="0" fillId="0" borderId="3" xfId="0" applyNumberFormat="true" applyFont="true" applyBorder="true" applyAlignment="true">
      <alignment horizontal="right" vertical="center"/>
    </xf>
    <xf numFmtId="166" fontId="0" fillId="0" borderId="3" xfId="0" applyNumberFormat="true" applyFont="true" applyBorder="true" applyAlignment="true">
      <alignment horizontal="right" vertical="center"/>
    </xf>
    <xf numFmtId="0" fontId="6" fillId="0" borderId="3" xfId="0" applyFont="true" applyBorder="true" applyAlignment="true">
      <alignment vertical="center"/>
    </xf>
    <xf numFmtId="164" fontId="6" fillId="0" borderId="3" xfId="0" applyNumberFormat="true" applyFont="true" applyBorder="true" applyAlignment="true">
      <alignment horizontal="right" vertical="center"/>
    </xf>
    <xf numFmtId="0" fontId="6" fillId="2" borderId="2" xfId="0" applyFont="true" applyFill="true" applyBorder="true" applyAlignment="true">
      <alignment vertical="center"/>
    </xf>
    <xf numFmtId="164" fontId="6" fillId="2" borderId="2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406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52.33203125" customWidth="1"/>
    <col min="2" max="2" width="16" customWidth="1"/>
    <col min="3" max="3" width="20.16015625" customWidth="1"/>
    <col min="4" max="4" width="19.33203125" customWidth="1"/>
    <col min="5" max="5" width="100" customWidth="1"/>
    <col min="6" max="6" width="30.33203125" customWidth="1"/>
    <col min="7" max="8" width="10.16015625" customWidth="1"/>
    <col min="9" max="9" width="19.33203125" customWidth="1"/>
    <col min="10" max="10" width="10.5" customWidth="1"/>
    <col min="11" max="11" width="11.66015625" customWidth="1"/>
    <col min="12" max="12" width="18.6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ht="13.35" customHeight="true"/>
    <row r="7" ht="12.1" customHeight="true" customFormat="true" s="5">
      <c r="A7" s="8" t="s">
        <v>15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10.95" customHeight="true" customFormat="true" s="9">
      <c r="A8" s="10" t="s">
        <v>16</v>
      </c>
      <c r="B8" s="10"/>
      <c r="C8" s="10"/>
      <c r="D8" s="10"/>
      <c r="E8" s="10"/>
      <c r="F8" s="10"/>
      <c r="G8" s="11">
        <v>0</v>
      </c>
      <c r="H8" s="11">
        <v>0</v>
      </c>
      <c r="I8" s="11">
        <f ca="1">(G8 - H8)</f>
        <v>0</v>
      </c>
      <c r="J8" s="11">
        <v>0</v>
      </c>
      <c r="K8" s="10"/>
      <c r="L8" s="10"/>
    </row>
    <row r="9" ht="21.3" customHeight="true" customFormat="true" s="9">
      <c r="A9" s="12">
        <v>45022</v>
      </c>
      <c r="B9" s="13" t="s">
        <v>17</v>
      </c>
      <c r="C9" s="13" t="s">
        <v>18</v>
      </c>
      <c r="D9" s="13" t="s">
        <v>19</v>
      </c>
      <c r="E9" s="14" t="s">
        <v>20</v>
      </c>
      <c r="F9" s="13" t="s">
        <v>21</v>
      </c>
      <c r="G9" s="15">
        <v>0</v>
      </c>
      <c r="H9" s="15">
        <v>1330.0000</v>
      </c>
      <c r="I9" s="15">
        <f ca="1">((I8 + G9) - H9)</f>
        <v>0</v>
      </c>
      <c r="J9" s="15">
        <v>-133.0000</v>
      </c>
      <c r="K9" s="16">
        <v>10.0000</v>
      </c>
      <c r="L9" s="13" t="s">
        <v>22</v>
      </c>
    </row>
    <row r="10" ht="21.3" customHeight="true" customFormat="true" s="9">
      <c r="A10" s="17">
        <v>45022</v>
      </c>
      <c r="B10" s="18" t="s">
        <v>17</v>
      </c>
      <c r="C10" s="18" t="s">
        <v>18</v>
      </c>
      <c r="D10" s="18" t="s">
        <v>19</v>
      </c>
      <c r="E10" s="19" t="s">
        <v>23</v>
      </c>
      <c r="F10" s="18" t="s">
        <v>21</v>
      </c>
      <c r="G10" s="20">
        <v>0</v>
      </c>
      <c r="H10" s="20">
        <v>2280.0000</v>
      </c>
      <c r="I10" s="20">
        <f ca="1">((I9 + G10) - H10)</f>
        <v>0</v>
      </c>
      <c r="J10" s="20">
        <v>-228.0000</v>
      </c>
      <c r="K10" s="21">
        <v>10.0000</v>
      </c>
      <c r="L10" s="18" t="s">
        <v>22</v>
      </c>
    </row>
    <row r="11" ht="176.55" customHeight="true" customFormat="true" s="9">
      <c r="A11" s="17">
        <v>45046</v>
      </c>
      <c r="B11" s="18" t="s">
        <v>17</v>
      </c>
      <c r="C11" s="18" t="s">
        <v>18</v>
      </c>
      <c r="D11" s="18" t="s">
        <v>19</v>
      </c>
      <c r="E11" s="19" t="s">
        <v>24</v>
      </c>
      <c r="F11" s="18" t="s">
        <v>25</v>
      </c>
      <c r="G11" s="20">
        <v>0</v>
      </c>
      <c r="H11" s="20">
        <v>18240.0000</v>
      </c>
      <c r="I11" s="20">
        <f ca="1">((I10 + G11) - H11)</f>
        <v>0</v>
      </c>
      <c r="J11" s="20">
        <v>-1824.0000</v>
      </c>
      <c r="K11" s="21">
        <v>10.0000</v>
      </c>
      <c r="L11" s="18" t="s">
        <v>22</v>
      </c>
    </row>
    <row r="12" ht="42" customHeight="true" customFormat="true" s="9">
      <c r="A12" s="17">
        <v>45046</v>
      </c>
      <c r="B12" s="18" t="s">
        <v>17</v>
      </c>
      <c r="C12" s="18" t="s">
        <v>18</v>
      </c>
      <c r="D12" s="18" t="s">
        <v>19</v>
      </c>
      <c r="E12" s="19" t="s">
        <v>26</v>
      </c>
      <c r="F12" s="18" t="s">
        <v>25</v>
      </c>
      <c r="G12" s="20">
        <v>0</v>
      </c>
      <c r="H12" s="20">
        <v>4797.5000</v>
      </c>
      <c r="I12" s="20">
        <f ca="1">((I11 + G12) - H12)</f>
        <v>0</v>
      </c>
      <c r="J12" s="20">
        <v>-479.7500</v>
      </c>
      <c r="K12" s="21">
        <v>10.0000</v>
      </c>
      <c r="L12" s="18" t="s">
        <v>22</v>
      </c>
    </row>
    <row r="13" ht="21.3" customHeight="true" customFormat="true" s="9">
      <c r="A13" s="17">
        <v>45046</v>
      </c>
      <c r="B13" s="18" t="s">
        <v>17</v>
      </c>
      <c r="C13" s="18" t="s">
        <v>18</v>
      </c>
      <c r="D13" s="18" t="s">
        <v>19</v>
      </c>
      <c r="E13" s="19" t="s">
        <v>27</v>
      </c>
      <c r="F13" s="18" t="s">
        <v>25</v>
      </c>
      <c r="G13" s="20">
        <v>0</v>
      </c>
      <c r="H13" s="20">
        <v>380.0000</v>
      </c>
      <c r="I13" s="20">
        <f ca="1">((I12 + G13) - H13)</f>
        <v>0</v>
      </c>
      <c r="J13" s="20">
        <v>-38.0000</v>
      </c>
      <c r="K13" s="21">
        <v>10.0000</v>
      </c>
      <c r="L13" s="18" t="s">
        <v>22</v>
      </c>
    </row>
    <row r="14" ht="197.25" customHeight="true" customFormat="true" s="9">
      <c r="A14" s="17">
        <v>45077</v>
      </c>
      <c r="B14" s="18" t="s">
        <v>17</v>
      </c>
      <c r="C14" s="18" t="s">
        <v>18</v>
      </c>
      <c r="D14" s="18" t="s">
        <v>19</v>
      </c>
      <c r="E14" s="19" t="s">
        <v>28</v>
      </c>
      <c r="F14" s="18" t="s">
        <v>29</v>
      </c>
      <c r="G14" s="20">
        <v>0</v>
      </c>
      <c r="H14" s="20">
        <v>19000.0000</v>
      </c>
      <c r="I14" s="20">
        <f ca="1">((I13 + G14) - H14)</f>
        <v>0</v>
      </c>
      <c r="J14" s="20">
        <v>-1900.0000</v>
      </c>
      <c r="K14" s="21">
        <v>10.0000</v>
      </c>
      <c r="L14" s="18" t="s">
        <v>22</v>
      </c>
    </row>
    <row r="15" ht="42" customHeight="true" customFormat="true" s="9">
      <c r="A15" s="17">
        <v>45077</v>
      </c>
      <c r="B15" s="18" t="s">
        <v>17</v>
      </c>
      <c r="C15" s="18" t="s">
        <v>18</v>
      </c>
      <c r="D15" s="18" t="s">
        <v>19</v>
      </c>
      <c r="E15" s="19" t="s">
        <v>30</v>
      </c>
      <c r="F15" s="18" t="s">
        <v>29</v>
      </c>
      <c r="G15" s="20">
        <v>0</v>
      </c>
      <c r="H15" s="20">
        <v>3420.0000</v>
      </c>
      <c r="I15" s="20">
        <f ca="1">((I14 + G15) - H15)</f>
        <v>0</v>
      </c>
      <c r="J15" s="20">
        <v>-342.0000</v>
      </c>
      <c r="K15" s="21">
        <v>10.0000</v>
      </c>
      <c r="L15" s="18" t="s">
        <v>22</v>
      </c>
    </row>
    <row r="16" ht="10.95" customHeight="true" customFormat="true" s="9">
      <c r="A16" s="22" t="s">
        <v>31</v>
      </c>
      <c r="B16" s="22"/>
      <c r="C16" s="22"/>
      <c r="D16" s="22"/>
      <c r="E16" s="22"/>
      <c r="F16" s="22"/>
      <c r="G16" s="23">
        <f ca="1">SUM(G9:G15)</f>
        <v>0</v>
      </c>
      <c r="H16" s="23">
        <f ca="1">SUM(H9:H15)</f>
        <v>0</v>
      </c>
      <c r="I16" s="23">
        <f ca="1">I15</f>
        <v>0</v>
      </c>
      <c r="J16" s="23">
        <f ca="1">SUM(J9:J15)</f>
        <v>0</v>
      </c>
      <c r="K16" s="22"/>
      <c r="L16" s="22"/>
    </row>
    <row r="17" ht="10.95" customHeight="true" customFormat="true" s="9">
      <c r="A17" s="22" t="s">
        <v>32</v>
      </c>
      <c r="B17" s="22"/>
      <c r="C17" s="22"/>
      <c r="D17" s="22"/>
      <c r="E17" s="22"/>
      <c r="F17" s="22"/>
      <c r="G17" s="23">
        <v>0</v>
      </c>
      <c r="H17" s="23">
        <v>49447.5000</v>
      </c>
      <c r="I17" s="23">
        <v>0</v>
      </c>
      <c r="J17" s="23">
        <v>0</v>
      </c>
      <c r="K17" s="22"/>
      <c r="L17" s="22"/>
    </row>
    <row r="18" ht="10.95" customHeight="true" customFormat="true" s="9">
      <c r="A18" s="10" t="s">
        <v>33</v>
      </c>
      <c r="B18" s="10"/>
      <c r="C18" s="10"/>
      <c r="D18" s="10"/>
      <c r="E18" s="10"/>
      <c r="F18" s="10"/>
      <c r="G18" s="11">
        <v>0</v>
      </c>
      <c r="H18" s="11">
        <v>49447.5000</v>
      </c>
      <c r="I18" s="11">
        <f ca="1">I15</f>
        <v>0</v>
      </c>
      <c r="J18" s="11">
        <v>0</v>
      </c>
      <c r="K18" s="10"/>
      <c r="L18" s="10"/>
    </row>
    <row r="19" ht="13.35" customHeight="true"/>
    <row r="20" ht="12.1" customHeight="true" customFormat="true" s="5">
      <c r="A20" s="8" t="s">
        <v>34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ht="10.95" customHeight="true" customFormat="true" s="9">
      <c r="A21" s="10" t="s">
        <v>16</v>
      </c>
      <c r="B21" s="10"/>
      <c r="C21" s="10"/>
      <c r="D21" s="10"/>
      <c r="E21" s="10"/>
      <c r="F21" s="10"/>
      <c r="G21" s="11">
        <v>0</v>
      </c>
      <c r="H21" s="11">
        <v>0</v>
      </c>
      <c r="I21" s="11">
        <f ca="1">(G21 - H21)</f>
        <v>0</v>
      </c>
      <c r="J21" s="11">
        <v>0</v>
      </c>
      <c r="K21" s="10"/>
      <c r="L21" s="10"/>
    </row>
    <row r="22" ht="10.95" customHeight="true" customFormat="true" s="9">
      <c r="A22" s="12">
        <v>45077</v>
      </c>
      <c r="B22" s="13" t="s">
        <v>35</v>
      </c>
      <c r="C22" s="13" t="s">
        <v>18</v>
      </c>
      <c r="D22" s="13" t="s">
        <v>36</v>
      </c>
      <c r="E22" s="13" t="s">
        <v>37</v>
      </c>
      <c r="F22" s="13"/>
      <c r="G22" s="15">
        <v>0</v>
      </c>
      <c r="H22" s="15">
        <v>0.0300</v>
      </c>
      <c r="I22" s="15">
        <f ca="1">((I21 + G22) - H22)</f>
        <v>0</v>
      </c>
      <c r="J22" s="15">
        <v>0</v>
      </c>
      <c r="K22" s="16">
        <v>0</v>
      </c>
      <c r="L22" s="13" t="s">
        <v>38</v>
      </c>
    </row>
    <row r="23" ht="10.95" customHeight="true" customFormat="true" s="9">
      <c r="A23" s="17">
        <v>45107</v>
      </c>
      <c r="B23" s="18" t="s">
        <v>35</v>
      </c>
      <c r="C23" s="18" t="s">
        <v>18</v>
      </c>
      <c r="D23" s="18" t="s">
        <v>36</v>
      </c>
      <c r="E23" s="18" t="s">
        <v>37</v>
      </c>
      <c r="F23" s="18"/>
      <c r="G23" s="20">
        <v>0</v>
      </c>
      <c r="H23" s="20">
        <v>0.0600</v>
      </c>
      <c r="I23" s="20">
        <f ca="1">((I22 + G23) - H23)</f>
        <v>0</v>
      </c>
      <c r="J23" s="20">
        <v>0</v>
      </c>
      <c r="K23" s="21">
        <v>0</v>
      </c>
      <c r="L23" s="18" t="s">
        <v>38</v>
      </c>
    </row>
    <row r="24" ht="10.95" customHeight="true" customFormat="true" s="9">
      <c r="A24" s="22" t="s">
        <v>39</v>
      </c>
      <c r="B24" s="22"/>
      <c r="C24" s="22"/>
      <c r="D24" s="22"/>
      <c r="E24" s="22"/>
      <c r="F24" s="22"/>
      <c r="G24" s="23">
        <f ca="1">SUM(G22:G23)</f>
        <v>0</v>
      </c>
      <c r="H24" s="23">
        <f ca="1">SUM(H22:H23)</f>
        <v>0</v>
      </c>
      <c r="I24" s="23">
        <f ca="1">I23</f>
        <v>0</v>
      </c>
      <c r="J24" s="23">
        <f ca="1">SUM(J22:J23)</f>
        <v>0</v>
      </c>
      <c r="K24" s="22"/>
      <c r="L24" s="22"/>
    </row>
    <row r="25" ht="10.95" customHeight="true" customFormat="true" s="9">
      <c r="A25" s="22" t="s">
        <v>32</v>
      </c>
      <c r="B25" s="22"/>
      <c r="C25" s="22"/>
      <c r="D25" s="22"/>
      <c r="E25" s="22"/>
      <c r="F25" s="22"/>
      <c r="G25" s="23">
        <v>0</v>
      </c>
      <c r="H25" s="23">
        <v>0.0900</v>
      </c>
      <c r="I25" s="23">
        <v>0</v>
      </c>
      <c r="J25" s="23">
        <v>0</v>
      </c>
      <c r="K25" s="22"/>
      <c r="L25" s="22"/>
    </row>
    <row r="26" ht="10.95" customHeight="true" customFormat="true" s="9">
      <c r="A26" s="10" t="s">
        <v>33</v>
      </c>
      <c r="B26" s="10"/>
      <c r="C26" s="10"/>
      <c r="D26" s="10"/>
      <c r="E26" s="10"/>
      <c r="F26" s="10"/>
      <c r="G26" s="11">
        <v>0</v>
      </c>
      <c r="H26" s="11">
        <v>0.0900</v>
      </c>
      <c r="I26" s="11">
        <f ca="1">I23</f>
        <v>0</v>
      </c>
      <c r="J26" s="11">
        <v>0</v>
      </c>
      <c r="K26" s="10"/>
      <c r="L26" s="10"/>
    </row>
    <row r="27" ht="13.35" customHeight="true"/>
    <row r="28" ht="12.1" customHeight="true" customFormat="true" s="5">
      <c r="A28" s="8" t="s">
        <v>40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ht="10.95" customHeight="true" customFormat="true" s="9">
      <c r="A29" s="10" t="s">
        <v>16</v>
      </c>
      <c r="B29" s="10"/>
      <c r="C29" s="10"/>
      <c r="D29" s="10"/>
      <c r="E29" s="10"/>
      <c r="F29" s="10"/>
      <c r="G29" s="11">
        <v>0</v>
      </c>
      <c r="H29" s="11">
        <v>0</v>
      </c>
      <c r="I29" s="11">
        <f ca="1">(G29 - H29)</f>
        <v>0</v>
      </c>
      <c r="J29" s="11">
        <v>0</v>
      </c>
      <c r="K29" s="10"/>
      <c r="L29" s="10"/>
    </row>
    <row r="30" ht="10.95" customHeight="true" customFormat="true" s="9">
      <c r="A30" s="12">
        <v>45049</v>
      </c>
      <c r="B30" s="13" t="s">
        <v>41</v>
      </c>
      <c r="C30" s="13" t="s">
        <v>42</v>
      </c>
      <c r="D30" s="13" t="s">
        <v>43</v>
      </c>
      <c r="E30" s="13" t="s">
        <v>44</v>
      </c>
      <c r="F30" s="13"/>
      <c r="G30" s="15">
        <v>16.3600</v>
      </c>
      <c r="H30" s="15">
        <v>0</v>
      </c>
      <c r="I30" s="15">
        <f ca="1">((I29 + G30) - H30)</f>
        <v>0</v>
      </c>
      <c r="J30" s="15">
        <v>1.6400</v>
      </c>
      <c r="K30" s="16">
        <v>10.0000</v>
      </c>
      <c r="L30" s="13" t="s">
        <v>45</v>
      </c>
    </row>
    <row r="31" ht="10.95" customHeight="true" customFormat="true" s="9">
      <c r="A31" s="17">
        <v>45079</v>
      </c>
      <c r="B31" s="18" t="s">
        <v>41</v>
      </c>
      <c r="C31" s="18" t="s">
        <v>42</v>
      </c>
      <c r="D31" s="18" t="s">
        <v>43</v>
      </c>
      <c r="E31" s="18" t="s">
        <v>46</v>
      </c>
      <c r="F31" s="18"/>
      <c r="G31" s="20">
        <v>10.3100</v>
      </c>
      <c r="H31" s="20">
        <v>0</v>
      </c>
      <c r="I31" s="20">
        <f ca="1">((I30 + G31) - H31)</f>
        <v>0</v>
      </c>
      <c r="J31" s="20">
        <v>1.0300</v>
      </c>
      <c r="K31" s="21">
        <v>10.0000</v>
      </c>
      <c r="L31" s="18" t="s">
        <v>45</v>
      </c>
    </row>
    <row r="32" ht="10.95" customHeight="true" customFormat="true" s="9">
      <c r="A32" s="22" t="s">
        <v>47</v>
      </c>
      <c r="B32" s="22"/>
      <c r="C32" s="22"/>
      <c r="D32" s="22"/>
      <c r="E32" s="22"/>
      <c r="F32" s="22"/>
      <c r="G32" s="23">
        <f ca="1">SUM(G30:G31)</f>
        <v>0</v>
      </c>
      <c r="H32" s="23">
        <f ca="1">SUM(H30:H31)</f>
        <v>0</v>
      </c>
      <c r="I32" s="23">
        <f ca="1">I31</f>
        <v>0</v>
      </c>
      <c r="J32" s="23">
        <f ca="1">SUM(J30:J31)</f>
        <v>0</v>
      </c>
      <c r="K32" s="22"/>
      <c r="L32" s="22"/>
    </row>
    <row r="33" ht="10.95" customHeight="true" customFormat="true" s="9">
      <c r="A33" s="22" t="s">
        <v>32</v>
      </c>
      <c r="B33" s="22"/>
      <c r="C33" s="22"/>
      <c r="D33" s="22"/>
      <c r="E33" s="22"/>
      <c r="F33" s="22"/>
      <c r="G33" s="23">
        <v>26.6700</v>
      </c>
      <c r="H33" s="23">
        <v>0</v>
      </c>
      <c r="I33" s="23">
        <v>0</v>
      </c>
      <c r="J33" s="23">
        <v>0</v>
      </c>
      <c r="K33" s="22"/>
      <c r="L33" s="22"/>
    </row>
    <row r="34" ht="10.95" customHeight="true" customFormat="true" s="9">
      <c r="A34" s="10" t="s">
        <v>33</v>
      </c>
      <c r="B34" s="10"/>
      <c r="C34" s="10"/>
      <c r="D34" s="10"/>
      <c r="E34" s="10"/>
      <c r="F34" s="10"/>
      <c r="G34" s="11">
        <v>26.6700</v>
      </c>
      <c r="H34" s="11">
        <v>0</v>
      </c>
      <c r="I34" s="11">
        <f ca="1">I31</f>
        <v>0</v>
      </c>
      <c r="J34" s="11">
        <v>0</v>
      </c>
      <c r="K34" s="10"/>
      <c r="L34" s="10"/>
    </row>
    <row r="35" ht="13.35" customHeight="true"/>
    <row r="36" ht="12.1" customHeight="true" customFormat="true" s="5">
      <c r="A36" s="8" t="s">
        <v>48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ht="10.95" customHeight="true" customFormat="true" s="9">
      <c r="A37" s="10" t="s">
        <v>16</v>
      </c>
      <c r="B37" s="10"/>
      <c r="C37" s="10"/>
      <c r="D37" s="10"/>
      <c r="E37" s="10"/>
      <c r="F37" s="10"/>
      <c r="G37" s="11">
        <v>0</v>
      </c>
      <c r="H37" s="11">
        <v>0</v>
      </c>
      <c r="I37" s="11">
        <f ca="1">(G37 - H37)</f>
        <v>0</v>
      </c>
      <c r="J37" s="11">
        <v>0</v>
      </c>
      <c r="K37" s="10"/>
      <c r="L37" s="10"/>
    </row>
    <row r="38" ht="10.95" customHeight="true" customFormat="true" s="9">
      <c r="A38" s="12">
        <v>45016</v>
      </c>
      <c r="B38" s="13" t="s">
        <v>49</v>
      </c>
      <c r="C38" s="13" t="s">
        <v>42</v>
      </c>
      <c r="D38" s="13" t="s">
        <v>43</v>
      </c>
      <c r="E38" s="13" t="s">
        <v>50</v>
      </c>
      <c r="F38" s="13" t="s">
        <v>51</v>
      </c>
      <c r="G38" s="15">
        <v>0.5000</v>
      </c>
      <c r="H38" s="15">
        <v>0</v>
      </c>
      <c r="I38" s="15">
        <f ca="1">((I37 + G38) - H38)</f>
        <v>0</v>
      </c>
      <c r="J38" s="15">
        <v>0</v>
      </c>
      <c r="K38" s="16">
        <v>0</v>
      </c>
      <c r="L38" s="13" t="s">
        <v>52</v>
      </c>
    </row>
    <row r="39" ht="10.95" customHeight="true" customFormat="true" s="9">
      <c r="A39" s="17">
        <v>45016</v>
      </c>
      <c r="B39" s="18" t="s">
        <v>49</v>
      </c>
      <c r="C39" s="18" t="s">
        <v>42</v>
      </c>
      <c r="D39" s="18" t="s">
        <v>53</v>
      </c>
      <c r="E39" s="18" t="s">
        <v>54</v>
      </c>
      <c r="F39" s="18" t="s">
        <v>55</v>
      </c>
      <c r="G39" s="20">
        <v>60.0000</v>
      </c>
      <c r="H39" s="20">
        <v>0</v>
      </c>
      <c r="I39" s="20">
        <f ca="1">((I38 + G39) - H39)</f>
        <v>0</v>
      </c>
      <c r="J39" s="20">
        <v>0</v>
      </c>
      <c r="K39" s="21">
        <v>0</v>
      </c>
      <c r="L39" s="18" t="s">
        <v>52</v>
      </c>
    </row>
    <row r="40" ht="10.95" customHeight="true" customFormat="true" s="9">
      <c r="A40" s="17">
        <v>45047</v>
      </c>
      <c r="B40" s="18" t="s">
        <v>49</v>
      </c>
      <c r="C40" s="18" t="s">
        <v>42</v>
      </c>
      <c r="D40" s="18" t="s">
        <v>43</v>
      </c>
      <c r="E40" s="18" t="s">
        <v>56</v>
      </c>
      <c r="F40" s="18"/>
      <c r="G40" s="20">
        <v>0.5000</v>
      </c>
      <c r="H40" s="20">
        <v>0</v>
      </c>
      <c r="I40" s="20">
        <f ca="1">((I39 + G40) - H40)</f>
        <v>0</v>
      </c>
      <c r="J40" s="20">
        <v>0</v>
      </c>
      <c r="K40" s="21">
        <v>0</v>
      </c>
      <c r="L40" s="18" t="s">
        <v>52</v>
      </c>
    </row>
    <row r="41" ht="10.95" customHeight="true" customFormat="true" s="9">
      <c r="A41" s="17">
        <v>45107</v>
      </c>
      <c r="B41" s="18" t="s">
        <v>49</v>
      </c>
      <c r="C41" s="18" t="s">
        <v>42</v>
      </c>
      <c r="D41" s="18" t="s">
        <v>53</v>
      </c>
      <c r="E41" s="18" t="s">
        <v>57</v>
      </c>
      <c r="F41" s="18" t="s">
        <v>58</v>
      </c>
      <c r="G41" s="20">
        <v>0</v>
      </c>
      <c r="H41" s="20">
        <v>1.3800</v>
      </c>
      <c r="I41" s="20">
        <f ca="1">((I40 + G41) - H41)</f>
        <v>0</v>
      </c>
      <c r="J41" s="20">
        <v>0</v>
      </c>
      <c r="K41" s="21">
        <v>0</v>
      </c>
      <c r="L41" s="18" t="s">
        <v>59</v>
      </c>
    </row>
    <row r="42" ht="10.95" customHeight="true" customFormat="true" s="9">
      <c r="A42" s="22" t="s">
        <v>60</v>
      </c>
      <c r="B42" s="22"/>
      <c r="C42" s="22"/>
      <c r="D42" s="22"/>
      <c r="E42" s="22"/>
      <c r="F42" s="22"/>
      <c r="G42" s="23">
        <f ca="1">SUM(G38:G41)</f>
        <v>0</v>
      </c>
      <c r="H42" s="23">
        <f ca="1">SUM(H38:H41)</f>
        <v>0</v>
      </c>
      <c r="I42" s="23">
        <f ca="1">I41</f>
        <v>0</v>
      </c>
      <c r="J42" s="23">
        <f ca="1">SUM(J38:J41)</f>
        <v>0</v>
      </c>
      <c r="K42" s="22"/>
      <c r="L42" s="22"/>
    </row>
    <row r="43" ht="10.95" customHeight="true" customFormat="true" s="9">
      <c r="A43" s="22" t="s">
        <v>32</v>
      </c>
      <c r="B43" s="22"/>
      <c r="C43" s="22"/>
      <c r="D43" s="22"/>
      <c r="E43" s="22"/>
      <c r="F43" s="22"/>
      <c r="G43" s="23">
        <v>59.6200</v>
      </c>
      <c r="H43" s="23">
        <v>0</v>
      </c>
      <c r="I43" s="23">
        <v>0</v>
      </c>
      <c r="J43" s="23">
        <v>0</v>
      </c>
      <c r="K43" s="22"/>
      <c r="L43" s="22"/>
    </row>
    <row r="44" ht="10.95" customHeight="true" customFormat="true" s="9">
      <c r="A44" s="10" t="s">
        <v>33</v>
      </c>
      <c r="B44" s="10"/>
      <c r="C44" s="10"/>
      <c r="D44" s="10"/>
      <c r="E44" s="10"/>
      <c r="F44" s="10"/>
      <c r="G44" s="11">
        <v>59.6200</v>
      </c>
      <c r="H44" s="11">
        <v>0</v>
      </c>
      <c r="I44" s="11">
        <f ca="1">I41</f>
        <v>0</v>
      </c>
      <c r="J44" s="11">
        <v>0</v>
      </c>
      <c r="K44" s="10"/>
      <c r="L44" s="10"/>
    </row>
    <row r="45" ht="13.35" customHeight="true"/>
    <row r="46" ht="12.1" customHeight="true" customFormat="true" s="5">
      <c r="A46" s="8" t="s">
        <v>61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ht="10.95" customHeight="true" customFormat="true" s="9">
      <c r="A47" s="10" t="s">
        <v>16</v>
      </c>
      <c r="B47" s="10"/>
      <c r="C47" s="10"/>
      <c r="D47" s="10"/>
      <c r="E47" s="10"/>
      <c r="F47" s="10"/>
      <c r="G47" s="11">
        <v>0</v>
      </c>
      <c r="H47" s="11">
        <v>0</v>
      </c>
      <c r="I47" s="11">
        <f ca="1">(G47 - H47)</f>
        <v>0</v>
      </c>
      <c r="J47" s="11">
        <v>0</v>
      </c>
      <c r="K47" s="10"/>
      <c r="L47" s="10"/>
    </row>
    <row r="48" ht="10.95" customHeight="true" customFormat="true" s="9">
      <c r="A48" s="12">
        <v>45070</v>
      </c>
      <c r="B48" s="13" t="s">
        <v>62</v>
      </c>
      <c r="C48" s="13" t="s">
        <v>42</v>
      </c>
      <c r="D48" s="13" t="s">
        <v>43</v>
      </c>
      <c r="E48" s="13" t="s">
        <v>63</v>
      </c>
      <c r="F48" s="13"/>
      <c r="G48" s="15">
        <v>700.0000</v>
      </c>
      <c r="H48" s="15">
        <v>0</v>
      </c>
      <c r="I48" s="15">
        <f ca="1">((I47 + G48) - H48)</f>
        <v>0</v>
      </c>
      <c r="J48" s="15">
        <v>70.0000</v>
      </c>
      <c r="K48" s="16">
        <v>10.0000</v>
      </c>
      <c r="L48" s="13" t="s">
        <v>45</v>
      </c>
    </row>
    <row r="49" ht="10.95" customHeight="true" customFormat="true" s="9">
      <c r="A49" s="17">
        <v>45104</v>
      </c>
      <c r="B49" s="18" t="s">
        <v>62</v>
      </c>
      <c r="C49" s="18" t="s">
        <v>42</v>
      </c>
      <c r="D49" s="18" t="s">
        <v>43</v>
      </c>
      <c r="E49" s="18" t="s">
        <v>64</v>
      </c>
      <c r="F49" s="18"/>
      <c r="G49" s="20">
        <v>215.4600</v>
      </c>
      <c r="H49" s="20">
        <v>0</v>
      </c>
      <c r="I49" s="20">
        <f ca="1">((I48 + G49) - H49)</f>
        <v>0</v>
      </c>
      <c r="J49" s="20">
        <v>21.5500</v>
      </c>
      <c r="K49" s="21">
        <v>10.0000</v>
      </c>
      <c r="L49" s="18" t="s">
        <v>45</v>
      </c>
    </row>
    <row r="50" ht="10.95" customHeight="true" customFormat="true" s="9">
      <c r="A50" s="17">
        <v>45107</v>
      </c>
      <c r="B50" s="18" t="s">
        <v>62</v>
      </c>
      <c r="C50" s="18" t="s">
        <v>42</v>
      </c>
      <c r="D50" s="18" t="s">
        <v>53</v>
      </c>
      <c r="E50" s="18" t="s">
        <v>65</v>
      </c>
      <c r="F50" s="18" t="s">
        <v>58</v>
      </c>
      <c r="G50" s="20">
        <v>0</v>
      </c>
      <c r="H50" s="20">
        <v>65.4600</v>
      </c>
      <c r="I50" s="20">
        <f ca="1">((I49 + G50) - H50)</f>
        <v>0</v>
      </c>
      <c r="J50" s="20">
        <v>0</v>
      </c>
      <c r="K50" s="21">
        <v>0</v>
      </c>
      <c r="L50" s="18" t="s">
        <v>59</v>
      </c>
    </row>
    <row r="51" ht="10.95" customHeight="true" customFormat="true" s="9">
      <c r="A51" s="22" t="s">
        <v>66</v>
      </c>
      <c r="B51" s="22"/>
      <c r="C51" s="22"/>
      <c r="D51" s="22"/>
      <c r="E51" s="22"/>
      <c r="F51" s="22"/>
      <c r="G51" s="23">
        <f ca="1">SUM(G48:G50)</f>
        <v>0</v>
      </c>
      <c r="H51" s="23">
        <f ca="1">SUM(H48:H50)</f>
        <v>0</v>
      </c>
      <c r="I51" s="23">
        <f ca="1">I50</f>
        <v>0</v>
      </c>
      <c r="J51" s="23">
        <f ca="1">SUM(J48:J50)</f>
        <v>0</v>
      </c>
      <c r="K51" s="22"/>
      <c r="L51" s="22"/>
    </row>
    <row r="52" ht="10.95" customHeight="true" customFormat="true" s="9">
      <c r="A52" s="22" t="s">
        <v>32</v>
      </c>
      <c r="B52" s="22"/>
      <c r="C52" s="22"/>
      <c r="D52" s="22"/>
      <c r="E52" s="22"/>
      <c r="F52" s="22"/>
      <c r="G52" s="23">
        <v>850.0000</v>
      </c>
      <c r="H52" s="23">
        <v>0</v>
      </c>
      <c r="I52" s="23">
        <v>0</v>
      </c>
      <c r="J52" s="23">
        <v>0</v>
      </c>
      <c r="K52" s="22"/>
      <c r="L52" s="22"/>
    </row>
    <row r="53" ht="10.95" customHeight="true" customFormat="true" s="9">
      <c r="A53" s="10" t="s">
        <v>33</v>
      </c>
      <c r="B53" s="10"/>
      <c r="C53" s="10"/>
      <c r="D53" s="10"/>
      <c r="E53" s="10"/>
      <c r="F53" s="10"/>
      <c r="G53" s="11">
        <v>850.0000</v>
      </c>
      <c r="H53" s="11">
        <v>0</v>
      </c>
      <c r="I53" s="11">
        <f ca="1">I50</f>
        <v>0</v>
      </c>
      <c r="J53" s="11">
        <v>0</v>
      </c>
      <c r="K53" s="10"/>
      <c r="L53" s="10"/>
    </row>
    <row r="54" ht="13.35" customHeight="true"/>
    <row r="55" ht="12.1" customHeight="true" customFormat="true" s="5">
      <c r="A55" s="8" t="s">
        <v>67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ht="10.95" customHeight="true" customFormat="true" s="9">
      <c r="A56" s="10" t="s">
        <v>16</v>
      </c>
      <c r="B56" s="10"/>
      <c r="C56" s="10"/>
      <c r="D56" s="10"/>
      <c r="E56" s="10"/>
      <c r="F56" s="10"/>
      <c r="G56" s="11">
        <v>0</v>
      </c>
      <c r="H56" s="11">
        <v>0</v>
      </c>
      <c r="I56" s="11">
        <f ca="1">(G56 - H56)</f>
        <v>0</v>
      </c>
      <c r="J56" s="11">
        <v>0</v>
      </c>
      <c r="K56" s="10"/>
      <c r="L56" s="10"/>
    </row>
    <row r="57" ht="10.95" customHeight="true" customFormat="true" s="9">
      <c r="A57" s="12">
        <v>45107</v>
      </c>
      <c r="B57" s="13" t="s">
        <v>68</v>
      </c>
      <c r="C57" s="13" t="s">
        <v>42</v>
      </c>
      <c r="D57" s="13" t="s">
        <v>53</v>
      </c>
      <c r="E57" s="13" t="s">
        <v>69</v>
      </c>
      <c r="F57" s="13" t="s">
        <v>70</v>
      </c>
      <c r="G57" s="15">
        <v>500.0000</v>
      </c>
      <c r="H57" s="15">
        <v>0</v>
      </c>
      <c r="I57" s="15">
        <f ca="1">((I56 + G57) - H57)</f>
        <v>0</v>
      </c>
      <c r="J57" s="15">
        <v>0</v>
      </c>
      <c r="K57" s="16">
        <v>0</v>
      </c>
      <c r="L57" s="13" t="s">
        <v>59</v>
      </c>
    </row>
    <row r="58" ht="10.95" customHeight="true" customFormat="true" s="9">
      <c r="A58" s="22" t="s">
        <v>71</v>
      </c>
      <c r="B58" s="22"/>
      <c r="C58" s="22"/>
      <c r="D58" s="22"/>
      <c r="E58" s="22"/>
      <c r="F58" s="22"/>
      <c r="G58" s="23">
        <f ca="1">G57</f>
        <v>0</v>
      </c>
      <c r="H58" s="23">
        <f ca="1">H57</f>
        <v>0</v>
      </c>
      <c r="I58" s="23">
        <f ca="1">I57</f>
        <v>0</v>
      </c>
      <c r="J58" s="23">
        <f ca="1">J57</f>
        <v>0</v>
      </c>
      <c r="K58" s="22"/>
      <c r="L58" s="22"/>
    </row>
    <row r="59" ht="10.95" customHeight="true" customFormat="true" s="9">
      <c r="A59" s="22" t="s">
        <v>32</v>
      </c>
      <c r="B59" s="22"/>
      <c r="C59" s="22"/>
      <c r="D59" s="22"/>
      <c r="E59" s="22"/>
      <c r="F59" s="22"/>
      <c r="G59" s="23">
        <v>500.0000</v>
      </c>
      <c r="H59" s="23">
        <v>0</v>
      </c>
      <c r="I59" s="23">
        <v>0</v>
      </c>
      <c r="J59" s="23">
        <v>0</v>
      </c>
      <c r="K59" s="22"/>
      <c r="L59" s="22"/>
    </row>
    <row r="60" ht="10.95" customHeight="true" customFormat="true" s="9">
      <c r="A60" s="10" t="s">
        <v>33</v>
      </c>
      <c r="B60" s="10"/>
      <c r="C60" s="10"/>
      <c r="D60" s="10"/>
      <c r="E60" s="10"/>
      <c r="F60" s="10"/>
      <c r="G60" s="11">
        <v>500.0000</v>
      </c>
      <c r="H60" s="11">
        <v>0</v>
      </c>
      <c r="I60" s="11">
        <f ca="1">I57</f>
        <v>0</v>
      </c>
      <c r="J60" s="11">
        <v>0</v>
      </c>
      <c r="K60" s="10"/>
      <c r="L60" s="10"/>
    </row>
    <row r="61" ht="13.35" customHeight="true"/>
    <row r="62" ht="12.1" customHeight="true" customFormat="true" s="5">
      <c r="A62" s="8" t="s">
        <v>72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ht="10.95" customHeight="true" customFormat="true" s="9">
      <c r="A63" s="10" t="s">
        <v>16</v>
      </c>
      <c r="B63" s="10"/>
      <c r="C63" s="10"/>
      <c r="D63" s="10"/>
      <c r="E63" s="10"/>
      <c r="F63" s="10"/>
      <c r="G63" s="11">
        <v>0</v>
      </c>
      <c r="H63" s="11">
        <v>0</v>
      </c>
      <c r="I63" s="11">
        <f ca="1">(G63 - H63)</f>
        <v>0</v>
      </c>
      <c r="J63" s="11">
        <v>0</v>
      </c>
      <c r="K63" s="10"/>
      <c r="L63" s="10"/>
    </row>
    <row r="64" ht="10.95" customHeight="true" customFormat="true" s="9">
      <c r="A64" s="12">
        <v>45016</v>
      </c>
      <c r="B64" s="13" t="s">
        <v>73</v>
      </c>
      <c r="C64" s="13" t="s">
        <v>42</v>
      </c>
      <c r="D64" s="13" t="s">
        <v>53</v>
      </c>
      <c r="E64" s="13" t="s">
        <v>74</v>
      </c>
      <c r="F64" s="13" t="s">
        <v>55</v>
      </c>
      <c r="G64" s="15">
        <v>3875.9000</v>
      </c>
      <c r="H64" s="15">
        <v>0</v>
      </c>
      <c r="I64" s="15">
        <f ca="1">((I63 + G64) - H64)</f>
        <v>0</v>
      </c>
      <c r="J64" s="15">
        <v>387.5900</v>
      </c>
      <c r="K64" s="16">
        <v>10.0000</v>
      </c>
      <c r="L64" s="13" t="s">
        <v>45</v>
      </c>
    </row>
    <row r="65" ht="10.95" customHeight="true" customFormat="true" s="9">
      <c r="A65" s="17">
        <v>45016</v>
      </c>
      <c r="B65" s="18" t="s">
        <v>73</v>
      </c>
      <c r="C65" s="18" t="s">
        <v>42</v>
      </c>
      <c r="D65" s="18" t="s">
        <v>53</v>
      </c>
      <c r="E65" s="18" t="s">
        <v>75</v>
      </c>
      <c r="F65" s="18" t="s">
        <v>55</v>
      </c>
      <c r="G65" s="20">
        <v>346.5100</v>
      </c>
      <c r="H65" s="20">
        <v>0</v>
      </c>
      <c r="I65" s="20">
        <f ca="1">((I64 + G65) - H65)</f>
        <v>0</v>
      </c>
      <c r="J65" s="20">
        <v>0</v>
      </c>
      <c r="K65" s="21">
        <v>0</v>
      </c>
      <c r="L65" s="18" t="s">
        <v>52</v>
      </c>
    </row>
    <row r="66" ht="10.95" customHeight="true" customFormat="true" s="9">
      <c r="A66" s="17">
        <v>45016</v>
      </c>
      <c r="B66" s="18" t="s">
        <v>73</v>
      </c>
      <c r="C66" s="18" t="s">
        <v>42</v>
      </c>
      <c r="D66" s="18" t="s">
        <v>53</v>
      </c>
      <c r="E66" s="18" t="s">
        <v>76</v>
      </c>
      <c r="F66" s="18" t="s">
        <v>55</v>
      </c>
      <c r="G66" s="20">
        <v>603.7600</v>
      </c>
      <c r="H66" s="20">
        <v>0</v>
      </c>
      <c r="I66" s="20">
        <f ca="1">((I65 + G66) - H66)</f>
        <v>0</v>
      </c>
      <c r="J66" s="20">
        <v>60.3800</v>
      </c>
      <c r="K66" s="21">
        <v>10.0000</v>
      </c>
      <c r="L66" s="18" t="s">
        <v>45</v>
      </c>
    </row>
    <row r="67" ht="10.95" customHeight="true" customFormat="true" s="9">
      <c r="A67" s="22" t="s">
        <v>77</v>
      </c>
      <c r="B67" s="22"/>
      <c r="C67" s="22"/>
      <c r="D67" s="22"/>
      <c r="E67" s="22"/>
      <c r="F67" s="22"/>
      <c r="G67" s="23">
        <f ca="1">SUM(G64:G66)</f>
        <v>0</v>
      </c>
      <c r="H67" s="23">
        <f ca="1">SUM(H64:H66)</f>
        <v>0</v>
      </c>
      <c r="I67" s="23">
        <f ca="1">I66</f>
        <v>0</v>
      </c>
      <c r="J67" s="23">
        <f ca="1">SUM(J64:J66)</f>
        <v>0</v>
      </c>
      <c r="K67" s="22"/>
      <c r="L67" s="22"/>
    </row>
    <row r="68" ht="10.95" customHeight="true" customFormat="true" s="9">
      <c r="A68" s="22" t="s">
        <v>32</v>
      </c>
      <c r="B68" s="22"/>
      <c r="C68" s="22"/>
      <c r="D68" s="22"/>
      <c r="E68" s="22"/>
      <c r="F68" s="22"/>
      <c r="G68" s="23">
        <v>4826.1700</v>
      </c>
      <c r="H68" s="23">
        <v>0</v>
      </c>
      <c r="I68" s="23">
        <v>0</v>
      </c>
      <c r="J68" s="23">
        <v>0</v>
      </c>
      <c r="K68" s="22"/>
      <c r="L68" s="22"/>
    </row>
    <row r="69" ht="10.95" customHeight="true" customFormat="true" s="9">
      <c r="A69" s="10" t="s">
        <v>33</v>
      </c>
      <c r="B69" s="10"/>
      <c r="C69" s="10"/>
      <c r="D69" s="10"/>
      <c r="E69" s="10"/>
      <c r="F69" s="10"/>
      <c r="G69" s="11">
        <v>4826.1700</v>
      </c>
      <c r="H69" s="11">
        <v>0</v>
      </c>
      <c r="I69" s="11">
        <f ca="1">I66</f>
        <v>0</v>
      </c>
      <c r="J69" s="11">
        <v>0</v>
      </c>
      <c r="K69" s="10"/>
      <c r="L69" s="10"/>
    </row>
    <row r="70" ht="13.35" customHeight="true"/>
    <row r="71" ht="12.1" customHeight="true" customFormat="true" s="5">
      <c r="A71" s="8" t="s">
        <v>78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ht="10.95" customHeight="true" customFormat="true" s="9">
      <c r="A72" s="10" t="s">
        <v>16</v>
      </c>
      <c r="B72" s="10"/>
      <c r="C72" s="10"/>
      <c r="D72" s="10"/>
      <c r="E72" s="10"/>
      <c r="F72" s="10"/>
      <c r="G72" s="11">
        <v>0</v>
      </c>
      <c r="H72" s="11">
        <v>0</v>
      </c>
      <c r="I72" s="11">
        <f ca="1">(G72 - H72)</f>
        <v>0</v>
      </c>
      <c r="J72" s="11">
        <v>0</v>
      </c>
      <c r="K72" s="10"/>
      <c r="L72" s="10"/>
    </row>
    <row r="73" ht="21.3" customHeight="true" customFormat="true" s="9">
      <c r="A73" s="12">
        <v>45083</v>
      </c>
      <c r="B73" s="13" t="s">
        <v>79</v>
      </c>
      <c r="C73" s="13" t="s">
        <v>42</v>
      </c>
      <c r="D73" s="13" t="s">
        <v>43</v>
      </c>
      <c r="E73" s="14" t="s">
        <v>80</v>
      </c>
      <c r="F73" s="13"/>
      <c r="G73" s="15">
        <v>177.5700</v>
      </c>
      <c r="H73" s="15">
        <v>0</v>
      </c>
      <c r="I73" s="15">
        <f ca="1">((I72 + G73) - H73)</f>
        <v>0</v>
      </c>
      <c r="J73" s="15">
        <v>0</v>
      </c>
      <c r="K73" s="16">
        <v>0</v>
      </c>
      <c r="L73" s="13" t="s">
        <v>52</v>
      </c>
    </row>
    <row r="74" ht="21.3" customHeight="true" customFormat="true" s="9">
      <c r="A74" s="17">
        <v>45093</v>
      </c>
      <c r="B74" s="18" t="s">
        <v>79</v>
      </c>
      <c r="C74" s="18" t="s">
        <v>42</v>
      </c>
      <c r="D74" s="18" t="s">
        <v>43</v>
      </c>
      <c r="E74" s="19" t="s">
        <v>80</v>
      </c>
      <c r="F74" s="18"/>
      <c r="G74" s="20">
        <v>70.7800</v>
      </c>
      <c r="H74" s="20">
        <v>0</v>
      </c>
      <c r="I74" s="20">
        <f ca="1">((I73 + G74) - H74)</f>
        <v>0</v>
      </c>
      <c r="J74" s="20">
        <v>0</v>
      </c>
      <c r="K74" s="21">
        <v>0</v>
      </c>
      <c r="L74" s="18" t="s">
        <v>52</v>
      </c>
    </row>
    <row r="75" ht="10.95" customHeight="true" customFormat="true" s="9">
      <c r="A75" s="22" t="s">
        <v>81</v>
      </c>
      <c r="B75" s="22"/>
      <c r="C75" s="22"/>
      <c r="D75" s="22"/>
      <c r="E75" s="22"/>
      <c r="F75" s="22"/>
      <c r="G75" s="23">
        <f ca="1">SUM(G73:G74)</f>
        <v>0</v>
      </c>
      <c r="H75" s="23">
        <f ca="1">SUM(H73:H74)</f>
        <v>0</v>
      </c>
      <c r="I75" s="23">
        <f ca="1">I74</f>
        <v>0</v>
      </c>
      <c r="J75" s="23">
        <f ca="1">SUM(J73:J74)</f>
        <v>0</v>
      </c>
      <c r="K75" s="22"/>
      <c r="L75" s="22"/>
    </row>
    <row r="76" ht="10.95" customHeight="true" customFormat="true" s="9">
      <c r="A76" s="22" t="s">
        <v>32</v>
      </c>
      <c r="B76" s="22"/>
      <c r="C76" s="22"/>
      <c r="D76" s="22"/>
      <c r="E76" s="22"/>
      <c r="F76" s="22"/>
      <c r="G76" s="23">
        <v>248.3500</v>
      </c>
      <c r="H76" s="23">
        <v>0</v>
      </c>
      <c r="I76" s="23">
        <v>0</v>
      </c>
      <c r="J76" s="23">
        <v>0</v>
      </c>
      <c r="K76" s="22"/>
      <c r="L76" s="22"/>
    </row>
    <row r="77" ht="10.95" customHeight="true" customFormat="true" s="9">
      <c r="A77" s="10" t="s">
        <v>33</v>
      </c>
      <c r="B77" s="10"/>
      <c r="C77" s="10"/>
      <c r="D77" s="10"/>
      <c r="E77" s="10"/>
      <c r="F77" s="10"/>
      <c r="G77" s="11">
        <v>248.3500</v>
      </c>
      <c r="H77" s="11">
        <v>0</v>
      </c>
      <c r="I77" s="11">
        <f ca="1">I74</f>
        <v>0</v>
      </c>
      <c r="J77" s="11">
        <v>0</v>
      </c>
      <c r="K77" s="10"/>
      <c r="L77" s="10"/>
    </row>
    <row r="78" ht="13.35" customHeight="true"/>
    <row r="79" ht="12.1" customHeight="true" customFormat="true" s="5">
      <c r="A79" s="8" t="s">
        <v>82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ht="10.95" customHeight="true" customFormat="true" s="9">
      <c r="A80" s="10" t="s">
        <v>16</v>
      </c>
      <c r="B80" s="10"/>
      <c r="C80" s="10"/>
      <c r="D80" s="10"/>
      <c r="E80" s="10"/>
      <c r="F80" s="10"/>
      <c r="G80" s="11">
        <v>0</v>
      </c>
      <c r="H80" s="11">
        <v>0</v>
      </c>
      <c r="I80" s="11">
        <f ca="1">(G80 - H80)</f>
        <v>0</v>
      </c>
      <c r="J80" s="11">
        <v>0</v>
      </c>
      <c r="K80" s="10"/>
      <c r="L80" s="10"/>
    </row>
    <row r="81" ht="10.95" customHeight="true" customFormat="true" s="9">
      <c r="A81" s="12">
        <v>45070</v>
      </c>
      <c r="B81" s="13" t="s">
        <v>83</v>
      </c>
      <c r="C81" s="13" t="s">
        <v>42</v>
      </c>
      <c r="D81" s="13" t="s">
        <v>43</v>
      </c>
      <c r="E81" s="13" t="s">
        <v>84</v>
      </c>
      <c r="F81" s="13"/>
      <c r="G81" s="15">
        <v>295.4500</v>
      </c>
      <c r="H81" s="15">
        <v>0</v>
      </c>
      <c r="I81" s="15">
        <f ca="1">((I80 + G81) - H81)</f>
        <v>0</v>
      </c>
      <c r="J81" s="15">
        <v>29.5500</v>
      </c>
      <c r="K81" s="16">
        <v>10.0000</v>
      </c>
      <c r="L81" s="13" t="s">
        <v>45</v>
      </c>
    </row>
    <row r="82" ht="10.95" customHeight="true" customFormat="true" s="9">
      <c r="A82" s="17">
        <v>45076</v>
      </c>
      <c r="B82" s="18" t="s">
        <v>83</v>
      </c>
      <c r="C82" s="18" t="s">
        <v>42</v>
      </c>
      <c r="D82" s="18" t="s">
        <v>43</v>
      </c>
      <c r="E82" s="18" t="s">
        <v>84</v>
      </c>
      <c r="F82" s="18"/>
      <c r="G82" s="20">
        <v>295.4500</v>
      </c>
      <c r="H82" s="20">
        <v>0</v>
      </c>
      <c r="I82" s="20">
        <f ca="1">((I81 + G82) - H82)</f>
        <v>0</v>
      </c>
      <c r="J82" s="20">
        <v>29.5500</v>
      </c>
      <c r="K82" s="21">
        <v>10.0000</v>
      </c>
      <c r="L82" s="18" t="s">
        <v>45</v>
      </c>
    </row>
    <row r="83" ht="10.95" customHeight="true" customFormat="true" s="9">
      <c r="A83" s="22" t="s">
        <v>85</v>
      </c>
      <c r="B83" s="22"/>
      <c r="C83" s="22"/>
      <c r="D83" s="22"/>
      <c r="E83" s="22"/>
      <c r="F83" s="22"/>
      <c r="G83" s="23">
        <f ca="1">SUM(G81:G82)</f>
        <v>0</v>
      </c>
      <c r="H83" s="23">
        <f ca="1">SUM(H81:H82)</f>
        <v>0</v>
      </c>
      <c r="I83" s="23">
        <f ca="1">I82</f>
        <v>0</v>
      </c>
      <c r="J83" s="23">
        <f ca="1">SUM(J81:J82)</f>
        <v>0</v>
      </c>
      <c r="K83" s="22"/>
      <c r="L83" s="22"/>
    </row>
    <row r="84" ht="10.95" customHeight="true" customFormat="true" s="9">
      <c r="A84" s="22" t="s">
        <v>32</v>
      </c>
      <c r="B84" s="22"/>
      <c r="C84" s="22"/>
      <c r="D84" s="22"/>
      <c r="E84" s="22"/>
      <c r="F84" s="22"/>
      <c r="G84" s="23">
        <v>590.9000</v>
      </c>
      <c r="H84" s="23">
        <v>0</v>
      </c>
      <c r="I84" s="23">
        <v>0</v>
      </c>
      <c r="J84" s="23">
        <v>0</v>
      </c>
      <c r="K84" s="22"/>
      <c r="L84" s="22"/>
    </row>
    <row r="85" ht="10.95" customHeight="true" customFormat="true" s="9">
      <c r="A85" s="10" t="s">
        <v>33</v>
      </c>
      <c r="B85" s="10"/>
      <c r="C85" s="10"/>
      <c r="D85" s="10"/>
      <c r="E85" s="10"/>
      <c r="F85" s="10"/>
      <c r="G85" s="11">
        <v>590.9000</v>
      </c>
      <c r="H85" s="11">
        <v>0</v>
      </c>
      <c r="I85" s="11">
        <f ca="1">I82</f>
        <v>0</v>
      </c>
      <c r="J85" s="11">
        <v>0</v>
      </c>
      <c r="K85" s="10"/>
      <c r="L85" s="10"/>
    </row>
    <row r="86" ht="13.35" customHeight="true"/>
    <row r="87" ht="12.1" customHeight="true" customFormat="true" s="5">
      <c r="A87" s="8" t="s">
        <v>86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ht="10.95" customHeight="true" customFormat="true" s="9">
      <c r="A88" s="10" t="s">
        <v>16</v>
      </c>
      <c r="B88" s="10"/>
      <c r="C88" s="10"/>
      <c r="D88" s="10"/>
      <c r="E88" s="10"/>
      <c r="F88" s="10"/>
      <c r="G88" s="11">
        <v>0</v>
      </c>
      <c r="H88" s="11">
        <v>0</v>
      </c>
      <c r="I88" s="11">
        <f ca="1">(G88 - H88)</f>
        <v>0</v>
      </c>
      <c r="J88" s="11">
        <v>0</v>
      </c>
      <c r="K88" s="10"/>
      <c r="L88" s="10"/>
    </row>
    <row r="89" ht="10.95" customHeight="true" customFormat="true" s="9">
      <c r="A89" s="12">
        <v>45043</v>
      </c>
      <c r="B89" s="13" t="s">
        <v>87</v>
      </c>
      <c r="C89" s="13" t="s">
        <v>42</v>
      </c>
      <c r="D89" s="13" t="s">
        <v>88</v>
      </c>
      <c r="E89" s="13" t="s">
        <v>89</v>
      </c>
      <c r="F89" s="13" t="s">
        <v>90</v>
      </c>
      <c r="G89" s="15">
        <v>3040.0000</v>
      </c>
      <c r="H89" s="15">
        <v>0</v>
      </c>
      <c r="I89" s="15">
        <f ca="1">((I88 + G89) - H89)</f>
        <v>0</v>
      </c>
      <c r="J89" s="15">
        <v>0</v>
      </c>
      <c r="K89" s="16">
        <v>0</v>
      </c>
      <c r="L89" s="13" t="s">
        <v>59</v>
      </c>
    </row>
    <row r="90" ht="10.95" customHeight="true" customFormat="true" s="9">
      <c r="A90" s="17">
        <v>45050</v>
      </c>
      <c r="B90" s="18" t="s">
        <v>87</v>
      </c>
      <c r="C90" s="18" t="s">
        <v>42</v>
      </c>
      <c r="D90" s="18" t="s">
        <v>88</v>
      </c>
      <c r="E90" s="18" t="s">
        <v>89</v>
      </c>
      <c r="F90" s="18" t="s">
        <v>91</v>
      </c>
      <c r="G90" s="20">
        <v>4000.0000</v>
      </c>
      <c r="H90" s="20">
        <v>0</v>
      </c>
      <c r="I90" s="20">
        <f ca="1">((I89 + G90) - H90)</f>
        <v>0</v>
      </c>
      <c r="J90" s="20">
        <v>0</v>
      </c>
      <c r="K90" s="21">
        <v>0</v>
      </c>
      <c r="L90" s="18" t="s">
        <v>59</v>
      </c>
    </row>
    <row r="91" ht="10.95" customHeight="true" customFormat="true" s="9">
      <c r="A91" s="17">
        <v>45057</v>
      </c>
      <c r="B91" s="18" t="s">
        <v>87</v>
      </c>
      <c r="C91" s="18" t="s">
        <v>42</v>
      </c>
      <c r="D91" s="18" t="s">
        <v>88</v>
      </c>
      <c r="E91" s="18" t="s">
        <v>89</v>
      </c>
      <c r="F91" s="18" t="s">
        <v>92</v>
      </c>
      <c r="G91" s="20">
        <v>4000.0000</v>
      </c>
      <c r="H91" s="20">
        <v>0</v>
      </c>
      <c r="I91" s="20">
        <f ca="1">((I90 + G91) - H91)</f>
        <v>0</v>
      </c>
      <c r="J91" s="20">
        <v>0</v>
      </c>
      <c r="K91" s="21">
        <v>0</v>
      </c>
      <c r="L91" s="18" t="s">
        <v>59</v>
      </c>
    </row>
    <row r="92" ht="10.95" customHeight="true" customFormat="true" s="9">
      <c r="A92" s="17">
        <v>45064</v>
      </c>
      <c r="B92" s="18" t="s">
        <v>87</v>
      </c>
      <c r="C92" s="18" t="s">
        <v>42</v>
      </c>
      <c r="D92" s="18" t="s">
        <v>88</v>
      </c>
      <c r="E92" s="18" t="s">
        <v>89</v>
      </c>
      <c r="F92" s="18" t="s">
        <v>93</v>
      </c>
      <c r="G92" s="20">
        <v>2307.6900</v>
      </c>
      <c r="H92" s="20">
        <v>0</v>
      </c>
      <c r="I92" s="20">
        <f ca="1">((I91 + G92) - H92)</f>
        <v>0</v>
      </c>
      <c r="J92" s="20">
        <v>0</v>
      </c>
      <c r="K92" s="21">
        <v>0</v>
      </c>
      <c r="L92" s="18" t="s">
        <v>59</v>
      </c>
    </row>
    <row r="93" ht="10.95" customHeight="true" customFormat="true" s="9">
      <c r="A93" s="17">
        <v>45071</v>
      </c>
      <c r="B93" s="18" t="s">
        <v>87</v>
      </c>
      <c r="C93" s="18" t="s">
        <v>42</v>
      </c>
      <c r="D93" s="18" t="s">
        <v>88</v>
      </c>
      <c r="E93" s="18" t="s">
        <v>89</v>
      </c>
      <c r="F93" s="18" t="s">
        <v>94</v>
      </c>
      <c r="G93" s="20">
        <v>2019.2300</v>
      </c>
      <c r="H93" s="20">
        <v>0</v>
      </c>
      <c r="I93" s="20">
        <f ca="1">((I92 + G93) - H93)</f>
        <v>0</v>
      </c>
      <c r="J93" s="20">
        <v>0</v>
      </c>
      <c r="K93" s="21">
        <v>0</v>
      </c>
      <c r="L93" s="18" t="s">
        <v>59</v>
      </c>
    </row>
    <row r="94" ht="10.95" customHeight="true" customFormat="true" s="9">
      <c r="A94" s="17">
        <v>45078</v>
      </c>
      <c r="B94" s="18" t="s">
        <v>87</v>
      </c>
      <c r="C94" s="18" t="s">
        <v>42</v>
      </c>
      <c r="D94" s="18" t="s">
        <v>88</v>
      </c>
      <c r="E94" s="18" t="s">
        <v>89</v>
      </c>
      <c r="F94" s="18" t="s">
        <v>95</v>
      </c>
      <c r="G94" s="20">
        <v>2307.6900</v>
      </c>
      <c r="H94" s="20">
        <v>0</v>
      </c>
      <c r="I94" s="20">
        <f ca="1">((I93 + G94) - H94)</f>
        <v>0</v>
      </c>
      <c r="J94" s="20">
        <v>0</v>
      </c>
      <c r="K94" s="21">
        <v>0</v>
      </c>
      <c r="L94" s="18" t="s">
        <v>59</v>
      </c>
    </row>
    <row r="95" ht="10.95" customHeight="true" customFormat="true" s="9">
      <c r="A95" s="17">
        <v>45085</v>
      </c>
      <c r="B95" s="18" t="s">
        <v>87</v>
      </c>
      <c r="C95" s="18" t="s">
        <v>42</v>
      </c>
      <c r="D95" s="18" t="s">
        <v>88</v>
      </c>
      <c r="E95" s="18" t="s">
        <v>89</v>
      </c>
      <c r="F95" s="18" t="s">
        <v>96</v>
      </c>
      <c r="G95" s="20">
        <v>2560.0000</v>
      </c>
      <c r="H95" s="20">
        <v>0</v>
      </c>
      <c r="I95" s="20">
        <f ca="1">((I94 + G95) - H95)</f>
        <v>0</v>
      </c>
      <c r="J95" s="20">
        <v>0</v>
      </c>
      <c r="K95" s="21">
        <v>0</v>
      </c>
      <c r="L95" s="18" t="s">
        <v>59</v>
      </c>
    </row>
    <row r="96" ht="10.95" customHeight="true" customFormat="true" s="9">
      <c r="A96" s="17">
        <v>45092</v>
      </c>
      <c r="B96" s="18" t="s">
        <v>87</v>
      </c>
      <c r="C96" s="18" t="s">
        <v>42</v>
      </c>
      <c r="D96" s="18" t="s">
        <v>88</v>
      </c>
      <c r="E96" s="18" t="s">
        <v>89</v>
      </c>
      <c r="F96" s="18" t="s">
        <v>97</v>
      </c>
      <c r="G96" s="20">
        <v>2307.6900</v>
      </c>
      <c r="H96" s="20">
        <v>0</v>
      </c>
      <c r="I96" s="20">
        <f ca="1">((I95 + G96) - H96)</f>
        <v>0</v>
      </c>
      <c r="J96" s="20">
        <v>0</v>
      </c>
      <c r="K96" s="21">
        <v>0</v>
      </c>
      <c r="L96" s="18" t="s">
        <v>59</v>
      </c>
    </row>
    <row r="97" ht="10.95" customHeight="true" customFormat="true" s="9">
      <c r="A97" s="17">
        <v>45099</v>
      </c>
      <c r="B97" s="18" t="s">
        <v>87</v>
      </c>
      <c r="C97" s="18" t="s">
        <v>42</v>
      </c>
      <c r="D97" s="18" t="s">
        <v>88</v>
      </c>
      <c r="E97" s="18" t="s">
        <v>89</v>
      </c>
      <c r="F97" s="18" t="s">
        <v>98</v>
      </c>
      <c r="G97" s="20">
        <v>2307.6900</v>
      </c>
      <c r="H97" s="20">
        <v>0</v>
      </c>
      <c r="I97" s="20">
        <f ca="1">((I96 + G97) - H97)</f>
        <v>0</v>
      </c>
      <c r="J97" s="20">
        <v>0</v>
      </c>
      <c r="K97" s="21">
        <v>0</v>
      </c>
      <c r="L97" s="18" t="s">
        <v>59</v>
      </c>
    </row>
    <row r="98" ht="10.95" customHeight="true" customFormat="true" s="9">
      <c r="A98" s="17">
        <v>45106</v>
      </c>
      <c r="B98" s="18" t="s">
        <v>87</v>
      </c>
      <c r="C98" s="18" t="s">
        <v>42</v>
      </c>
      <c r="D98" s="18" t="s">
        <v>88</v>
      </c>
      <c r="E98" s="18" t="s">
        <v>89</v>
      </c>
      <c r="F98" s="18" t="s">
        <v>99</v>
      </c>
      <c r="G98" s="20">
        <v>500.0000</v>
      </c>
      <c r="H98" s="20">
        <v>0</v>
      </c>
      <c r="I98" s="20">
        <f ca="1">((I97 + G98) - H98)</f>
        <v>0</v>
      </c>
      <c r="J98" s="20">
        <v>0</v>
      </c>
      <c r="K98" s="21">
        <v>0</v>
      </c>
      <c r="L98" s="18" t="s">
        <v>59</v>
      </c>
    </row>
    <row r="99" ht="10.95" customHeight="true" customFormat="true" s="9">
      <c r="A99" s="17">
        <v>45106</v>
      </c>
      <c r="B99" s="18" t="s">
        <v>87</v>
      </c>
      <c r="C99" s="18" t="s">
        <v>42</v>
      </c>
      <c r="D99" s="18" t="s">
        <v>88</v>
      </c>
      <c r="E99" s="18" t="s">
        <v>89</v>
      </c>
      <c r="F99" s="18" t="s">
        <v>100</v>
      </c>
      <c r="G99" s="20">
        <v>0</v>
      </c>
      <c r="H99" s="20">
        <v>500.0000</v>
      </c>
      <c r="I99" s="20">
        <f ca="1">((I98 + G99) - H99)</f>
        <v>0</v>
      </c>
      <c r="J99" s="20">
        <v>0</v>
      </c>
      <c r="K99" s="21">
        <v>0</v>
      </c>
      <c r="L99" s="18" t="s">
        <v>59</v>
      </c>
    </row>
    <row r="100" ht="10.95" customHeight="true" customFormat="true" s="9">
      <c r="A100" s="22" t="s">
        <v>101</v>
      </c>
      <c r="B100" s="22"/>
      <c r="C100" s="22"/>
      <c r="D100" s="22"/>
      <c r="E100" s="22"/>
      <c r="F100" s="22"/>
      <c r="G100" s="23">
        <f ca="1">SUM(G89:G99)</f>
        <v>0</v>
      </c>
      <c r="H100" s="23">
        <f ca="1">SUM(H89:H99)</f>
        <v>0</v>
      </c>
      <c r="I100" s="23">
        <f ca="1">I99</f>
        <v>0</v>
      </c>
      <c r="J100" s="23">
        <f ca="1">SUM(J89:J99)</f>
        <v>0</v>
      </c>
      <c r="K100" s="22"/>
      <c r="L100" s="22"/>
    </row>
    <row r="101" ht="10.95" customHeight="true" customFormat="true" s="9">
      <c r="A101" s="22" t="s">
        <v>32</v>
      </c>
      <c r="B101" s="22"/>
      <c r="C101" s="22"/>
      <c r="D101" s="22"/>
      <c r="E101" s="22"/>
      <c r="F101" s="22"/>
      <c r="G101" s="23">
        <v>24849.9900</v>
      </c>
      <c r="H101" s="23">
        <v>0</v>
      </c>
      <c r="I101" s="23">
        <v>0</v>
      </c>
      <c r="J101" s="23">
        <v>0</v>
      </c>
      <c r="K101" s="22"/>
      <c r="L101" s="22"/>
    </row>
    <row r="102" ht="10.95" customHeight="true" customFormat="true" s="9">
      <c r="A102" s="10" t="s">
        <v>33</v>
      </c>
      <c r="B102" s="10"/>
      <c r="C102" s="10"/>
      <c r="D102" s="10"/>
      <c r="E102" s="10"/>
      <c r="F102" s="10"/>
      <c r="G102" s="11">
        <v>24849.9900</v>
      </c>
      <c r="H102" s="11">
        <v>0</v>
      </c>
      <c r="I102" s="11">
        <f ca="1">I99</f>
        <v>0</v>
      </c>
      <c r="J102" s="11">
        <v>0</v>
      </c>
      <c r="K102" s="10"/>
      <c r="L102" s="10"/>
    </row>
    <row r="103" ht="13.35" customHeight="true"/>
    <row r="104" ht="12.1" customHeight="true" customFormat="true" s="5">
      <c r="A104" s="8" t="s">
        <v>102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ht="10.95" customHeight="true" customFormat="true" s="9">
      <c r="A105" s="10" t="s">
        <v>16</v>
      </c>
      <c r="B105" s="10"/>
      <c r="C105" s="10"/>
      <c r="D105" s="10"/>
      <c r="E105" s="10"/>
      <c r="F105" s="10"/>
      <c r="G105" s="11">
        <v>0</v>
      </c>
      <c r="H105" s="11">
        <v>0</v>
      </c>
      <c r="I105" s="11">
        <f ca="1">(G105 - H105)</f>
        <v>0</v>
      </c>
      <c r="J105" s="11">
        <v>0</v>
      </c>
      <c r="K105" s="10"/>
      <c r="L105" s="10"/>
    </row>
    <row r="106" ht="10.95" customHeight="true" customFormat="true" s="9">
      <c r="A106" s="12">
        <v>45043</v>
      </c>
      <c r="B106" s="13" t="s">
        <v>103</v>
      </c>
      <c r="C106" s="13" t="s">
        <v>42</v>
      </c>
      <c r="D106" s="13" t="s">
        <v>88</v>
      </c>
      <c r="E106" s="13" t="s">
        <v>104</v>
      </c>
      <c r="F106" s="13" t="s">
        <v>90</v>
      </c>
      <c r="G106" s="15">
        <v>319.2000</v>
      </c>
      <c r="H106" s="15">
        <v>0</v>
      </c>
      <c r="I106" s="15">
        <f ca="1">((I105 + G106) - H106)</f>
        <v>0</v>
      </c>
      <c r="J106" s="15">
        <v>0</v>
      </c>
      <c r="K106" s="16">
        <v>0</v>
      </c>
      <c r="L106" s="13" t="s">
        <v>59</v>
      </c>
    </row>
    <row r="107" ht="10.95" customHeight="true" customFormat="true" s="9">
      <c r="A107" s="17">
        <v>45050</v>
      </c>
      <c r="B107" s="18" t="s">
        <v>103</v>
      </c>
      <c r="C107" s="18" t="s">
        <v>42</v>
      </c>
      <c r="D107" s="18" t="s">
        <v>88</v>
      </c>
      <c r="E107" s="18" t="s">
        <v>104</v>
      </c>
      <c r="F107" s="18" t="s">
        <v>91</v>
      </c>
      <c r="G107" s="20">
        <v>420.0000</v>
      </c>
      <c r="H107" s="20">
        <v>0</v>
      </c>
      <c r="I107" s="20">
        <f ca="1">((I106 + G107) - H107)</f>
        <v>0</v>
      </c>
      <c r="J107" s="20">
        <v>0</v>
      </c>
      <c r="K107" s="21">
        <v>0</v>
      </c>
      <c r="L107" s="18" t="s">
        <v>59</v>
      </c>
    </row>
    <row r="108" ht="10.95" customHeight="true" customFormat="true" s="9">
      <c r="A108" s="17">
        <v>45057</v>
      </c>
      <c r="B108" s="18" t="s">
        <v>103</v>
      </c>
      <c r="C108" s="18" t="s">
        <v>42</v>
      </c>
      <c r="D108" s="18" t="s">
        <v>88</v>
      </c>
      <c r="E108" s="18" t="s">
        <v>104</v>
      </c>
      <c r="F108" s="18" t="s">
        <v>92</v>
      </c>
      <c r="G108" s="20">
        <v>420.0000</v>
      </c>
      <c r="H108" s="20">
        <v>0</v>
      </c>
      <c r="I108" s="20">
        <f ca="1">((I107 + G108) - H108)</f>
        <v>0</v>
      </c>
      <c r="J108" s="20">
        <v>0</v>
      </c>
      <c r="K108" s="21">
        <v>0</v>
      </c>
      <c r="L108" s="18" t="s">
        <v>59</v>
      </c>
    </row>
    <row r="109" ht="10.95" customHeight="true" customFormat="true" s="9">
      <c r="A109" s="17">
        <v>45064</v>
      </c>
      <c r="B109" s="18" t="s">
        <v>103</v>
      </c>
      <c r="C109" s="18" t="s">
        <v>42</v>
      </c>
      <c r="D109" s="18" t="s">
        <v>88</v>
      </c>
      <c r="E109" s="18" t="s">
        <v>104</v>
      </c>
      <c r="F109" s="18" t="s">
        <v>93</v>
      </c>
      <c r="G109" s="20">
        <v>242.3100</v>
      </c>
      <c r="H109" s="20">
        <v>0</v>
      </c>
      <c r="I109" s="20">
        <f ca="1">((I108 + G109) - H109)</f>
        <v>0</v>
      </c>
      <c r="J109" s="20">
        <v>0</v>
      </c>
      <c r="K109" s="21">
        <v>0</v>
      </c>
      <c r="L109" s="18" t="s">
        <v>59</v>
      </c>
    </row>
    <row r="110" ht="10.95" customHeight="true" customFormat="true" s="9">
      <c r="A110" s="17">
        <v>45071</v>
      </c>
      <c r="B110" s="18" t="s">
        <v>103</v>
      </c>
      <c r="C110" s="18" t="s">
        <v>42</v>
      </c>
      <c r="D110" s="18" t="s">
        <v>88</v>
      </c>
      <c r="E110" s="18" t="s">
        <v>104</v>
      </c>
      <c r="F110" s="18" t="s">
        <v>94</v>
      </c>
      <c r="G110" s="20">
        <v>212.0200</v>
      </c>
      <c r="H110" s="20">
        <v>0</v>
      </c>
      <c r="I110" s="20">
        <f ca="1">((I109 + G110) - H110)</f>
        <v>0</v>
      </c>
      <c r="J110" s="20">
        <v>0</v>
      </c>
      <c r="K110" s="21">
        <v>0</v>
      </c>
      <c r="L110" s="18" t="s">
        <v>59</v>
      </c>
    </row>
    <row r="111" ht="10.95" customHeight="true" customFormat="true" s="9">
      <c r="A111" s="17">
        <v>45078</v>
      </c>
      <c r="B111" s="18" t="s">
        <v>103</v>
      </c>
      <c r="C111" s="18" t="s">
        <v>42</v>
      </c>
      <c r="D111" s="18" t="s">
        <v>88</v>
      </c>
      <c r="E111" s="18" t="s">
        <v>104</v>
      </c>
      <c r="F111" s="18" t="s">
        <v>95</v>
      </c>
      <c r="G111" s="20">
        <v>242.3100</v>
      </c>
      <c r="H111" s="20">
        <v>0</v>
      </c>
      <c r="I111" s="20">
        <f ca="1">((I110 + G111) - H111)</f>
        <v>0</v>
      </c>
      <c r="J111" s="20">
        <v>0</v>
      </c>
      <c r="K111" s="21">
        <v>0</v>
      </c>
      <c r="L111" s="18" t="s">
        <v>59</v>
      </c>
    </row>
    <row r="112" ht="10.95" customHeight="true" customFormat="true" s="9">
      <c r="A112" s="17">
        <v>45085</v>
      </c>
      <c r="B112" s="18" t="s">
        <v>103</v>
      </c>
      <c r="C112" s="18" t="s">
        <v>42</v>
      </c>
      <c r="D112" s="18" t="s">
        <v>88</v>
      </c>
      <c r="E112" s="18" t="s">
        <v>104</v>
      </c>
      <c r="F112" s="18" t="s">
        <v>96</v>
      </c>
      <c r="G112" s="20">
        <v>268.8000</v>
      </c>
      <c r="H112" s="20">
        <v>0</v>
      </c>
      <c r="I112" s="20">
        <f ca="1">((I111 + G112) - H112)</f>
        <v>0</v>
      </c>
      <c r="J112" s="20">
        <v>0</v>
      </c>
      <c r="K112" s="21">
        <v>0</v>
      </c>
      <c r="L112" s="18" t="s">
        <v>59</v>
      </c>
    </row>
    <row r="113" ht="10.95" customHeight="true" customFormat="true" s="9">
      <c r="A113" s="17">
        <v>45092</v>
      </c>
      <c r="B113" s="18" t="s">
        <v>103</v>
      </c>
      <c r="C113" s="18" t="s">
        <v>42</v>
      </c>
      <c r="D113" s="18" t="s">
        <v>88</v>
      </c>
      <c r="E113" s="18" t="s">
        <v>104</v>
      </c>
      <c r="F113" s="18" t="s">
        <v>97</v>
      </c>
      <c r="G113" s="20">
        <v>242.3100</v>
      </c>
      <c r="H113" s="20">
        <v>0</v>
      </c>
      <c r="I113" s="20">
        <f ca="1">((I112 + G113) - H113)</f>
        <v>0</v>
      </c>
      <c r="J113" s="20">
        <v>0</v>
      </c>
      <c r="K113" s="21">
        <v>0</v>
      </c>
      <c r="L113" s="18" t="s">
        <v>59</v>
      </c>
    </row>
    <row r="114" ht="10.95" customHeight="true" customFormat="true" s="9">
      <c r="A114" s="17">
        <v>45099</v>
      </c>
      <c r="B114" s="18" t="s">
        <v>103</v>
      </c>
      <c r="C114" s="18" t="s">
        <v>42</v>
      </c>
      <c r="D114" s="18" t="s">
        <v>88</v>
      </c>
      <c r="E114" s="18" t="s">
        <v>104</v>
      </c>
      <c r="F114" s="18" t="s">
        <v>98</v>
      </c>
      <c r="G114" s="20">
        <v>242.3100</v>
      </c>
      <c r="H114" s="20">
        <v>0</v>
      </c>
      <c r="I114" s="20">
        <f ca="1">((I113 + G114) - H114)</f>
        <v>0</v>
      </c>
      <c r="J114" s="20">
        <v>0</v>
      </c>
      <c r="K114" s="21">
        <v>0</v>
      </c>
      <c r="L114" s="18" t="s">
        <v>59</v>
      </c>
    </row>
    <row r="115" ht="10.95" customHeight="true" customFormat="true" s="9">
      <c r="A115" s="17">
        <v>45106</v>
      </c>
      <c r="B115" s="18" t="s">
        <v>103</v>
      </c>
      <c r="C115" s="18" t="s">
        <v>42</v>
      </c>
      <c r="D115" s="18" t="s">
        <v>88</v>
      </c>
      <c r="E115" s="18" t="s">
        <v>104</v>
      </c>
      <c r="F115" s="18" t="s">
        <v>99</v>
      </c>
      <c r="G115" s="20">
        <v>52.5000</v>
      </c>
      <c r="H115" s="20">
        <v>0</v>
      </c>
      <c r="I115" s="20">
        <f ca="1">((I114 + G115) - H115)</f>
        <v>0</v>
      </c>
      <c r="J115" s="20">
        <v>0</v>
      </c>
      <c r="K115" s="21">
        <v>0</v>
      </c>
      <c r="L115" s="18" t="s">
        <v>59</v>
      </c>
    </row>
    <row r="116" ht="10.95" customHeight="true" customFormat="true" s="9">
      <c r="A116" s="17">
        <v>45106</v>
      </c>
      <c r="B116" s="18" t="s">
        <v>103</v>
      </c>
      <c r="C116" s="18" t="s">
        <v>42</v>
      </c>
      <c r="D116" s="18" t="s">
        <v>88</v>
      </c>
      <c r="E116" s="18" t="s">
        <v>104</v>
      </c>
      <c r="F116" s="18" t="s">
        <v>100</v>
      </c>
      <c r="G116" s="20">
        <v>0</v>
      </c>
      <c r="H116" s="20">
        <v>52.5000</v>
      </c>
      <c r="I116" s="20">
        <f ca="1">((I115 + G116) - H116)</f>
        <v>0</v>
      </c>
      <c r="J116" s="20">
        <v>0</v>
      </c>
      <c r="K116" s="21">
        <v>0</v>
      </c>
      <c r="L116" s="18" t="s">
        <v>59</v>
      </c>
    </row>
    <row r="117" ht="10.95" customHeight="true" customFormat="true" s="9">
      <c r="A117" s="22" t="s">
        <v>105</v>
      </c>
      <c r="B117" s="22"/>
      <c r="C117" s="22"/>
      <c r="D117" s="22"/>
      <c r="E117" s="22"/>
      <c r="F117" s="22"/>
      <c r="G117" s="23">
        <f ca="1">SUM(G106:G116)</f>
        <v>0</v>
      </c>
      <c r="H117" s="23">
        <f ca="1">SUM(H106:H116)</f>
        <v>0</v>
      </c>
      <c r="I117" s="23">
        <f ca="1">I116</f>
        <v>0</v>
      </c>
      <c r="J117" s="23">
        <f ca="1">SUM(J106:J116)</f>
        <v>0</v>
      </c>
      <c r="K117" s="22"/>
      <c r="L117" s="22"/>
    </row>
    <row r="118" ht="10.95" customHeight="true" customFormat="true" s="9">
      <c r="A118" s="22" t="s">
        <v>32</v>
      </c>
      <c r="B118" s="22"/>
      <c r="C118" s="22"/>
      <c r="D118" s="22"/>
      <c r="E118" s="22"/>
      <c r="F118" s="22"/>
      <c r="G118" s="23">
        <v>2609.2600</v>
      </c>
      <c r="H118" s="23">
        <v>0</v>
      </c>
      <c r="I118" s="23">
        <v>0</v>
      </c>
      <c r="J118" s="23">
        <v>0</v>
      </c>
      <c r="K118" s="22"/>
      <c r="L118" s="22"/>
    </row>
    <row r="119" ht="10.95" customHeight="true" customFormat="true" s="9">
      <c r="A119" s="10" t="s">
        <v>33</v>
      </c>
      <c r="B119" s="10"/>
      <c r="C119" s="10"/>
      <c r="D119" s="10"/>
      <c r="E119" s="10"/>
      <c r="F119" s="10"/>
      <c r="G119" s="11">
        <v>2609.2600</v>
      </c>
      <c r="H119" s="11">
        <v>0</v>
      </c>
      <c r="I119" s="11">
        <f ca="1">I116</f>
        <v>0</v>
      </c>
      <c r="J119" s="11">
        <v>0</v>
      </c>
      <c r="K119" s="10"/>
      <c r="L119" s="10"/>
    </row>
    <row r="120" ht="13.35" customHeight="true"/>
    <row r="121" ht="12.1" customHeight="true" customFormat="true" s="5">
      <c r="A121" s="8" t="s">
        <v>106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ht="10.95" customHeight="true" customFormat="true" s="9">
      <c r="A122" s="10" t="s">
        <v>16</v>
      </c>
      <c r="B122" s="10"/>
      <c r="C122" s="10"/>
      <c r="D122" s="10"/>
      <c r="E122" s="10"/>
      <c r="F122" s="10"/>
      <c r="G122" s="11">
        <v>0</v>
      </c>
      <c r="H122" s="11">
        <v>0</v>
      </c>
      <c r="I122" s="11">
        <f ca="1">(G122 - H122)</f>
        <v>0</v>
      </c>
      <c r="J122" s="11">
        <v>0</v>
      </c>
      <c r="K122" s="10"/>
      <c r="L122" s="10"/>
    </row>
    <row r="123" ht="10.95" customHeight="true" customFormat="true" s="9">
      <c r="A123" s="12">
        <v>45107</v>
      </c>
      <c r="B123" s="13" t="s">
        <v>107</v>
      </c>
      <c r="C123" s="13" t="s">
        <v>42</v>
      </c>
      <c r="D123" s="13" t="s">
        <v>53</v>
      </c>
      <c r="E123" s="13" t="s">
        <v>65</v>
      </c>
      <c r="F123" s="13" t="s">
        <v>58</v>
      </c>
      <c r="G123" s="15">
        <v>65.4600</v>
      </c>
      <c r="H123" s="15">
        <v>0</v>
      </c>
      <c r="I123" s="15">
        <f ca="1">((I122 + G123) - H123)</f>
        <v>0</v>
      </c>
      <c r="J123" s="15">
        <v>0</v>
      </c>
      <c r="K123" s="16">
        <v>0</v>
      </c>
      <c r="L123" s="13" t="s">
        <v>59</v>
      </c>
    </row>
    <row r="124" ht="10.95" customHeight="true" customFormat="true" s="9">
      <c r="A124" s="22" t="s">
        <v>108</v>
      </c>
      <c r="B124" s="22"/>
      <c r="C124" s="22"/>
      <c r="D124" s="22"/>
      <c r="E124" s="22"/>
      <c r="F124" s="22"/>
      <c r="G124" s="23">
        <f ca="1">G123</f>
        <v>0</v>
      </c>
      <c r="H124" s="23">
        <f ca="1">H123</f>
        <v>0</v>
      </c>
      <c r="I124" s="23">
        <f ca="1">I123</f>
        <v>0</v>
      </c>
      <c r="J124" s="23">
        <f ca="1">J123</f>
        <v>0</v>
      </c>
      <c r="K124" s="22"/>
      <c r="L124" s="22"/>
    </row>
    <row r="125" ht="10.95" customHeight="true" customFormat="true" s="9">
      <c r="A125" s="22" t="s">
        <v>32</v>
      </c>
      <c r="B125" s="22"/>
      <c r="C125" s="22"/>
      <c r="D125" s="22"/>
      <c r="E125" s="22"/>
      <c r="F125" s="22"/>
      <c r="G125" s="23">
        <v>65.4600</v>
      </c>
      <c r="H125" s="23">
        <v>0</v>
      </c>
      <c r="I125" s="23">
        <v>0</v>
      </c>
      <c r="J125" s="23">
        <v>0</v>
      </c>
      <c r="K125" s="22"/>
      <c r="L125" s="22"/>
    </row>
    <row r="126" ht="10.95" customHeight="true" customFormat="true" s="9">
      <c r="A126" s="10" t="s">
        <v>33</v>
      </c>
      <c r="B126" s="10"/>
      <c r="C126" s="10"/>
      <c r="D126" s="10"/>
      <c r="E126" s="10"/>
      <c r="F126" s="10"/>
      <c r="G126" s="11">
        <v>65.4600</v>
      </c>
      <c r="H126" s="11">
        <v>0</v>
      </c>
      <c r="I126" s="11">
        <f ca="1">I123</f>
        <v>0</v>
      </c>
      <c r="J126" s="11">
        <v>0</v>
      </c>
      <c r="K126" s="10"/>
      <c r="L126" s="10"/>
    </row>
    <row r="127" ht="13.35" customHeight="true"/>
    <row r="128" ht="12.1" customHeight="true" customFormat="true" s="5">
      <c r="A128" s="8" t="s">
        <v>109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ht="10.95" customHeight="true" customFormat="true" s="9">
      <c r="A129" s="10" t="s">
        <v>16</v>
      </c>
      <c r="B129" s="10"/>
      <c r="C129" s="10"/>
      <c r="D129" s="10"/>
      <c r="E129" s="10"/>
      <c r="F129" s="10"/>
      <c r="G129" s="11">
        <v>0</v>
      </c>
      <c r="H129" s="11">
        <v>0</v>
      </c>
      <c r="I129" s="11">
        <f ca="1">(G129 - H129)</f>
        <v>0</v>
      </c>
      <c r="J129" s="11">
        <v>0</v>
      </c>
      <c r="K129" s="10"/>
      <c r="L129" s="10"/>
    </row>
    <row r="130" ht="10.95" customHeight="true" customFormat="true" s="9">
      <c r="A130" s="12">
        <v>45049</v>
      </c>
      <c r="B130" s="13" t="s">
        <v>110</v>
      </c>
      <c r="C130" s="13" t="s">
        <v>42</v>
      </c>
      <c r="D130" s="13" t="s">
        <v>43</v>
      </c>
      <c r="E130" s="13" t="s">
        <v>44</v>
      </c>
      <c r="F130" s="13"/>
      <c r="G130" s="15">
        <v>146.3600</v>
      </c>
      <c r="H130" s="15">
        <v>0</v>
      </c>
      <c r="I130" s="15">
        <f ca="1">((I129 + G130) - H130)</f>
        <v>0</v>
      </c>
      <c r="J130" s="15">
        <v>14.6400</v>
      </c>
      <c r="K130" s="16">
        <v>10.0000</v>
      </c>
      <c r="L130" s="13" t="s">
        <v>45</v>
      </c>
    </row>
    <row r="131" ht="10.95" customHeight="true" customFormat="true" s="9">
      <c r="A131" s="17">
        <v>45082</v>
      </c>
      <c r="B131" s="18" t="s">
        <v>110</v>
      </c>
      <c r="C131" s="18" t="s">
        <v>42</v>
      </c>
      <c r="D131" s="18" t="s">
        <v>43</v>
      </c>
      <c r="E131" s="18" t="s">
        <v>111</v>
      </c>
      <c r="F131" s="18"/>
      <c r="G131" s="20">
        <v>148.1800</v>
      </c>
      <c r="H131" s="20">
        <v>0</v>
      </c>
      <c r="I131" s="20">
        <f ca="1">((I130 + G131) - H131)</f>
        <v>0</v>
      </c>
      <c r="J131" s="20">
        <v>14.8200</v>
      </c>
      <c r="K131" s="21">
        <v>10.0000</v>
      </c>
      <c r="L131" s="18" t="s">
        <v>45</v>
      </c>
    </row>
    <row r="132" ht="10.95" customHeight="true" customFormat="true" s="9">
      <c r="A132" s="17">
        <v>45104</v>
      </c>
      <c r="B132" s="18" t="s">
        <v>110</v>
      </c>
      <c r="C132" s="18" t="s">
        <v>42</v>
      </c>
      <c r="D132" s="18" t="s">
        <v>43</v>
      </c>
      <c r="E132" s="18" t="s">
        <v>112</v>
      </c>
      <c r="F132" s="18"/>
      <c r="G132" s="20">
        <v>148.1800</v>
      </c>
      <c r="H132" s="20">
        <v>0</v>
      </c>
      <c r="I132" s="20">
        <f ca="1">((I131 + G132) - H132)</f>
        <v>0</v>
      </c>
      <c r="J132" s="20">
        <v>14.8200</v>
      </c>
      <c r="K132" s="21">
        <v>10.0000</v>
      </c>
      <c r="L132" s="18" t="s">
        <v>45</v>
      </c>
    </row>
    <row r="133" ht="10.95" customHeight="true" customFormat="true" s="9">
      <c r="A133" s="22" t="s">
        <v>113</v>
      </c>
      <c r="B133" s="22"/>
      <c r="C133" s="22"/>
      <c r="D133" s="22"/>
      <c r="E133" s="22"/>
      <c r="F133" s="22"/>
      <c r="G133" s="23">
        <f ca="1">SUM(G130:G132)</f>
        <v>0</v>
      </c>
      <c r="H133" s="23">
        <f ca="1">SUM(H130:H132)</f>
        <v>0</v>
      </c>
      <c r="I133" s="23">
        <f ca="1">I132</f>
        <v>0</v>
      </c>
      <c r="J133" s="23">
        <f ca="1">SUM(J130:J132)</f>
        <v>0</v>
      </c>
      <c r="K133" s="22"/>
      <c r="L133" s="22"/>
    </row>
    <row r="134" ht="10.95" customHeight="true" customFormat="true" s="9">
      <c r="A134" s="22" t="s">
        <v>32</v>
      </c>
      <c r="B134" s="22"/>
      <c r="C134" s="22"/>
      <c r="D134" s="22"/>
      <c r="E134" s="22"/>
      <c r="F134" s="22"/>
      <c r="G134" s="23">
        <v>442.7200</v>
      </c>
      <c r="H134" s="23">
        <v>0</v>
      </c>
      <c r="I134" s="23">
        <v>0</v>
      </c>
      <c r="J134" s="23">
        <v>0</v>
      </c>
      <c r="K134" s="22"/>
      <c r="L134" s="22"/>
    </row>
    <row r="135" ht="10.95" customHeight="true" customFormat="true" s="9">
      <c r="A135" s="10" t="s">
        <v>33</v>
      </c>
      <c r="B135" s="10"/>
      <c r="C135" s="10"/>
      <c r="D135" s="10"/>
      <c r="E135" s="10"/>
      <c r="F135" s="10"/>
      <c r="G135" s="11">
        <v>442.7200</v>
      </c>
      <c r="H135" s="11">
        <v>0</v>
      </c>
      <c r="I135" s="11">
        <f ca="1">I132</f>
        <v>0</v>
      </c>
      <c r="J135" s="11">
        <v>0</v>
      </c>
      <c r="K135" s="10"/>
      <c r="L135" s="10"/>
    </row>
    <row r="136" ht="13.35" customHeight="true"/>
    <row r="137" ht="12.1" customHeight="true" customFormat="true" s="5">
      <c r="A137" s="8" t="s">
        <v>114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ht="10.95" customHeight="true" customFormat="true" s="9">
      <c r="A138" s="10" t="s">
        <v>16</v>
      </c>
      <c r="B138" s="10"/>
      <c r="C138" s="10"/>
      <c r="D138" s="10"/>
      <c r="E138" s="10"/>
      <c r="F138" s="10"/>
      <c r="G138" s="11">
        <v>0</v>
      </c>
      <c r="H138" s="11">
        <v>0</v>
      </c>
      <c r="I138" s="11">
        <f ca="1">(G138 - H138)</f>
        <v>0</v>
      </c>
      <c r="J138" s="11">
        <v>0</v>
      </c>
      <c r="K138" s="10"/>
      <c r="L138" s="10"/>
    </row>
    <row r="139" ht="10.95" customHeight="true" customFormat="true" s="9">
      <c r="A139" s="12">
        <v>45038</v>
      </c>
      <c r="B139" s="13" t="s">
        <v>115</v>
      </c>
      <c r="C139" s="13" t="s">
        <v>42</v>
      </c>
      <c r="D139" s="13" t="s">
        <v>43</v>
      </c>
      <c r="E139" s="13" t="s">
        <v>116</v>
      </c>
      <c r="F139" s="13"/>
      <c r="G139" s="15">
        <v>590.9100</v>
      </c>
      <c r="H139" s="15">
        <v>0</v>
      </c>
      <c r="I139" s="15">
        <f ca="1">((I138 + G139) - H139)</f>
        <v>0</v>
      </c>
      <c r="J139" s="15">
        <v>59.0900</v>
      </c>
      <c r="K139" s="16">
        <v>10.0000</v>
      </c>
      <c r="L139" s="13" t="s">
        <v>45</v>
      </c>
    </row>
    <row r="140" ht="10.95" customHeight="true" customFormat="true" s="9">
      <c r="A140" s="22" t="s">
        <v>117</v>
      </c>
      <c r="B140" s="22"/>
      <c r="C140" s="22"/>
      <c r="D140" s="22"/>
      <c r="E140" s="22"/>
      <c r="F140" s="22"/>
      <c r="G140" s="23">
        <f ca="1">G139</f>
        <v>0</v>
      </c>
      <c r="H140" s="23">
        <f ca="1">H139</f>
        <v>0</v>
      </c>
      <c r="I140" s="23">
        <f ca="1">I139</f>
        <v>0</v>
      </c>
      <c r="J140" s="23">
        <f ca="1">J139</f>
        <v>0</v>
      </c>
      <c r="K140" s="22"/>
      <c r="L140" s="22"/>
    </row>
    <row r="141" ht="10.95" customHeight="true" customFormat="true" s="9">
      <c r="A141" s="22" t="s">
        <v>32</v>
      </c>
      <c r="B141" s="22"/>
      <c r="C141" s="22"/>
      <c r="D141" s="22"/>
      <c r="E141" s="22"/>
      <c r="F141" s="22"/>
      <c r="G141" s="23">
        <v>590.9100</v>
      </c>
      <c r="H141" s="23">
        <v>0</v>
      </c>
      <c r="I141" s="23">
        <v>0</v>
      </c>
      <c r="J141" s="23">
        <v>0</v>
      </c>
      <c r="K141" s="22"/>
      <c r="L141" s="22"/>
    </row>
    <row r="142" ht="10.95" customHeight="true" customFormat="true" s="9">
      <c r="A142" s="10" t="s">
        <v>33</v>
      </c>
      <c r="B142" s="10"/>
      <c r="C142" s="10"/>
      <c r="D142" s="10"/>
      <c r="E142" s="10"/>
      <c r="F142" s="10"/>
      <c r="G142" s="11">
        <v>590.9100</v>
      </c>
      <c r="H142" s="11">
        <v>0</v>
      </c>
      <c r="I142" s="11">
        <f ca="1">I139</f>
        <v>0</v>
      </c>
      <c r="J142" s="11">
        <v>0</v>
      </c>
      <c r="K142" s="10"/>
      <c r="L142" s="10"/>
    </row>
    <row r="143" ht="13.35" customHeight="true"/>
    <row r="144" ht="12.1" customHeight="true" customFormat="true" s="5">
      <c r="A144" s="8" t="s">
        <v>118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ht="10.95" customHeight="true" customFormat="true" s="9">
      <c r="A145" s="10" t="s">
        <v>16</v>
      </c>
      <c r="B145" s="10"/>
      <c r="C145" s="10"/>
      <c r="D145" s="10"/>
      <c r="E145" s="10"/>
      <c r="F145" s="10"/>
      <c r="G145" s="11">
        <v>0</v>
      </c>
      <c r="H145" s="11">
        <v>0</v>
      </c>
      <c r="I145" s="11">
        <f ca="1">(G145 - H145)</f>
        <v>0</v>
      </c>
      <c r="J145" s="11">
        <v>0</v>
      </c>
      <c r="K145" s="10"/>
      <c r="L145" s="10"/>
    </row>
    <row r="146" ht="10.95" customHeight="true" customFormat="true" s="9">
      <c r="A146" s="12">
        <v>45082</v>
      </c>
      <c r="B146" s="13" t="s">
        <v>119</v>
      </c>
      <c r="C146" s="13" t="s">
        <v>42</v>
      </c>
      <c r="D146" s="13" t="s">
        <v>43</v>
      </c>
      <c r="E146" s="13" t="s">
        <v>120</v>
      </c>
      <c r="F146" s="13"/>
      <c r="G146" s="15">
        <v>93.2700</v>
      </c>
      <c r="H146" s="15">
        <v>0</v>
      </c>
      <c r="I146" s="15">
        <f ca="1">((I145 + G146) - H146)</f>
        <v>0</v>
      </c>
      <c r="J146" s="15">
        <v>9.3300</v>
      </c>
      <c r="K146" s="16">
        <v>10.0000</v>
      </c>
      <c r="L146" s="13" t="s">
        <v>45</v>
      </c>
    </row>
    <row r="147" ht="10.95" customHeight="true" customFormat="true" s="9">
      <c r="A147" s="22" t="s">
        <v>121</v>
      </c>
      <c r="B147" s="22"/>
      <c r="C147" s="22"/>
      <c r="D147" s="22"/>
      <c r="E147" s="22"/>
      <c r="F147" s="22"/>
      <c r="G147" s="23">
        <f ca="1">G146</f>
        <v>0</v>
      </c>
      <c r="H147" s="23">
        <f ca="1">H146</f>
        <v>0</v>
      </c>
      <c r="I147" s="23">
        <f ca="1">I146</f>
        <v>0</v>
      </c>
      <c r="J147" s="23">
        <f ca="1">J146</f>
        <v>0</v>
      </c>
      <c r="K147" s="22"/>
      <c r="L147" s="22"/>
    </row>
    <row r="148" ht="10.95" customHeight="true" customFormat="true" s="9">
      <c r="A148" s="22" t="s">
        <v>32</v>
      </c>
      <c r="B148" s="22"/>
      <c r="C148" s="22"/>
      <c r="D148" s="22"/>
      <c r="E148" s="22"/>
      <c r="F148" s="22"/>
      <c r="G148" s="23">
        <v>93.2700</v>
      </c>
      <c r="H148" s="23">
        <v>0</v>
      </c>
      <c r="I148" s="23">
        <v>0</v>
      </c>
      <c r="J148" s="23">
        <v>0</v>
      </c>
      <c r="K148" s="22"/>
      <c r="L148" s="22"/>
    </row>
    <row r="149" ht="10.95" customHeight="true" customFormat="true" s="9">
      <c r="A149" s="10" t="s">
        <v>33</v>
      </c>
      <c r="B149" s="10"/>
      <c r="C149" s="10"/>
      <c r="D149" s="10"/>
      <c r="E149" s="10"/>
      <c r="F149" s="10"/>
      <c r="G149" s="11">
        <v>93.2700</v>
      </c>
      <c r="H149" s="11">
        <v>0</v>
      </c>
      <c r="I149" s="11">
        <f ca="1">I146</f>
        <v>0</v>
      </c>
      <c r="J149" s="11">
        <v>0</v>
      </c>
      <c r="K149" s="10"/>
      <c r="L149" s="10"/>
    </row>
    <row r="150" ht="13.35" customHeight="true"/>
    <row r="151" ht="12.1" customHeight="true" customFormat="true" s="5">
      <c r="A151" s="8" t="s">
        <v>122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ht="10.95" customHeight="true" customFormat="true" s="9">
      <c r="A152" s="10" t="s">
        <v>16</v>
      </c>
      <c r="B152" s="10"/>
      <c r="C152" s="10"/>
      <c r="D152" s="10"/>
      <c r="E152" s="10"/>
      <c r="F152" s="10"/>
      <c r="G152" s="11">
        <v>0</v>
      </c>
      <c r="H152" s="11">
        <v>0</v>
      </c>
      <c r="I152" s="11">
        <f ca="1">(G152 - H152)</f>
        <v>0</v>
      </c>
      <c r="J152" s="11">
        <v>0</v>
      </c>
      <c r="K152" s="10"/>
      <c r="L152" s="10"/>
    </row>
    <row r="153" ht="10.95" customHeight="true" customFormat="true" s="9">
      <c r="A153" s="12">
        <v>45014</v>
      </c>
      <c r="B153" s="13" t="s">
        <v>123</v>
      </c>
      <c r="C153" s="13" t="s">
        <v>124</v>
      </c>
      <c r="D153" s="13" t="s">
        <v>36</v>
      </c>
      <c r="E153" s="13" t="s">
        <v>125</v>
      </c>
      <c r="F153" s="13"/>
      <c r="G153" s="15">
        <v>5000.0000</v>
      </c>
      <c r="H153" s="15">
        <v>0</v>
      </c>
      <c r="I153" s="15">
        <f ca="1">((I152 + G153) - H153)</f>
        <v>0</v>
      </c>
      <c r="J153" s="15">
        <v>0</v>
      </c>
      <c r="K153" s="16">
        <v>0</v>
      </c>
      <c r="L153" s="13"/>
    </row>
    <row r="154" ht="10.95" customHeight="true" customFormat="true" s="9">
      <c r="A154" s="17">
        <v>45016</v>
      </c>
      <c r="B154" s="18" t="s">
        <v>123</v>
      </c>
      <c r="C154" s="18" t="s">
        <v>124</v>
      </c>
      <c r="D154" s="18" t="s">
        <v>43</v>
      </c>
      <c r="E154" s="18" t="s">
        <v>126</v>
      </c>
      <c r="F154" s="18" t="s">
        <v>51</v>
      </c>
      <c r="G154" s="20">
        <v>0</v>
      </c>
      <c r="H154" s="20">
        <v>587.9100</v>
      </c>
      <c r="I154" s="20">
        <f ca="1">((I153 + G154) - H154)</f>
        <v>0</v>
      </c>
      <c r="J154" s="20">
        <v>0</v>
      </c>
      <c r="K154" s="21">
        <v>0</v>
      </c>
      <c r="L154" s="18"/>
    </row>
    <row r="155" ht="10.95" customHeight="true" customFormat="true" s="9">
      <c r="A155" s="17">
        <v>45038</v>
      </c>
      <c r="B155" s="18" t="s">
        <v>123</v>
      </c>
      <c r="C155" s="18" t="s">
        <v>124</v>
      </c>
      <c r="D155" s="18" t="s">
        <v>43</v>
      </c>
      <c r="E155" s="18" t="s">
        <v>127</v>
      </c>
      <c r="F155" s="18"/>
      <c r="G155" s="20">
        <v>0</v>
      </c>
      <c r="H155" s="20">
        <v>650.0000</v>
      </c>
      <c r="I155" s="20">
        <f ca="1">((I154 + G155) - H155)</f>
        <v>0</v>
      </c>
      <c r="J155" s="20">
        <v>0</v>
      </c>
      <c r="K155" s="21">
        <v>0</v>
      </c>
      <c r="L155" s="18"/>
    </row>
    <row r="156" ht="10.95" customHeight="true" customFormat="true" s="9">
      <c r="A156" s="17">
        <v>45042</v>
      </c>
      <c r="B156" s="18" t="s">
        <v>123</v>
      </c>
      <c r="C156" s="18" t="s">
        <v>124</v>
      </c>
      <c r="D156" s="18" t="s">
        <v>128</v>
      </c>
      <c r="E156" s="18" t="s">
        <v>129</v>
      </c>
      <c r="F156" s="18" t="s">
        <v>21</v>
      </c>
      <c r="G156" s="20">
        <v>3971.0000</v>
      </c>
      <c r="H156" s="20">
        <v>0</v>
      </c>
      <c r="I156" s="20">
        <f ca="1">((I155 + G156) - H156)</f>
        <v>0</v>
      </c>
      <c r="J156" s="20">
        <v>0</v>
      </c>
      <c r="K156" s="21">
        <v>0</v>
      </c>
      <c r="L156" s="18"/>
    </row>
    <row r="157" ht="10.95" customHeight="true" customFormat="true" s="9">
      <c r="A157" s="17">
        <v>45043</v>
      </c>
      <c r="B157" s="18" t="s">
        <v>123</v>
      </c>
      <c r="C157" s="18" t="s">
        <v>124</v>
      </c>
      <c r="D157" s="18" t="s">
        <v>130</v>
      </c>
      <c r="E157" s="18" t="s">
        <v>131</v>
      </c>
      <c r="F157" s="18"/>
      <c r="G157" s="20">
        <v>0</v>
      </c>
      <c r="H157" s="20">
        <v>398.0000</v>
      </c>
      <c r="I157" s="20">
        <f ca="1">((I156 + G157) - H157)</f>
        <v>0</v>
      </c>
      <c r="J157" s="20">
        <v>0</v>
      </c>
      <c r="K157" s="21">
        <v>0</v>
      </c>
      <c r="L157" s="18"/>
    </row>
    <row r="158" ht="10.95" customHeight="true" customFormat="true" s="9">
      <c r="A158" s="17">
        <v>45047</v>
      </c>
      <c r="B158" s="18" t="s">
        <v>123</v>
      </c>
      <c r="C158" s="18" t="s">
        <v>124</v>
      </c>
      <c r="D158" s="18" t="s">
        <v>43</v>
      </c>
      <c r="E158" s="18" t="s">
        <v>125</v>
      </c>
      <c r="F158" s="18"/>
      <c r="G158" s="20">
        <v>0</v>
      </c>
      <c r="H158" s="20">
        <v>527.9100</v>
      </c>
      <c r="I158" s="20">
        <f ca="1">((I157 + G158) - H158)</f>
        <v>0</v>
      </c>
      <c r="J158" s="20">
        <v>0</v>
      </c>
      <c r="K158" s="21">
        <v>0</v>
      </c>
      <c r="L158" s="18"/>
    </row>
    <row r="159" ht="10.95" customHeight="true" customFormat="true" s="9">
      <c r="A159" s="17">
        <v>45049</v>
      </c>
      <c r="B159" s="18" t="s">
        <v>123</v>
      </c>
      <c r="C159" s="18" t="s">
        <v>124</v>
      </c>
      <c r="D159" s="18" t="s">
        <v>43</v>
      </c>
      <c r="E159" s="18" t="s">
        <v>125</v>
      </c>
      <c r="F159" s="18"/>
      <c r="G159" s="20">
        <v>0</v>
      </c>
      <c r="H159" s="20">
        <v>18.0000</v>
      </c>
      <c r="I159" s="20">
        <f ca="1">((I158 + G159) - H159)</f>
        <v>0</v>
      </c>
      <c r="J159" s="20">
        <v>0</v>
      </c>
      <c r="K159" s="21">
        <v>0</v>
      </c>
      <c r="L159" s="18"/>
    </row>
    <row r="160" ht="10.95" customHeight="true" customFormat="true" s="9">
      <c r="A160" s="17">
        <v>45049</v>
      </c>
      <c r="B160" s="18" t="s">
        <v>123</v>
      </c>
      <c r="C160" s="18" t="s">
        <v>124</v>
      </c>
      <c r="D160" s="18" t="s">
        <v>43</v>
      </c>
      <c r="E160" s="18" t="s">
        <v>125</v>
      </c>
      <c r="F160" s="18"/>
      <c r="G160" s="20">
        <v>0</v>
      </c>
      <c r="H160" s="20">
        <v>161.0000</v>
      </c>
      <c r="I160" s="20">
        <f ca="1">((I159 + G160) - H160)</f>
        <v>0</v>
      </c>
      <c r="J160" s="20">
        <v>0</v>
      </c>
      <c r="K160" s="21">
        <v>0</v>
      </c>
      <c r="L160" s="18"/>
    </row>
    <row r="161" ht="10.95" customHeight="true" customFormat="true" s="9">
      <c r="A161" s="17">
        <v>45049</v>
      </c>
      <c r="B161" s="18" t="s">
        <v>123</v>
      </c>
      <c r="C161" s="18" t="s">
        <v>124</v>
      </c>
      <c r="D161" s="18" t="s">
        <v>43</v>
      </c>
      <c r="E161" s="18" t="s">
        <v>125</v>
      </c>
      <c r="F161" s="18"/>
      <c r="G161" s="20">
        <v>0</v>
      </c>
      <c r="H161" s="20">
        <v>2141.0000</v>
      </c>
      <c r="I161" s="20">
        <f ca="1">((I160 + G161) - H161)</f>
        <v>0</v>
      </c>
      <c r="J161" s="20">
        <v>0</v>
      </c>
      <c r="K161" s="21">
        <v>0</v>
      </c>
      <c r="L161" s="18"/>
    </row>
    <row r="162" ht="10.95" customHeight="true" customFormat="true" s="9">
      <c r="A162" s="17">
        <v>45049</v>
      </c>
      <c r="B162" s="18" t="s">
        <v>123</v>
      </c>
      <c r="C162" s="18" t="s">
        <v>124</v>
      </c>
      <c r="D162" s="18" t="s">
        <v>130</v>
      </c>
      <c r="E162" s="18" t="s">
        <v>131</v>
      </c>
      <c r="F162" s="18"/>
      <c r="G162" s="20">
        <v>0</v>
      </c>
      <c r="H162" s="20">
        <v>899.0000</v>
      </c>
      <c r="I162" s="20">
        <f ca="1">((I161 + G162) - H162)</f>
        <v>0</v>
      </c>
      <c r="J162" s="20">
        <v>0</v>
      </c>
      <c r="K162" s="21">
        <v>0</v>
      </c>
      <c r="L162" s="18"/>
    </row>
    <row r="163" ht="10.95" customHeight="true" customFormat="true" s="9">
      <c r="A163" s="17">
        <v>45050</v>
      </c>
      <c r="B163" s="18" t="s">
        <v>123</v>
      </c>
      <c r="C163" s="18" t="s">
        <v>124</v>
      </c>
      <c r="D163" s="18" t="s">
        <v>43</v>
      </c>
      <c r="E163" s="18" t="s">
        <v>132</v>
      </c>
      <c r="F163" s="18"/>
      <c r="G163" s="20">
        <v>0</v>
      </c>
      <c r="H163" s="20">
        <v>319.2000</v>
      </c>
      <c r="I163" s="20">
        <f ca="1">((I162 + G163) - H163)</f>
        <v>0</v>
      </c>
      <c r="J163" s="20">
        <v>0</v>
      </c>
      <c r="K163" s="21">
        <v>0</v>
      </c>
      <c r="L163" s="18"/>
    </row>
    <row r="164" ht="10.95" customHeight="true" customFormat="true" s="9">
      <c r="A164" s="17">
        <v>45062</v>
      </c>
      <c r="B164" s="18" t="s">
        <v>123</v>
      </c>
      <c r="C164" s="18" t="s">
        <v>124</v>
      </c>
      <c r="D164" s="18" t="s">
        <v>43</v>
      </c>
      <c r="E164" s="18" t="s">
        <v>125</v>
      </c>
      <c r="F164" s="18"/>
      <c r="G164" s="20">
        <v>0</v>
      </c>
      <c r="H164" s="20">
        <v>2683.0000</v>
      </c>
      <c r="I164" s="20">
        <f ca="1">((I163 + G164) - H164)</f>
        <v>0</v>
      </c>
      <c r="J164" s="20">
        <v>0</v>
      </c>
      <c r="K164" s="21">
        <v>0</v>
      </c>
      <c r="L164" s="18"/>
    </row>
    <row r="165" ht="10.95" customHeight="true" customFormat="true" s="9">
      <c r="A165" s="17">
        <v>45062</v>
      </c>
      <c r="B165" s="18" t="s">
        <v>123</v>
      </c>
      <c r="C165" s="18" t="s">
        <v>124</v>
      </c>
      <c r="D165" s="18" t="s">
        <v>130</v>
      </c>
      <c r="E165" s="18" t="s">
        <v>131</v>
      </c>
      <c r="F165" s="18"/>
      <c r="G165" s="20">
        <v>0</v>
      </c>
      <c r="H165" s="20">
        <v>1317.0000</v>
      </c>
      <c r="I165" s="20">
        <f ca="1">((I164 + G165) - H165)</f>
        <v>0</v>
      </c>
      <c r="J165" s="20">
        <v>0</v>
      </c>
      <c r="K165" s="21">
        <v>0</v>
      </c>
      <c r="L165" s="18"/>
    </row>
    <row r="166" ht="10.95" customHeight="true" customFormat="true" s="9">
      <c r="A166" s="17">
        <v>45062</v>
      </c>
      <c r="B166" s="18" t="s">
        <v>123</v>
      </c>
      <c r="C166" s="18" t="s">
        <v>124</v>
      </c>
      <c r="D166" s="18" t="s">
        <v>130</v>
      </c>
      <c r="E166" s="18" t="s">
        <v>131</v>
      </c>
      <c r="F166" s="18"/>
      <c r="G166" s="20">
        <v>0</v>
      </c>
      <c r="H166" s="20">
        <v>2600.0000</v>
      </c>
      <c r="I166" s="20">
        <f ca="1">((I165 + G166) - H166)</f>
        <v>0</v>
      </c>
      <c r="J166" s="20">
        <v>0</v>
      </c>
      <c r="K166" s="21">
        <v>0</v>
      </c>
      <c r="L166" s="18"/>
    </row>
    <row r="167" ht="10.95" customHeight="true" customFormat="true" s="9">
      <c r="A167" s="17">
        <v>45062</v>
      </c>
      <c r="B167" s="18" t="s">
        <v>123</v>
      </c>
      <c r="C167" s="18" t="s">
        <v>124</v>
      </c>
      <c r="D167" s="18" t="s">
        <v>130</v>
      </c>
      <c r="E167" s="18" t="s">
        <v>131</v>
      </c>
      <c r="F167" s="18"/>
      <c r="G167" s="20">
        <v>0</v>
      </c>
      <c r="H167" s="20">
        <v>420.0000</v>
      </c>
      <c r="I167" s="20">
        <f ca="1">((I166 + G167) - H167)</f>
        <v>0</v>
      </c>
      <c r="J167" s="20">
        <v>0</v>
      </c>
      <c r="K167" s="21">
        <v>0</v>
      </c>
      <c r="L167" s="18"/>
    </row>
    <row r="168" ht="10.95" customHeight="true" customFormat="true" s="9">
      <c r="A168" s="17">
        <v>45062</v>
      </c>
      <c r="B168" s="18" t="s">
        <v>123</v>
      </c>
      <c r="C168" s="18" t="s">
        <v>124</v>
      </c>
      <c r="D168" s="18" t="s">
        <v>128</v>
      </c>
      <c r="E168" s="18" t="s">
        <v>129</v>
      </c>
      <c r="F168" s="18" t="s">
        <v>25</v>
      </c>
      <c r="G168" s="20">
        <v>25759.2500</v>
      </c>
      <c r="H168" s="20">
        <v>0</v>
      </c>
      <c r="I168" s="20">
        <f ca="1">((I167 + G168) - H168)</f>
        <v>0</v>
      </c>
      <c r="J168" s="20">
        <v>0</v>
      </c>
      <c r="K168" s="21">
        <v>0</v>
      </c>
      <c r="L168" s="18"/>
    </row>
    <row r="169" ht="10.95" customHeight="true" customFormat="true" s="9">
      <c r="A169" s="17">
        <v>45062</v>
      </c>
      <c r="B169" s="18" t="s">
        <v>123</v>
      </c>
      <c r="C169" s="18" t="s">
        <v>124</v>
      </c>
      <c r="D169" s="18" t="s">
        <v>43</v>
      </c>
      <c r="E169" s="18" t="s">
        <v>133</v>
      </c>
      <c r="F169" s="18"/>
      <c r="G169" s="20">
        <v>0</v>
      </c>
      <c r="H169" s="20">
        <v>420.0000</v>
      </c>
      <c r="I169" s="20">
        <f ca="1">((I168 + G169) - H169)</f>
        <v>0</v>
      </c>
      <c r="J169" s="20">
        <v>0</v>
      </c>
      <c r="K169" s="21">
        <v>0</v>
      </c>
      <c r="L169" s="18"/>
    </row>
    <row r="170" ht="10.95" customHeight="true" customFormat="true" s="9">
      <c r="A170" s="17">
        <v>45068</v>
      </c>
      <c r="B170" s="18" t="s">
        <v>123</v>
      </c>
      <c r="C170" s="18" t="s">
        <v>124</v>
      </c>
      <c r="D170" s="18" t="s">
        <v>43</v>
      </c>
      <c r="E170" s="18" t="s">
        <v>132</v>
      </c>
      <c r="F170" s="18"/>
      <c r="G170" s="20">
        <v>0</v>
      </c>
      <c r="H170" s="20">
        <v>420.0000</v>
      </c>
      <c r="I170" s="20">
        <f ca="1">((I169 + G170) - H170)</f>
        <v>0</v>
      </c>
      <c r="J170" s="20">
        <v>0</v>
      </c>
      <c r="K170" s="21">
        <v>0</v>
      </c>
      <c r="L170" s="18"/>
    </row>
    <row r="171" ht="10.95" customHeight="true" customFormat="true" s="9">
      <c r="A171" s="17">
        <v>45068</v>
      </c>
      <c r="B171" s="18" t="s">
        <v>123</v>
      </c>
      <c r="C171" s="18" t="s">
        <v>124</v>
      </c>
      <c r="D171" s="18" t="s">
        <v>43</v>
      </c>
      <c r="E171" s="18" t="s">
        <v>125</v>
      </c>
      <c r="F171" s="18"/>
      <c r="G171" s="20">
        <v>0</v>
      </c>
      <c r="H171" s="20">
        <v>2683.0000</v>
      </c>
      <c r="I171" s="20">
        <f ca="1">((I170 + G171) - H171)</f>
        <v>0</v>
      </c>
      <c r="J171" s="20">
        <v>0</v>
      </c>
      <c r="K171" s="21">
        <v>0</v>
      </c>
      <c r="L171" s="18"/>
    </row>
    <row r="172" ht="10.95" customHeight="true" customFormat="true" s="9">
      <c r="A172" s="17">
        <v>45068</v>
      </c>
      <c r="B172" s="18" t="s">
        <v>123</v>
      </c>
      <c r="C172" s="18" t="s">
        <v>124</v>
      </c>
      <c r="D172" s="18" t="s">
        <v>130</v>
      </c>
      <c r="E172" s="18" t="s">
        <v>131</v>
      </c>
      <c r="F172" s="18"/>
      <c r="G172" s="20">
        <v>0</v>
      </c>
      <c r="H172" s="20">
        <v>1317.0000</v>
      </c>
      <c r="I172" s="20">
        <f ca="1">((I171 + G172) - H172)</f>
        <v>0</v>
      </c>
      <c r="J172" s="20">
        <v>0</v>
      </c>
      <c r="K172" s="21">
        <v>0</v>
      </c>
      <c r="L172" s="18"/>
    </row>
    <row r="173" ht="10.95" customHeight="true" customFormat="true" s="9">
      <c r="A173" s="17">
        <v>45068</v>
      </c>
      <c r="B173" s="18" t="s">
        <v>123</v>
      </c>
      <c r="C173" s="18" t="s">
        <v>124</v>
      </c>
      <c r="D173" s="18" t="s">
        <v>130</v>
      </c>
      <c r="E173" s="18" t="s">
        <v>131</v>
      </c>
      <c r="F173" s="18"/>
      <c r="G173" s="20">
        <v>0</v>
      </c>
      <c r="H173" s="20">
        <v>420.0000</v>
      </c>
      <c r="I173" s="20">
        <f ca="1">((I172 + G173) - H173)</f>
        <v>0</v>
      </c>
      <c r="J173" s="20">
        <v>0</v>
      </c>
      <c r="K173" s="21">
        <v>0</v>
      </c>
      <c r="L173" s="18"/>
    </row>
    <row r="174" ht="10.95" customHeight="true" customFormat="true" s="9">
      <c r="A174" s="17">
        <v>45070</v>
      </c>
      <c r="B174" s="18" t="s">
        <v>123</v>
      </c>
      <c r="C174" s="18" t="s">
        <v>124</v>
      </c>
      <c r="D174" s="18" t="s">
        <v>43</v>
      </c>
      <c r="E174" s="18" t="s">
        <v>134</v>
      </c>
      <c r="F174" s="18"/>
      <c r="G174" s="20">
        <v>0</v>
      </c>
      <c r="H174" s="20">
        <v>325.0000</v>
      </c>
      <c r="I174" s="20">
        <f ca="1">((I173 + G174) - H174)</f>
        <v>0</v>
      </c>
      <c r="J174" s="20">
        <v>0</v>
      </c>
      <c r="K174" s="21">
        <v>0</v>
      </c>
      <c r="L174" s="18"/>
    </row>
    <row r="175" ht="10.95" customHeight="true" customFormat="true" s="9">
      <c r="A175" s="17">
        <v>45070</v>
      </c>
      <c r="B175" s="18" t="s">
        <v>123</v>
      </c>
      <c r="C175" s="18" t="s">
        <v>124</v>
      </c>
      <c r="D175" s="18" t="s">
        <v>43</v>
      </c>
      <c r="E175" s="18" t="s">
        <v>135</v>
      </c>
      <c r="F175" s="18"/>
      <c r="G175" s="20">
        <v>0</v>
      </c>
      <c r="H175" s="20">
        <v>770.0000</v>
      </c>
      <c r="I175" s="20">
        <f ca="1">((I174 + G175) - H175)</f>
        <v>0</v>
      </c>
      <c r="J175" s="20">
        <v>0</v>
      </c>
      <c r="K175" s="21">
        <v>0</v>
      </c>
      <c r="L175" s="18"/>
    </row>
    <row r="176" ht="10.95" customHeight="true" customFormat="true" s="9">
      <c r="A176" s="17">
        <v>45075</v>
      </c>
      <c r="B176" s="18" t="s">
        <v>123</v>
      </c>
      <c r="C176" s="18" t="s">
        <v>124</v>
      </c>
      <c r="D176" s="18" t="s">
        <v>130</v>
      </c>
      <c r="E176" s="18" t="s">
        <v>131</v>
      </c>
      <c r="F176" s="18"/>
      <c r="G176" s="20">
        <v>0</v>
      </c>
      <c r="H176" s="20">
        <v>614.0000</v>
      </c>
      <c r="I176" s="20">
        <f ca="1">((I175 + G176) - H176)</f>
        <v>0</v>
      </c>
      <c r="J176" s="20">
        <v>0</v>
      </c>
      <c r="K176" s="21">
        <v>0</v>
      </c>
      <c r="L176" s="18"/>
    </row>
    <row r="177" ht="10.95" customHeight="true" customFormat="true" s="9">
      <c r="A177" s="17">
        <v>45075</v>
      </c>
      <c r="B177" s="18" t="s">
        <v>123</v>
      </c>
      <c r="C177" s="18" t="s">
        <v>124</v>
      </c>
      <c r="D177" s="18" t="s">
        <v>43</v>
      </c>
      <c r="E177" s="18" t="s">
        <v>125</v>
      </c>
      <c r="F177" s="18"/>
      <c r="G177" s="20">
        <v>0</v>
      </c>
      <c r="H177" s="20">
        <v>1693.6900</v>
      </c>
      <c r="I177" s="20">
        <f ca="1">((I176 + G177) - H177)</f>
        <v>0</v>
      </c>
      <c r="J177" s="20">
        <v>0</v>
      </c>
      <c r="K177" s="21">
        <v>0</v>
      </c>
      <c r="L177" s="18"/>
    </row>
    <row r="178" ht="10.95" customHeight="true" customFormat="true" s="9">
      <c r="A178" s="17">
        <v>45076</v>
      </c>
      <c r="B178" s="18" t="s">
        <v>123</v>
      </c>
      <c r="C178" s="18" t="s">
        <v>124</v>
      </c>
      <c r="D178" s="18" t="s">
        <v>43</v>
      </c>
      <c r="E178" s="18" t="s">
        <v>134</v>
      </c>
      <c r="F178" s="18"/>
      <c r="G178" s="20">
        <v>0</v>
      </c>
      <c r="H178" s="20">
        <v>325.0000</v>
      </c>
      <c r="I178" s="20">
        <f ca="1">((I177 + G178) - H178)</f>
        <v>0</v>
      </c>
      <c r="J178" s="20">
        <v>0</v>
      </c>
      <c r="K178" s="21">
        <v>0</v>
      </c>
      <c r="L178" s="18"/>
    </row>
    <row r="179" ht="10.95" customHeight="true" customFormat="true" s="9">
      <c r="A179" s="17">
        <v>45076</v>
      </c>
      <c r="B179" s="18" t="s">
        <v>123</v>
      </c>
      <c r="C179" s="18" t="s">
        <v>124</v>
      </c>
      <c r="D179" s="18" t="s">
        <v>43</v>
      </c>
      <c r="E179" s="18" t="s">
        <v>125</v>
      </c>
      <c r="F179" s="18"/>
      <c r="G179" s="20">
        <v>0</v>
      </c>
      <c r="H179" s="20">
        <v>242.3100</v>
      </c>
      <c r="I179" s="20">
        <f ca="1">((I178 + G179) - H179)</f>
        <v>0</v>
      </c>
      <c r="J179" s="20">
        <v>0</v>
      </c>
      <c r="K179" s="21">
        <v>0</v>
      </c>
      <c r="L179" s="18"/>
    </row>
    <row r="180" ht="10.95" customHeight="true" customFormat="true" s="9">
      <c r="A180" s="17">
        <v>45077</v>
      </c>
      <c r="B180" s="18" t="s">
        <v>123</v>
      </c>
      <c r="C180" s="18" t="s">
        <v>124</v>
      </c>
      <c r="D180" s="18" t="s">
        <v>43</v>
      </c>
      <c r="E180" s="18" t="s">
        <v>126</v>
      </c>
      <c r="F180" s="18"/>
      <c r="G180" s="20">
        <v>0</v>
      </c>
      <c r="H180" s="20">
        <v>527.9100</v>
      </c>
      <c r="I180" s="20">
        <f ca="1">((I179 + G180) - H180)</f>
        <v>0</v>
      </c>
      <c r="J180" s="20">
        <v>0</v>
      </c>
      <c r="K180" s="21">
        <v>0</v>
      </c>
      <c r="L180" s="18"/>
    </row>
    <row r="181" ht="10.95" customHeight="true" customFormat="true" s="9">
      <c r="A181" s="17">
        <v>45079</v>
      </c>
      <c r="B181" s="18" t="s">
        <v>123</v>
      </c>
      <c r="C181" s="18" t="s">
        <v>124</v>
      </c>
      <c r="D181" s="18" t="s">
        <v>43</v>
      </c>
      <c r="E181" s="18" t="s">
        <v>136</v>
      </c>
      <c r="F181" s="18"/>
      <c r="G181" s="20">
        <v>0</v>
      </c>
      <c r="H181" s="20">
        <v>11.3400</v>
      </c>
      <c r="I181" s="20">
        <f ca="1">((I180 + G181) - H181)</f>
        <v>0</v>
      </c>
      <c r="J181" s="20">
        <v>0</v>
      </c>
      <c r="K181" s="21">
        <v>0</v>
      </c>
      <c r="L181" s="18"/>
    </row>
    <row r="182" ht="10.95" customHeight="true" customFormat="true" s="9">
      <c r="A182" s="17">
        <v>45082</v>
      </c>
      <c r="B182" s="18" t="s">
        <v>123</v>
      </c>
      <c r="C182" s="18" t="s">
        <v>124</v>
      </c>
      <c r="D182" s="18" t="s">
        <v>130</v>
      </c>
      <c r="E182" s="18" t="s">
        <v>131</v>
      </c>
      <c r="F182" s="18"/>
      <c r="G182" s="20">
        <v>0</v>
      </c>
      <c r="H182" s="20">
        <v>514.0000</v>
      </c>
      <c r="I182" s="20">
        <f ca="1">((I181 + G182) - H182)</f>
        <v>0</v>
      </c>
      <c r="J182" s="20">
        <v>0</v>
      </c>
      <c r="K182" s="21">
        <v>0</v>
      </c>
      <c r="L182" s="18"/>
    </row>
    <row r="183" ht="10.95" customHeight="true" customFormat="true" s="9">
      <c r="A183" s="17">
        <v>45082</v>
      </c>
      <c r="B183" s="18" t="s">
        <v>123</v>
      </c>
      <c r="C183" s="18" t="s">
        <v>124</v>
      </c>
      <c r="D183" s="18" t="s">
        <v>43</v>
      </c>
      <c r="E183" s="18" t="s">
        <v>137</v>
      </c>
      <c r="F183" s="18"/>
      <c r="G183" s="20">
        <v>0</v>
      </c>
      <c r="H183" s="20">
        <v>163.0000</v>
      </c>
      <c r="I183" s="20">
        <f ca="1">((I182 + G183) - H183)</f>
        <v>0</v>
      </c>
      <c r="J183" s="20">
        <v>0</v>
      </c>
      <c r="K183" s="21">
        <v>0</v>
      </c>
      <c r="L183" s="18"/>
    </row>
    <row r="184" ht="10.95" customHeight="true" customFormat="true" s="9">
      <c r="A184" s="17">
        <v>45082</v>
      </c>
      <c r="B184" s="18" t="s">
        <v>123</v>
      </c>
      <c r="C184" s="18" t="s">
        <v>124</v>
      </c>
      <c r="D184" s="18" t="s">
        <v>43</v>
      </c>
      <c r="E184" s="18" t="s">
        <v>138</v>
      </c>
      <c r="F184" s="18"/>
      <c r="G184" s="20">
        <v>0</v>
      </c>
      <c r="H184" s="20">
        <v>1505.2300</v>
      </c>
      <c r="I184" s="20">
        <f ca="1">((I183 + G184) - H184)</f>
        <v>0</v>
      </c>
      <c r="J184" s="20">
        <v>0</v>
      </c>
      <c r="K184" s="21">
        <v>0</v>
      </c>
      <c r="L184" s="18"/>
    </row>
    <row r="185" ht="10.95" customHeight="true" customFormat="true" s="9">
      <c r="A185" s="17">
        <v>45082</v>
      </c>
      <c r="B185" s="18" t="s">
        <v>123</v>
      </c>
      <c r="C185" s="18" t="s">
        <v>124</v>
      </c>
      <c r="D185" s="18" t="s">
        <v>43</v>
      </c>
      <c r="E185" s="18" t="s">
        <v>139</v>
      </c>
      <c r="F185" s="18"/>
      <c r="G185" s="20">
        <v>0</v>
      </c>
      <c r="H185" s="20">
        <v>919.3100</v>
      </c>
      <c r="I185" s="20">
        <f ca="1">((I184 + G185) - H185)</f>
        <v>0</v>
      </c>
      <c r="J185" s="20">
        <v>0</v>
      </c>
      <c r="K185" s="21">
        <v>0</v>
      </c>
      <c r="L185" s="18"/>
    </row>
    <row r="186" ht="10.95" customHeight="true" customFormat="true" s="9">
      <c r="A186" s="17">
        <v>45082</v>
      </c>
      <c r="B186" s="18" t="s">
        <v>123</v>
      </c>
      <c r="C186" s="18" t="s">
        <v>124</v>
      </c>
      <c r="D186" s="18" t="s">
        <v>43</v>
      </c>
      <c r="E186" s="18" t="s">
        <v>140</v>
      </c>
      <c r="F186" s="18"/>
      <c r="G186" s="20">
        <v>0</v>
      </c>
      <c r="H186" s="20">
        <v>102.6000</v>
      </c>
      <c r="I186" s="20">
        <f ca="1">((I185 + G186) - H186)</f>
        <v>0</v>
      </c>
      <c r="J186" s="20">
        <v>0</v>
      </c>
      <c r="K186" s="21">
        <v>0</v>
      </c>
      <c r="L186" s="18"/>
    </row>
    <row r="187" ht="10.95" customHeight="true" customFormat="true" s="9">
      <c r="A187" s="17">
        <v>45083</v>
      </c>
      <c r="B187" s="18" t="s">
        <v>123</v>
      </c>
      <c r="C187" s="18" t="s">
        <v>124</v>
      </c>
      <c r="D187" s="18" t="s">
        <v>43</v>
      </c>
      <c r="E187" s="18" t="s">
        <v>141</v>
      </c>
      <c r="F187" s="18"/>
      <c r="G187" s="20">
        <v>0</v>
      </c>
      <c r="H187" s="20">
        <v>212.0200</v>
      </c>
      <c r="I187" s="20">
        <f ca="1">((I186 + G187) - H187)</f>
        <v>0</v>
      </c>
      <c r="J187" s="20">
        <v>0</v>
      </c>
      <c r="K187" s="21">
        <v>0</v>
      </c>
      <c r="L187" s="18"/>
    </row>
    <row r="188" ht="10.95" customHeight="true" customFormat="true" s="9">
      <c r="A188" s="17">
        <v>45083</v>
      </c>
      <c r="B188" s="18" t="s">
        <v>123</v>
      </c>
      <c r="C188" s="18" t="s">
        <v>124</v>
      </c>
      <c r="D188" s="18" t="s">
        <v>43</v>
      </c>
      <c r="E188" s="18" t="s">
        <v>142</v>
      </c>
      <c r="F188" s="18"/>
      <c r="G188" s="20">
        <v>0</v>
      </c>
      <c r="H188" s="20">
        <v>177.5700</v>
      </c>
      <c r="I188" s="20">
        <f ca="1">((I187 + G188) - H188)</f>
        <v>0</v>
      </c>
      <c r="J188" s="20">
        <v>0</v>
      </c>
      <c r="K188" s="21">
        <v>0</v>
      </c>
      <c r="L188" s="18"/>
    </row>
    <row r="189" ht="10.95" customHeight="true" customFormat="true" s="9">
      <c r="A189" s="17">
        <v>45091</v>
      </c>
      <c r="B189" s="18" t="s">
        <v>123</v>
      </c>
      <c r="C189" s="18" t="s">
        <v>124</v>
      </c>
      <c r="D189" s="18" t="s">
        <v>43</v>
      </c>
      <c r="E189" s="18" t="s">
        <v>141</v>
      </c>
      <c r="F189" s="18"/>
      <c r="G189" s="20">
        <v>0</v>
      </c>
      <c r="H189" s="20">
        <v>242.3100</v>
      </c>
      <c r="I189" s="20">
        <f ca="1">((I188 + G189) - H189)</f>
        <v>0</v>
      </c>
      <c r="J189" s="20">
        <v>0</v>
      </c>
      <c r="K189" s="21">
        <v>0</v>
      </c>
      <c r="L189" s="18"/>
    </row>
    <row r="190" ht="10.95" customHeight="true" customFormat="true" s="9">
      <c r="A190" s="17">
        <v>45091</v>
      </c>
      <c r="B190" s="18" t="s">
        <v>123</v>
      </c>
      <c r="C190" s="18" t="s">
        <v>124</v>
      </c>
      <c r="D190" s="18" t="s">
        <v>130</v>
      </c>
      <c r="E190" s="18" t="s">
        <v>131</v>
      </c>
      <c r="F190" s="18"/>
      <c r="G190" s="20">
        <v>0</v>
      </c>
      <c r="H190" s="20">
        <v>614.0000</v>
      </c>
      <c r="I190" s="20">
        <f ca="1">((I189 + G190) - H190)</f>
        <v>0</v>
      </c>
      <c r="J190" s="20">
        <v>0</v>
      </c>
      <c r="K190" s="21">
        <v>0</v>
      </c>
      <c r="L190" s="18"/>
    </row>
    <row r="191" ht="10.95" customHeight="true" customFormat="true" s="9">
      <c r="A191" s="17">
        <v>45091</v>
      </c>
      <c r="B191" s="18" t="s">
        <v>123</v>
      </c>
      <c r="C191" s="18" t="s">
        <v>124</v>
      </c>
      <c r="D191" s="18" t="s">
        <v>43</v>
      </c>
      <c r="E191" s="18" t="s">
        <v>138</v>
      </c>
      <c r="F191" s="18"/>
      <c r="G191" s="20">
        <v>0</v>
      </c>
      <c r="H191" s="20">
        <v>1693.0000</v>
      </c>
      <c r="I191" s="20">
        <f ca="1">((I190 + G191) - H191)</f>
        <v>0</v>
      </c>
      <c r="J191" s="20">
        <v>0</v>
      </c>
      <c r="K191" s="21">
        <v>0</v>
      </c>
      <c r="L191" s="18"/>
    </row>
    <row r="192" ht="10.95" customHeight="true" customFormat="true" s="9">
      <c r="A192" s="17">
        <v>45093</v>
      </c>
      <c r="B192" s="18" t="s">
        <v>123</v>
      </c>
      <c r="C192" s="18" t="s">
        <v>124</v>
      </c>
      <c r="D192" s="18" t="s">
        <v>43</v>
      </c>
      <c r="E192" s="18" t="s">
        <v>142</v>
      </c>
      <c r="F192" s="18"/>
      <c r="G192" s="20">
        <v>0</v>
      </c>
      <c r="H192" s="20">
        <v>70.7800</v>
      </c>
      <c r="I192" s="20">
        <f ca="1">((I191 + G192) - H192)</f>
        <v>0</v>
      </c>
      <c r="J192" s="20">
        <v>0</v>
      </c>
      <c r="K192" s="21">
        <v>0</v>
      </c>
      <c r="L192" s="18"/>
    </row>
    <row r="193" ht="10.95" customHeight="true" customFormat="true" s="9">
      <c r="A193" s="17">
        <v>45097</v>
      </c>
      <c r="B193" s="18" t="s">
        <v>123</v>
      </c>
      <c r="C193" s="18" t="s">
        <v>124</v>
      </c>
      <c r="D193" s="18" t="s">
        <v>128</v>
      </c>
      <c r="E193" s="18" t="s">
        <v>129</v>
      </c>
      <c r="F193" s="18" t="s">
        <v>29</v>
      </c>
      <c r="G193" s="20">
        <v>24662.0000</v>
      </c>
      <c r="H193" s="20">
        <v>0</v>
      </c>
      <c r="I193" s="20">
        <f ca="1">((I192 + G193) - H193)</f>
        <v>0</v>
      </c>
      <c r="J193" s="20">
        <v>0</v>
      </c>
      <c r="K193" s="21">
        <v>0</v>
      </c>
      <c r="L193" s="18"/>
    </row>
    <row r="194" ht="10.95" customHeight="true" customFormat="true" s="9">
      <c r="A194" s="17">
        <v>45097</v>
      </c>
      <c r="B194" s="18" t="s">
        <v>123</v>
      </c>
      <c r="C194" s="18" t="s">
        <v>124</v>
      </c>
      <c r="D194" s="18" t="s">
        <v>130</v>
      </c>
      <c r="E194" s="18" t="s">
        <v>131</v>
      </c>
      <c r="F194" s="18"/>
      <c r="G194" s="20">
        <v>0</v>
      </c>
      <c r="H194" s="20">
        <v>712.0000</v>
      </c>
      <c r="I194" s="20">
        <f ca="1">((I193 + G194) - H194)</f>
        <v>0</v>
      </c>
      <c r="J194" s="20">
        <v>0</v>
      </c>
      <c r="K194" s="21">
        <v>0</v>
      </c>
      <c r="L194" s="18"/>
    </row>
    <row r="195" ht="10.95" customHeight="true" customFormat="true" s="9">
      <c r="A195" s="17">
        <v>45097</v>
      </c>
      <c r="B195" s="18" t="s">
        <v>123</v>
      </c>
      <c r="C195" s="18" t="s">
        <v>124</v>
      </c>
      <c r="D195" s="18" t="s">
        <v>43</v>
      </c>
      <c r="E195" s="18" t="s">
        <v>138</v>
      </c>
      <c r="F195" s="18"/>
      <c r="G195" s="20">
        <v>0</v>
      </c>
      <c r="H195" s="20">
        <v>1848.0000</v>
      </c>
      <c r="I195" s="20">
        <f ca="1">((I194 + G195) - H195)</f>
        <v>0</v>
      </c>
      <c r="J195" s="20">
        <v>0</v>
      </c>
      <c r="K195" s="21">
        <v>0</v>
      </c>
      <c r="L195" s="18"/>
    </row>
    <row r="196" ht="10.95" customHeight="true" customFormat="true" s="9">
      <c r="A196" s="17">
        <v>45097</v>
      </c>
      <c r="B196" s="18" t="s">
        <v>123</v>
      </c>
      <c r="C196" s="18" t="s">
        <v>124</v>
      </c>
      <c r="D196" s="18" t="s">
        <v>130</v>
      </c>
      <c r="E196" s="18" t="s">
        <v>143</v>
      </c>
      <c r="F196" s="18"/>
      <c r="G196" s="20">
        <v>3762.0000</v>
      </c>
      <c r="H196" s="20">
        <v>0</v>
      </c>
      <c r="I196" s="20">
        <f ca="1">((I195 + G196) - H196)</f>
        <v>0</v>
      </c>
      <c r="J196" s="20">
        <v>0</v>
      </c>
      <c r="K196" s="21">
        <v>0</v>
      </c>
      <c r="L196" s="18"/>
    </row>
    <row r="197" ht="10.95" customHeight="true" customFormat="true" s="9">
      <c r="A197" s="17">
        <v>45097</v>
      </c>
      <c r="B197" s="18" t="s">
        <v>123</v>
      </c>
      <c r="C197" s="18" t="s">
        <v>124</v>
      </c>
      <c r="D197" s="18" t="s">
        <v>43</v>
      </c>
      <c r="E197" s="18" t="s">
        <v>144</v>
      </c>
      <c r="F197" s="18"/>
      <c r="G197" s="20">
        <v>0</v>
      </c>
      <c r="H197" s="20">
        <v>3762.0000</v>
      </c>
      <c r="I197" s="20">
        <f ca="1">((I196 + G197) - H197)</f>
        <v>0</v>
      </c>
      <c r="J197" s="20">
        <v>0</v>
      </c>
      <c r="K197" s="21">
        <v>0</v>
      </c>
      <c r="L197" s="18"/>
    </row>
    <row r="198" ht="10.95" customHeight="true" customFormat="true" s="9">
      <c r="A198" s="17">
        <v>45098</v>
      </c>
      <c r="B198" s="18" t="s">
        <v>123</v>
      </c>
      <c r="C198" s="18" t="s">
        <v>124</v>
      </c>
      <c r="D198" s="18" t="s">
        <v>43</v>
      </c>
      <c r="E198" s="18" t="s">
        <v>145</v>
      </c>
      <c r="F198" s="18"/>
      <c r="G198" s="20">
        <v>0</v>
      </c>
      <c r="H198" s="20">
        <v>268.8000</v>
      </c>
      <c r="I198" s="20">
        <f ca="1">((I197 + G198) - H198)</f>
        <v>0</v>
      </c>
      <c r="J198" s="20">
        <v>0</v>
      </c>
      <c r="K198" s="21">
        <v>0</v>
      </c>
      <c r="L198" s="18"/>
    </row>
    <row r="199" ht="10.95" customHeight="true" customFormat="true" s="9">
      <c r="A199" s="17">
        <v>45103</v>
      </c>
      <c r="B199" s="18" t="s">
        <v>123</v>
      </c>
      <c r="C199" s="18" t="s">
        <v>124</v>
      </c>
      <c r="D199" s="18" t="s">
        <v>130</v>
      </c>
      <c r="E199" s="18" t="s">
        <v>131</v>
      </c>
      <c r="F199" s="18"/>
      <c r="G199" s="20">
        <v>0</v>
      </c>
      <c r="H199" s="20">
        <v>614.0000</v>
      </c>
      <c r="I199" s="20">
        <f ca="1">((I198 + G199) - H199)</f>
        <v>0</v>
      </c>
      <c r="J199" s="20">
        <v>0</v>
      </c>
      <c r="K199" s="21">
        <v>0</v>
      </c>
      <c r="L199" s="18"/>
    </row>
    <row r="200" ht="10.95" customHeight="true" customFormat="true" s="9">
      <c r="A200" s="17">
        <v>45103</v>
      </c>
      <c r="B200" s="18" t="s">
        <v>123</v>
      </c>
      <c r="C200" s="18" t="s">
        <v>124</v>
      </c>
      <c r="D200" s="18" t="s">
        <v>43</v>
      </c>
      <c r="E200" s="18" t="s">
        <v>125</v>
      </c>
      <c r="F200" s="18"/>
      <c r="G200" s="20">
        <v>0</v>
      </c>
      <c r="H200" s="20">
        <v>1693.0000</v>
      </c>
      <c r="I200" s="20">
        <f ca="1">((I199 + G200) - H200)</f>
        <v>0</v>
      </c>
      <c r="J200" s="20">
        <v>0</v>
      </c>
      <c r="K200" s="21">
        <v>0</v>
      </c>
      <c r="L200" s="18"/>
    </row>
    <row r="201" ht="10.95" customHeight="true" customFormat="true" s="9">
      <c r="A201" s="17">
        <v>45104</v>
      </c>
      <c r="B201" s="18" t="s">
        <v>123</v>
      </c>
      <c r="C201" s="18" t="s">
        <v>124</v>
      </c>
      <c r="D201" s="18" t="s">
        <v>43</v>
      </c>
      <c r="E201" s="18" t="s">
        <v>145</v>
      </c>
      <c r="F201" s="18"/>
      <c r="G201" s="20">
        <v>0</v>
      </c>
      <c r="H201" s="20">
        <v>242.3100</v>
      </c>
      <c r="I201" s="20">
        <f ca="1">((I200 + G201) - H201)</f>
        <v>0</v>
      </c>
      <c r="J201" s="20">
        <v>0</v>
      </c>
      <c r="K201" s="21">
        <v>0</v>
      </c>
      <c r="L201" s="18"/>
    </row>
    <row r="202" ht="10.95" customHeight="true" customFormat="true" s="9">
      <c r="A202" s="17">
        <v>45104</v>
      </c>
      <c r="B202" s="18" t="s">
        <v>123</v>
      </c>
      <c r="C202" s="18" t="s">
        <v>124</v>
      </c>
      <c r="D202" s="18" t="s">
        <v>43</v>
      </c>
      <c r="E202" s="18" t="s">
        <v>137</v>
      </c>
      <c r="F202" s="18"/>
      <c r="G202" s="20">
        <v>0</v>
      </c>
      <c r="H202" s="20">
        <v>163.0000</v>
      </c>
      <c r="I202" s="20">
        <f ca="1">((I201 + G202) - H202)</f>
        <v>0</v>
      </c>
      <c r="J202" s="20">
        <v>0</v>
      </c>
      <c r="K202" s="21">
        <v>0</v>
      </c>
      <c r="L202" s="18"/>
    </row>
    <row r="203" ht="10.95" customHeight="true" customFormat="true" s="9">
      <c r="A203" s="17">
        <v>45104</v>
      </c>
      <c r="B203" s="18" t="s">
        <v>123</v>
      </c>
      <c r="C203" s="18" t="s">
        <v>124</v>
      </c>
      <c r="D203" s="18" t="s">
        <v>43</v>
      </c>
      <c r="E203" s="18" t="s">
        <v>135</v>
      </c>
      <c r="F203" s="18"/>
      <c r="G203" s="20">
        <v>0</v>
      </c>
      <c r="H203" s="20">
        <v>237.0100</v>
      </c>
      <c r="I203" s="20">
        <f ca="1">((I202 + G203) - H203)</f>
        <v>0</v>
      </c>
      <c r="J203" s="20">
        <v>0</v>
      </c>
      <c r="K203" s="21">
        <v>0</v>
      </c>
      <c r="L203" s="18"/>
    </row>
    <row r="204" ht="10.95" customHeight="true" customFormat="true" s="9">
      <c r="A204" s="17">
        <v>45107</v>
      </c>
      <c r="B204" s="18" t="s">
        <v>123</v>
      </c>
      <c r="C204" s="18" t="s">
        <v>124</v>
      </c>
      <c r="D204" s="18" t="s">
        <v>43</v>
      </c>
      <c r="E204" s="18" t="s">
        <v>126</v>
      </c>
      <c r="F204" s="18"/>
      <c r="G204" s="20">
        <v>0</v>
      </c>
      <c r="H204" s="20">
        <v>527.9100</v>
      </c>
      <c r="I204" s="20">
        <f ca="1">((I203 + G204) - H204)</f>
        <v>0</v>
      </c>
      <c r="J204" s="20">
        <v>0</v>
      </c>
      <c r="K204" s="21">
        <v>0</v>
      </c>
      <c r="L204" s="18"/>
    </row>
    <row r="205" ht="10.95" customHeight="true" customFormat="true" s="9">
      <c r="A205" s="22" t="s">
        <v>146</v>
      </c>
      <c r="B205" s="22"/>
      <c r="C205" s="22"/>
      <c r="D205" s="22"/>
      <c r="E205" s="22"/>
      <c r="F205" s="22"/>
      <c r="G205" s="23">
        <f ca="1">SUM(G153:G204)</f>
        <v>0</v>
      </c>
      <c r="H205" s="23">
        <f ca="1">SUM(H153:H204)</f>
        <v>0</v>
      </c>
      <c r="I205" s="23">
        <f ca="1">I204</f>
        <v>0</v>
      </c>
      <c r="J205" s="23">
        <f ca="1">SUM(J153:J204)</f>
        <v>0</v>
      </c>
      <c r="K205" s="22"/>
      <c r="L205" s="22"/>
    </row>
    <row r="206" ht="10.95" customHeight="true" customFormat="true" s="9">
      <c r="A206" s="22" t="s">
        <v>32</v>
      </c>
      <c r="B206" s="22"/>
      <c r="C206" s="22"/>
      <c r="D206" s="22"/>
      <c r="E206" s="22"/>
      <c r="F206" s="22"/>
      <c r="G206" s="23">
        <v>24381.1300</v>
      </c>
      <c r="H206" s="23">
        <v>0</v>
      </c>
      <c r="I206" s="23">
        <v>0</v>
      </c>
      <c r="J206" s="23">
        <v>0</v>
      </c>
      <c r="K206" s="22"/>
      <c r="L206" s="22"/>
    </row>
    <row r="207" ht="10.95" customHeight="true" customFormat="true" s="9">
      <c r="A207" s="10" t="s">
        <v>33</v>
      </c>
      <c r="B207" s="10"/>
      <c r="C207" s="10"/>
      <c r="D207" s="10"/>
      <c r="E207" s="10"/>
      <c r="F207" s="10"/>
      <c r="G207" s="11">
        <v>24381.1300</v>
      </c>
      <c r="H207" s="11">
        <v>0</v>
      </c>
      <c r="I207" s="11">
        <f ca="1">I204</f>
        <v>0</v>
      </c>
      <c r="J207" s="11">
        <v>0</v>
      </c>
      <c r="K207" s="10"/>
      <c r="L207" s="10"/>
    </row>
    <row r="208" ht="13.35" customHeight="true"/>
    <row r="209" ht="12.1" customHeight="true" customFormat="true" s="5">
      <c r="A209" s="8" t="s">
        <v>147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 ht="10.95" customHeight="true" customFormat="true" s="9">
      <c r="A210" s="10" t="s">
        <v>16</v>
      </c>
      <c r="B210" s="10"/>
      <c r="C210" s="10"/>
      <c r="D210" s="10"/>
      <c r="E210" s="10"/>
      <c r="F210" s="10"/>
      <c r="G210" s="11">
        <v>0</v>
      </c>
      <c r="H210" s="11">
        <v>0</v>
      </c>
      <c r="I210" s="11">
        <f ca="1">(G210 - H210)</f>
        <v>0</v>
      </c>
      <c r="J210" s="11">
        <v>0</v>
      </c>
      <c r="K210" s="10"/>
      <c r="L210" s="10"/>
    </row>
    <row r="211" ht="10.95" customHeight="true" customFormat="true" s="9">
      <c r="A211" s="12">
        <v>45107</v>
      </c>
      <c r="B211" s="13" t="s">
        <v>148</v>
      </c>
      <c r="C211" s="13" t="s">
        <v>149</v>
      </c>
      <c r="D211" s="13" t="s">
        <v>53</v>
      </c>
      <c r="E211" s="13" t="s">
        <v>150</v>
      </c>
      <c r="F211" s="13" t="s">
        <v>58</v>
      </c>
      <c r="G211" s="15">
        <v>100.0000</v>
      </c>
      <c r="H211" s="15">
        <v>0</v>
      </c>
      <c r="I211" s="15">
        <f ca="1">((I210 + G211) - H211)</f>
        <v>0</v>
      </c>
      <c r="J211" s="15">
        <v>0</v>
      </c>
      <c r="K211" s="16">
        <v>0</v>
      </c>
      <c r="L211" s="13" t="s">
        <v>59</v>
      </c>
    </row>
    <row r="212" ht="10.95" customHeight="true" customFormat="true" s="9">
      <c r="A212" s="22" t="s">
        <v>151</v>
      </c>
      <c r="B212" s="22"/>
      <c r="C212" s="22"/>
      <c r="D212" s="22"/>
      <c r="E212" s="22"/>
      <c r="F212" s="22"/>
      <c r="G212" s="23">
        <f ca="1">G211</f>
        <v>0</v>
      </c>
      <c r="H212" s="23">
        <f ca="1">H211</f>
        <v>0</v>
      </c>
      <c r="I212" s="23">
        <f ca="1">I211</f>
        <v>0</v>
      </c>
      <c r="J212" s="23">
        <f ca="1">J211</f>
        <v>0</v>
      </c>
      <c r="K212" s="22"/>
      <c r="L212" s="22"/>
    </row>
    <row r="213" ht="10.95" customHeight="true" customFormat="true" s="9">
      <c r="A213" s="22" t="s">
        <v>32</v>
      </c>
      <c r="B213" s="22"/>
      <c r="C213" s="22"/>
      <c r="D213" s="22"/>
      <c r="E213" s="22"/>
      <c r="F213" s="22"/>
      <c r="G213" s="23">
        <v>100.0000</v>
      </c>
      <c r="H213" s="23">
        <v>0</v>
      </c>
      <c r="I213" s="23">
        <v>0</v>
      </c>
      <c r="J213" s="23">
        <v>0</v>
      </c>
      <c r="K213" s="22"/>
      <c r="L213" s="22"/>
    </row>
    <row r="214" ht="10.95" customHeight="true" customFormat="true" s="9">
      <c r="A214" s="10" t="s">
        <v>33</v>
      </c>
      <c r="B214" s="10"/>
      <c r="C214" s="10"/>
      <c r="D214" s="10"/>
      <c r="E214" s="10"/>
      <c r="F214" s="10"/>
      <c r="G214" s="11">
        <v>100.0000</v>
      </c>
      <c r="H214" s="11">
        <v>0</v>
      </c>
      <c r="I214" s="11">
        <f ca="1">I211</f>
        <v>0</v>
      </c>
      <c r="J214" s="11">
        <v>0</v>
      </c>
      <c r="K214" s="10"/>
      <c r="L214" s="10"/>
    </row>
    <row r="215" ht="13.35" customHeight="true"/>
    <row r="216" ht="12.1" customHeight="true" customFormat="true" s="5">
      <c r="A216" s="8" t="s">
        <v>152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 ht="10.95" customHeight="true" customFormat="true" s="9">
      <c r="A217" s="10" t="s">
        <v>16</v>
      </c>
      <c r="B217" s="10"/>
      <c r="C217" s="10"/>
      <c r="D217" s="10"/>
      <c r="E217" s="10"/>
      <c r="F217" s="10"/>
      <c r="G217" s="11">
        <v>0</v>
      </c>
      <c r="H217" s="11">
        <v>0</v>
      </c>
      <c r="I217" s="11">
        <f ca="1">(G217 - H217)</f>
        <v>0</v>
      </c>
      <c r="J217" s="11">
        <v>0</v>
      </c>
      <c r="K217" s="10"/>
      <c r="L217" s="10"/>
    </row>
    <row r="218" ht="10.95" customHeight="true" customFormat="true" s="9">
      <c r="A218" s="12">
        <v>45043</v>
      </c>
      <c r="B218" s="13" t="s">
        <v>153</v>
      </c>
      <c r="C218" s="13" t="s">
        <v>124</v>
      </c>
      <c r="D218" s="13" t="s">
        <v>130</v>
      </c>
      <c r="E218" s="13" t="s">
        <v>131</v>
      </c>
      <c r="F218" s="13"/>
      <c r="G218" s="15">
        <v>398.0000</v>
      </c>
      <c r="H218" s="15">
        <v>0</v>
      </c>
      <c r="I218" s="15">
        <f ca="1">((I217 + G218) - H218)</f>
        <v>0</v>
      </c>
      <c r="J218" s="15">
        <v>0</v>
      </c>
      <c r="K218" s="16">
        <v>0</v>
      </c>
      <c r="L218" s="13"/>
    </row>
    <row r="219" ht="10.95" customHeight="true" customFormat="true" s="9">
      <c r="A219" s="17">
        <v>45049</v>
      </c>
      <c r="B219" s="18" t="s">
        <v>153</v>
      </c>
      <c r="C219" s="18" t="s">
        <v>124</v>
      </c>
      <c r="D219" s="18" t="s">
        <v>130</v>
      </c>
      <c r="E219" s="18" t="s">
        <v>131</v>
      </c>
      <c r="F219" s="18"/>
      <c r="G219" s="20">
        <v>899.0000</v>
      </c>
      <c r="H219" s="20">
        <v>0</v>
      </c>
      <c r="I219" s="20">
        <f ca="1">((I218 + G219) - H219)</f>
        <v>0</v>
      </c>
      <c r="J219" s="20">
        <v>0</v>
      </c>
      <c r="K219" s="21">
        <v>0</v>
      </c>
      <c r="L219" s="18"/>
    </row>
    <row r="220" ht="10.95" customHeight="true" customFormat="true" s="9">
      <c r="A220" s="17">
        <v>45062</v>
      </c>
      <c r="B220" s="18" t="s">
        <v>153</v>
      </c>
      <c r="C220" s="18" t="s">
        <v>124</v>
      </c>
      <c r="D220" s="18" t="s">
        <v>130</v>
      </c>
      <c r="E220" s="18" t="s">
        <v>131</v>
      </c>
      <c r="F220" s="18"/>
      <c r="G220" s="20">
        <v>1317.0000</v>
      </c>
      <c r="H220" s="20">
        <v>0</v>
      </c>
      <c r="I220" s="20">
        <f ca="1">((I219 + G220) - H220)</f>
        <v>0</v>
      </c>
      <c r="J220" s="20">
        <v>0</v>
      </c>
      <c r="K220" s="21">
        <v>0</v>
      </c>
      <c r="L220" s="18"/>
    </row>
    <row r="221" ht="10.95" customHeight="true" customFormat="true" s="9">
      <c r="A221" s="17">
        <v>45062</v>
      </c>
      <c r="B221" s="18" t="s">
        <v>153</v>
      </c>
      <c r="C221" s="18" t="s">
        <v>124</v>
      </c>
      <c r="D221" s="18" t="s">
        <v>130</v>
      </c>
      <c r="E221" s="18" t="s">
        <v>131</v>
      </c>
      <c r="F221" s="18"/>
      <c r="G221" s="20">
        <v>2600.0000</v>
      </c>
      <c r="H221" s="20">
        <v>0</v>
      </c>
      <c r="I221" s="20">
        <f ca="1">((I220 + G221) - H221)</f>
        <v>0</v>
      </c>
      <c r="J221" s="20">
        <v>0</v>
      </c>
      <c r="K221" s="21">
        <v>0</v>
      </c>
      <c r="L221" s="18"/>
    </row>
    <row r="222" ht="10.95" customHeight="true" customFormat="true" s="9">
      <c r="A222" s="17">
        <v>45062</v>
      </c>
      <c r="B222" s="18" t="s">
        <v>153</v>
      </c>
      <c r="C222" s="18" t="s">
        <v>124</v>
      </c>
      <c r="D222" s="18" t="s">
        <v>130</v>
      </c>
      <c r="E222" s="18" t="s">
        <v>131</v>
      </c>
      <c r="F222" s="18"/>
      <c r="G222" s="20">
        <v>420.0000</v>
      </c>
      <c r="H222" s="20">
        <v>0</v>
      </c>
      <c r="I222" s="20">
        <f ca="1">((I221 + G222) - H222)</f>
        <v>0</v>
      </c>
      <c r="J222" s="20">
        <v>0</v>
      </c>
      <c r="K222" s="21">
        <v>0</v>
      </c>
      <c r="L222" s="18"/>
    </row>
    <row r="223" ht="10.95" customHeight="true" customFormat="true" s="9">
      <c r="A223" s="17">
        <v>45068</v>
      </c>
      <c r="B223" s="18" t="s">
        <v>153</v>
      </c>
      <c r="C223" s="18" t="s">
        <v>124</v>
      </c>
      <c r="D223" s="18" t="s">
        <v>130</v>
      </c>
      <c r="E223" s="18" t="s">
        <v>131</v>
      </c>
      <c r="F223" s="18"/>
      <c r="G223" s="20">
        <v>1317.0000</v>
      </c>
      <c r="H223" s="20">
        <v>0</v>
      </c>
      <c r="I223" s="20">
        <f ca="1">((I222 + G223) - H223)</f>
        <v>0</v>
      </c>
      <c r="J223" s="20">
        <v>0</v>
      </c>
      <c r="K223" s="21">
        <v>0</v>
      </c>
      <c r="L223" s="18"/>
    </row>
    <row r="224" ht="10.95" customHeight="true" customFormat="true" s="9">
      <c r="A224" s="17">
        <v>45068</v>
      </c>
      <c r="B224" s="18" t="s">
        <v>153</v>
      </c>
      <c r="C224" s="18" t="s">
        <v>124</v>
      </c>
      <c r="D224" s="18" t="s">
        <v>130</v>
      </c>
      <c r="E224" s="18" t="s">
        <v>131</v>
      </c>
      <c r="F224" s="18"/>
      <c r="G224" s="20">
        <v>420.0000</v>
      </c>
      <c r="H224" s="20">
        <v>0</v>
      </c>
      <c r="I224" s="20">
        <f ca="1">((I223 + G224) - H224)</f>
        <v>0</v>
      </c>
      <c r="J224" s="20">
        <v>0</v>
      </c>
      <c r="K224" s="21">
        <v>0</v>
      </c>
      <c r="L224" s="18"/>
    </row>
    <row r="225" ht="10.95" customHeight="true" customFormat="true" s="9">
      <c r="A225" s="17">
        <v>45075</v>
      </c>
      <c r="B225" s="18" t="s">
        <v>153</v>
      </c>
      <c r="C225" s="18" t="s">
        <v>124</v>
      </c>
      <c r="D225" s="18" t="s">
        <v>130</v>
      </c>
      <c r="E225" s="18" t="s">
        <v>131</v>
      </c>
      <c r="F225" s="18"/>
      <c r="G225" s="20">
        <v>614.0000</v>
      </c>
      <c r="H225" s="20">
        <v>0</v>
      </c>
      <c r="I225" s="20">
        <f ca="1">((I224 + G225) - H225)</f>
        <v>0</v>
      </c>
      <c r="J225" s="20">
        <v>0</v>
      </c>
      <c r="K225" s="21">
        <v>0</v>
      </c>
      <c r="L225" s="18"/>
    </row>
    <row r="226" ht="10.95" customHeight="true" customFormat="true" s="9">
      <c r="A226" s="17">
        <v>45077</v>
      </c>
      <c r="B226" s="18" t="s">
        <v>153</v>
      </c>
      <c r="C226" s="18" t="s">
        <v>124</v>
      </c>
      <c r="D226" s="18" t="s">
        <v>36</v>
      </c>
      <c r="E226" s="18" t="s">
        <v>154</v>
      </c>
      <c r="F226" s="18"/>
      <c r="G226" s="20">
        <v>0.0300</v>
      </c>
      <c r="H226" s="20">
        <v>0</v>
      </c>
      <c r="I226" s="20">
        <f ca="1">((I225 + G226) - H226)</f>
        <v>0</v>
      </c>
      <c r="J226" s="20">
        <v>0</v>
      </c>
      <c r="K226" s="21">
        <v>0</v>
      </c>
      <c r="L226" s="18"/>
    </row>
    <row r="227" ht="10.95" customHeight="true" customFormat="true" s="9">
      <c r="A227" s="17">
        <v>45082</v>
      </c>
      <c r="B227" s="18" t="s">
        <v>153</v>
      </c>
      <c r="C227" s="18" t="s">
        <v>124</v>
      </c>
      <c r="D227" s="18" t="s">
        <v>130</v>
      </c>
      <c r="E227" s="18" t="s">
        <v>131</v>
      </c>
      <c r="F227" s="18"/>
      <c r="G227" s="20">
        <v>514.0000</v>
      </c>
      <c r="H227" s="20">
        <v>0</v>
      </c>
      <c r="I227" s="20">
        <f ca="1">((I226 + G227) - H227)</f>
        <v>0</v>
      </c>
      <c r="J227" s="20">
        <v>0</v>
      </c>
      <c r="K227" s="21">
        <v>0</v>
      </c>
      <c r="L227" s="18"/>
    </row>
    <row r="228" ht="10.95" customHeight="true" customFormat="true" s="9">
      <c r="A228" s="17">
        <v>45091</v>
      </c>
      <c r="B228" s="18" t="s">
        <v>153</v>
      </c>
      <c r="C228" s="18" t="s">
        <v>124</v>
      </c>
      <c r="D228" s="18" t="s">
        <v>130</v>
      </c>
      <c r="E228" s="18" t="s">
        <v>131</v>
      </c>
      <c r="F228" s="18"/>
      <c r="G228" s="20">
        <v>614.0000</v>
      </c>
      <c r="H228" s="20">
        <v>0</v>
      </c>
      <c r="I228" s="20">
        <f ca="1">((I227 + G228) - H228)</f>
        <v>0</v>
      </c>
      <c r="J228" s="20">
        <v>0</v>
      </c>
      <c r="K228" s="21">
        <v>0</v>
      </c>
      <c r="L228" s="18"/>
    </row>
    <row r="229" ht="10.95" customHeight="true" customFormat="true" s="9">
      <c r="A229" s="17">
        <v>45097</v>
      </c>
      <c r="B229" s="18" t="s">
        <v>153</v>
      </c>
      <c r="C229" s="18" t="s">
        <v>124</v>
      </c>
      <c r="D229" s="18" t="s">
        <v>130</v>
      </c>
      <c r="E229" s="18" t="s">
        <v>131</v>
      </c>
      <c r="F229" s="18"/>
      <c r="G229" s="20">
        <v>712.0000</v>
      </c>
      <c r="H229" s="20">
        <v>0</v>
      </c>
      <c r="I229" s="20">
        <f ca="1">((I228 + G229) - H229)</f>
        <v>0</v>
      </c>
      <c r="J229" s="20">
        <v>0</v>
      </c>
      <c r="K229" s="21">
        <v>0</v>
      </c>
      <c r="L229" s="18"/>
    </row>
    <row r="230" ht="10.95" customHeight="true" customFormat="true" s="9">
      <c r="A230" s="17">
        <v>45097</v>
      </c>
      <c r="B230" s="18" t="s">
        <v>153</v>
      </c>
      <c r="C230" s="18" t="s">
        <v>124</v>
      </c>
      <c r="D230" s="18" t="s">
        <v>130</v>
      </c>
      <c r="E230" s="18" t="s">
        <v>143</v>
      </c>
      <c r="F230" s="18"/>
      <c r="G230" s="20">
        <v>0</v>
      </c>
      <c r="H230" s="20">
        <v>3762.0000</v>
      </c>
      <c r="I230" s="20">
        <f ca="1">((I229 + G230) - H230)</f>
        <v>0</v>
      </c>
      <c r="J230" s="20">
        <v>0</v>
      </c>
      <c r="K230" s="21">
        <v>0</v>
      </c>
      <c r="L230" s="18"/>
    </row>
    <row r="231" ht="10.95" customHeight="true" customFormat="true" s="9">
      <c r="A231" s="17">
        <v>45103</v>
      </c>
      <c r="B231" s="18" t="s">
        <v>153</v>
      </c>
      <c r="C231" s="18" t="s">
        <v>124</v>
      </c>
      <c r="D231" s="18" t="s">
        <v>130</v>
      </c>
      <c r="E231" s="18" t="s">
        <v>131</v>
      </c>
      <c r="F231" s="18"/>
      <c r="G231" s="20">
        <v>614.0000</v>
      </c>
      <c r="H231" s="20">
        <v>0</v>
      </c>
      <c r="I231" s="20">
        <f ca="1">((I230 + G231) - H231)</f>
        <v>0</v>
      </c>
      <c r="J231" s="20">
        <v>0</v>
      </c>
      <c r="K231" s="21">
        <v>0</v>
      </c>
      <c r="L231" s="18"/>
    </row>
    <row r="232" ht="10.95" customHeight="true" customFormat="true" s="9">
      <c r="A232" s="17">
        <v>45107</v>
      </c>
      <c r="B232" s="18" t="s">
        <v>153</v>
      </c>
      <c r="C232" s="18" t="s">
        <v>124</v>
      </c>
      <c r="D232" s="18" t="s">
        <v>36</v>
      </c>
      <c r="E232" s="18" t="s">
        <v>154</v>
      </c>
      <c r="F232" s="18"/>
      <c r="G232" s="20">
        <v>0.0600</v>
      </c>
      <c r="H232" s="20">
        <v>0</v>
      </c>
      <c r="I232" s="20">
        <f ca="1">((I231 + G232) - H232)</f>
        <v>0</v>
      </c>
      <c r="J232" s="20">
        <v>0</v>
      </c>
      <c r="K232" s="21">
        <v>0</v>
      </c>
      <c r="L232" s="18"/>
    </row>
    <row r="233" ht="10.95" customHeight="true" customFormat="true" s="9">
      <c r="A233" s="22" t="s">
        <v>155</v>
      </c>
      <c r="B233" s="22"/>
      <c r="C233" s="22"/>
      <c r="D233" s="22"/>
      <c r="E233" s="22"/>
      <c r="F233" s="22"/>
      <c r="G233" s="23">
        <f ca="1">SUM(G218:G232)</f>
        <v>0</v>
      </c>
      <c r="H233" s="23">
        <f ca="1">SUM(H218:H232)</f>
        <v>0</v>
      </c>
      <c r="I233" s="23">
        <f ca="1">I232</f>
        <v>0</v>
      </c>
      <c r="J233" s="23">
        <f ca="1">SUM(J218:J232)</f>
        <v>0</v>
      </c>
      <c r="K233" s="22"/>
      <c r="L233" s="22"/>
    </row>
    <row r="234" ht="10.95" customHeight="true" customFormat="true" s="9">
      <c r="A234" s="22" t="s">
        <v>32</v>
      </c>
      <c r="B234" s="22"/>
      <c r="C234" s="22"/>
      <c r="D234" s="22"/>
      <c r="E234" s="22"/>
      <c r="F234" s="22"/>
      <c r="G234" s="23">
        <v>6677.0900</v>
      </c>
      <c r="H234" s="23">
        <v>0</v>
      </c>
      <c r="I234" s="23">
        <v>0</v>
      </c>
      <c r="J234" s="23">
        <v>0</v>
      </c>
      <c r="K234" s="22"/>
      <c r="L234" s="22"/>
    </row>
    <row r="235" ht="10.95" customHeight="true" customFormat="true" s="9">
      <c r="A235" s="10" t="s">
        <v>33</v>
      </c>
      <c r="B235" s="10"/>
      <c r="C235" s="10"/>
      <c r="D235" s="10"/>
      <c r="E235" s="10"/>
      <c r="F235" s="10"/>
      <c r="G235" s="11">
        <v>6677.0900</v>
      </c>
      <c r="H235" s="11">
        <v>0</v>
      </c>
      <c r="I235" s="11">
        <f ca="1">I232</f>
        <v>0</v>
      </c>
      <c r="J235" s="11">
        <v>0</v>
      </c>
      <c r="K235" s="10"/>
      <c r="L235" s="10"/>
    </row>
    <row r="236" ht="13.35" customHeight="true"/>
    <row r="237" ht="12.1" customHeight="true" customFormat="true" s="5">
      <c r="A237" s="8" t="s">
        <v>156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 ht="10.95" customHeight="true" customFormat="true" s="9">
      <c r="A238" s="10" t="s">
        <v>16</v>
      </c>
      <c r="B238" s="10"/>
      <c r="C238" s="10"/>
      <c r="D238" s="10"/>
      <c r="E238" s="10"/>
      <c r="F238" s="10"/>
      <c r="G238" s="11">
        <v>0</v>
      </c>
      <c r="H238" s="11">
        <v>0</v>
      </c>
      <c r="I238" s="11">
        <f ca="1">(G238 - H238)</f>
        <v>0</v>
      </c>
      <c r="J238" s="11">
        <v>0</v>
      </c>
      <c r="K238" s="10"/>
      <c r="L238" s="10"/>
    </row>
    <row r="239" ht="10.95" customHeight="true" customFormat="true" s="9">
      <c r="A239" s="12">
        <v>45022</v>
      </c>
      <c r="B239" s="13" t="s">
        <v>157</v>
      </c>
      <c r="C239" s="13" t="s">
        <v>149</v>
      </c>
      <c r="D239" s="13" t="s">
        <v>19</v>
      </c>
      <c r="E239" s="13" t="s">
        <v>158</v>
      </c>
      <c r="F239" s="13" t="s">
        <v>21</v>
      </c>
      <c r="G239" s="15">
        <v>3971.0000</v>
      </c>
      <c r="H239" s="15">
        <v>0</v>
      </c>
      <c r="I239" s="15">
        <f ca="1">((I238 + G239) - H239)</f>
        <v>0</v>
      </c>
      <c r="J239" s="15">
        <v>0</v>
      </c>
      <c r="K239" s="16">
        <v>0</v>
      </c>
      <c r="L239" s="13"/>
    </row>
    <row r="240" ht="10.95" customHeight="true" customFormat="true" s="9">
      <c r="A240" s="17">
        <v>45042</v>
      </c>
      <c r="B240" s="18" t="s">
        <v>157</v>
      </c>
      <c r="C240" s="18" t="s">
        <v>149</v>
      </c>
      <c r="D240" s="18" t="s">
        <v>128</v>
      </c>
      <c r="E240" s="18" t="s">
        <v>129</v>
      </c>
      <c r="F240" s="18" t="s">
        <v>21</v>
      </c>
      <c r="G240" s="20">
        <v>0</v>
      </c>
      <c r="H240" s="20">
        <v>3971.0000</v>
      </c>
      <c r="I240" s="20">
        <f ca="1">((I239 + G240) - H240)</f>
        <v>0</v>
      </c>
      <c r="J240" s="20">
        <v>0</v>
      </c>
      <c r="K240" s="21">
        <v>0</v>
      </c>
      <c r="L240" s="18"/>
    </row>
    <row r="241" ht="10.95" customHeight="true" customFormat="true" s="9">
      <c r="A241" s="17">
        <v>45046</v>
      </c>
      <c r="B241" s="18" t="s">
        <v>157</v>
      </c>
      <c r="C241" s="18" t="s">
        <v>149</v>
      </c>
      <c r="D241" s="18" t="s">
        <v>19</v>
      </c>
      <c r="E241" s="18" t="s">
        <v>158</v>
      </c>
      <c r="F241" s="18" t="s">
        <v>25</v>
      </c>
      <c r="G241" s="20">
        <v>25759.2500</v>
      </c>
      <c r="H241" s="20">
        <v>0</v>
      </c>
      <c r="I241" s="20">
        <f ca="1">((I240 + G241) - H241)</f>
        <v>0</v>
      </c>
      <c r="J241" s="20">
        <v>0</v>
      </c>
      <c r="K241" s="21">
        <v>0</v>
      </c>
      <c r="L241" s="18"/>
    </row>
    <row r="242" ht="10.95" customHeight="true" customFormat="true" s="9">
      <c r="A242" s="17">
        <v>45062</v>
      </c>
      <c r="B242" s="18" t="s">
        <v>157</v>
      </c>
      <c r="C242" s="18" t="s">
        <v>149</v>
      </c>
      <c r="D242" s="18" t="s">
        <v>128</v>
      </c>
      <c r="E242" s="18" t="s">
        <v>129</v>
      </c>
      <c r="F242" s="18" t="s">
        <v>25</v>
      </c>
      <c r="G242" s="20">
        <v>0</v>
      </c>
      <c r="H242" s="20">
        <v>25759.2500</v>
      </c>
      <c r="I242" s="20">
        <f ca="1">((I241 + G242) - H242)</f>
        <v>0</v>
      </c>
      <c r="J242" s="20">
        <v>0</v>
      </c>
      <c r="K242" s="21">
        <v>0</v>
      </c>
      <c r="L242" s="18"/>
    </row>
    <row r="243" ht="10.95" customHeight="true" customFormat="true" s="9">
      <c r="A243" s="17">
        <v>45077</v>
      </c>
      <c r="B243" s="18" t="s">
        <v>157</v>
      </c>
      <c r="C243" s="18" t="s">
        <v>149</v>
      </c>
      <c r="D243" s="18" t="s">
        <v>19</v>
      </c>
      <c r="E243" s="18" t="s">
        <v>158</v>
      </c>
      <c r="F243" s="18" t="s">
        <v>29</v>
      </c>
      <c r="G243" s="20">
        <v>24662.0000</v>
      </c>
      <c r="H243" s="20">
        <v>0</v>
      </c>
      <c r="I243" s="20">
        <f ca="1">((I242 + G243) - H243)</f>
        <v>0</v>
      </c>
      <c r="J243" s="20">
        <v>0</v>
      </c>
      <c r="K243" s="21">
        <v>0</v>
      </c>
      <c r="L243" s="18"/>
    </row>
    <row r="244" ht="10.95" customHeight="true" customFormat="true" s="9">
      <c r="A244" s="17">
        <v>45097</v>
      </c>
      <c r="B244" s="18" t="s">
        <v>157</v>
      </c>
      <c r="C244" s="18" t="s">
        <v>149</v>
      </c>
      <c r="D244" s="18" t="s">
        <v>128</v>
      </c>
      <c r="E244" s="18" t="s">
        <v>129</v>
      </c>
      <c r="F244" s="18" t="s">
        <v>29</v>
      </c>
      <c r="G244" s="20">
        <v>0</v>
      </c>
      <c r="H244" s="20">
        <v>24662.0000</v>
      </c>
      <c r="I244" s="20">
        <f ca="1">((I243 + G244) - H244)</f>
        <v>0</v>
      </c>
      <c r="J244" s="20">
        <v>0</v>
      </c>
      <c r="K244" s="21">
        <v>0</v>
      </c>
      <c r="L244" s="18"/>
    </row>
    <row r="245" ht="10.95" customHeight="true" customFormat="true" s="9">
      <c r="A245" s="22" t="s">
        <v>159</v>
      </c>
      <c r="B245" s="22"/>
      <c r="C245" s="22"/>
      <c r="D245" s="22"/>
      <c r="E245" s="22"/>
      <c r="F245" s="22"/>
      <c r="G245" s="23">
        <f ca="1">SUM(G239:G244)</f>
        <v>0</v>
      </c>
      <c r="H245" s="23">
        <f ca="1">SUM(H239:H244)</f>
        <v>0</v>
      </c>
      <c r="I245" s="23">
        <f ca="1">I244</f>
        <v>0</v>
      </c>
      <c r="J245" s="23">
        <f ca="1">SUM(J239:J244)</f>
        <v>0</v>
      </c>
      <c r="K245" s="22"/>
      <c r="L245" s="22"/>
    </row>
    <row r="246" ht="10.95" customHeight="true" customFormat="true" s="9">
      <c r="A246" s="22" t="s">
        <v>32</v>
      </c>
      <c r="B246" s="22"/>
      <c r="C246" s="22"/>
      <c r="D246" s="22"/>
      <c r="E246" s="22"/>
      <c r="F246" s="22"/>
      <c r="G246" s="23">
        <v>0</v>
      </c>
      <c r="H246" s="23">
        <v>0</v>
      </c>
      <c r="I246" s="23">
        <v>0</v>
      </c>
      <c r="J246" s="23">
        <v>0</v>
      </c>
      <c r="K246" s="22"/>
      <c r="L246" s="22"/>
    </row>
    <row r="247" ht="10.95" customHeight="true" customFormat="true" s="9">
      <c r="A247" s="10" t="s">
        <v>33</v>
      </c>
      <c r="B247" s="10"/>
      <c r="C247" s="10"/>
      <c r="D247" s="10"/>
      <c r="E247" s="10"/>
      <c r="F247" s="10"/>
      <c r="G247" s="11">
        <v>0</v>
      </c>
      <c r="H247" s="11">
        <v>0</v>
      </c>
      <c r="I247" s="11">
        <f ca="1">I244</f>
        <v>0</v>
      </c>
      <c r="J247" s="11">
        <v>0</v>
      </c>
      <c r="K247" s="10"/>
      <c r="L247" s="10"/>
    </row>
    <row r="248" ht="13.35" customHeight="true"/>
    <row r="249" ht="12.1" customHeight="true" customFormat="true" s="5">
      <c r="A249" s="8" t="s">
        <v>160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 ht="10.95" customHeight="true" customFormat="true" s="9">
      <c r="A250" s="10" t="s">
        <v>16</v>
      </c>
      <c r="B250" s="10"/>
      <c r="C250" s="10"/>
      <c r="D250" s="10"/>
      <c r="E250" s="10"/>
      <c r="F250" s="10"/>
      <c r="G250" s="11">
        <v>0</v>
      </c>
      <c r="H250" s="11">
        <v>0</v>
      </c>
      <c r="I250" s="11">
        <f ca="1">(G250 - H250)</f>
        <v>0</v>
      </c>
      <c r="J250" s="11">
        <v>0</v>
      </c>
      <c r="K250" s="10"/>
      <c r="L250" s="10"/>
    </row>
    <row r="251" ht="10.95" customHeight="true" customFormat="true" s="9">
      <c r="A251" s="12">
        <v>45107</v>
      </c>
      <c r="B251" s="13" t="s">
        <v>161</v>
      </c>
      <c r="C251" s="13" t="s">
        <v>149</v>
      </c>
      <c r="D251" s="13" t="s">
        <v>53</v>
      </c>
      <c r="E251" s="13" t="s">
        <v>162</v>
      </c>
      <c r="F251" s="13" t="s">
        <v>163</v>
      </c>
      <c r="G251" s="15">
        <v>2500.0000</v>
      </c>
      <c r="H251" s="15">
        <v>0</v>
      </c>
      <c r="I251" s="15">
        <f ca="1">((I250 + G251) - H251)</f>
        <v>0</v>
      </c>
      <c r="J251" s="15">
        <v>0</v>
      </c>
      <c r="K251" s="16">
        <v>0</v>
      </c>
      <c r="L251" s="13" t="s">
        <v>59</v>
      </c>
    </row>
    <row r="252" ht="10.95" customHeight="true" customFormat="true" s="9">
      <c r="A252" s="17">
        <v>45107</v>
      </c>
      <c r="B252" s="18" t="s">
        <v>161</v>
      </c>
      <c r="C252" s="18" t="s">
        <v>149</v>
      </c>
      <c r="D252" s="18" t="s">
        <v>53</v>
      </c>
      <c r="E252" s="18" t="s">
        <v>69</v>
      </c>
      <c r="F252" s="18" t="s">
        <v>70</v>
      </c>
      <c r="G252" s="20">
        <v>0</v>
      </c>
      <c r="H252" s="20">
        <v>500.0000</v>
      </c>
      <c r="I252" s="20">
        <f ca="1">((I251 + G252) - H252)</f>
        <v>0</v>
      </c>
      <c r="J252" s="20">
        <v>0</v>
      </c>
      <c r="K252" s="21">
        <v>0</v>
      </c>
      <c r="L252" s="18" t="s">
        <v>59</v>
      </c>
    </row>
    <row r="253" ht="10.95" customHeight="true" customFormat="true" s="9">
      <c r="A253" s="22" t="s">
        <v>164</v>
      </c>
      <c r="B253" s="22"/>
      <c r="C253" s="22"/>
      <c r="D253" s="22"/>
      <c r="E253" s="22"/>
      <c r="F253" s="22"/>
      <c r="G253" s="23">
        <f ca="1">SUM(G251:G252)</f>
        <v>0</v>
      </c>
      <c r="H253" s="23">
        <f ca="1">SUM(H251:H252)</f>
        <v>0</v>
      </c>
      <c r="I253" s="23">
        <f ca="1">I252</f>
        <v>0</v>
      </c>
      <c r="J253" s="23">
        <f ca="1">SUM(J251:J252)</f>
        <v>0</v>
      </c>
      <c r="K253" s="22"/>
      <c r="L253" s="22"/>
    </row>
    <row r="254" ht="10.95" customHeight="true" customFormat="true" s="9">
      <c r="A254" s="22" t="s">
        <v>32</v>
      </c>
      <c r="B254" s="22"/>
      <c r="C254" s="22"/>
      <c r="D254" s="22"/>
      <c r="E254" s="22"/>
      <c r="F254" s="22"/>
      <c r="G254" s="23">
        <v>2000.0000</v>
      </c>
      <c r="H254" s="23">
        <v>0</v>
      </c>
      <c r="I254" s="23">
        <v>0</v>
      </c>
      <c r="J254" s="23">
        <v>0</v>
      </c>
      <c r="K254" s="22"/>
      <c r="L254" s="22"/>
    </row>
    <row r="255" ht="10.95" customHeight="true" customFormat="true" s="9">
      <c r="A255" s="10" t="s">
        <v>33</v>
      </c>
      <c r="B255" s="10"/>
      <c r="C255" s="10"/>
      <c r="D255" s="10"/>
      <c r="E255" s="10"/>
      <c r="F255" s="10"/>
      <c r="G255" s="11">
        <v>2000.0000</v>
      </c>
      <c r="H255" s="11">
        <v>0</v>
      </c>
      <c r="I255" s="11">
        <f ca="1">I252</f>
        <v>0</v>
      </c>
      <c r="J255" s="11">
        <v>0</v>
      </c>
      <c r="K255" s="10"/>
      <c r="L255" s="10"/>
    </row>
    <row r="256" ht="13.35" customHeight="true"/>
    <row r="257" ht="12.1" customHeight="true" customFormat="true" s="5">
      <c r="A257" s="8" t="s">
        <v>165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ht="10.95" customHeight="true" customFormat="true" s="9">
      <c r="A258" s="10" t="s">
        <v>16</v>
      </c>
      <c r="B258" s="10"/>
      <c r="C258" s="10"/>
      <c r="D258" s="10"/>
      <c r="E258" s="10"/>
      <c r="F258" s="10"/>
      <c r="G258" s="11">
        <v>0</v>
      </c>
      <c r="H258" s="11">
        <v>0</v>
      </c>
      <c r="I258" s="11">
        <f ca="1">(G258 - H258)</f>
        <v>0</v>
      </c>
      <c r="J258" s="11">
        <v>0</v>
      </c>
      <c r="K258" s="10"/>
      <c r="L258" s="10"/>
    </row>
    <row r="259" ht="10.95" customHeight="true" customFormat="true" s="9">
      <c r="A259" s="12">
        <v>45043</v>
      </c>
      <c r="B259" s="13" t="s">
        <v>166</v>
      </c>
      <c r="C259" s="13" t="s">
        <v>167</v>
      </c>
      <c r="D259" s="13" t="s">
        <v>88</v>
      </c>
      <c r="E259" s="13" t="s">
        <v>168</v>
      </c>
      <c r="F259" s="13" t="s">
        <v>90</v>
      </c>
      <c r="G259" s="15">
        <v>0</v>
      </c>
      <c r="H259" s="15">
        <v>2141.0000</v>
      </c>
      <c r="I259" s="15">
        <f ca="1">((I258 + G259) - H259)</f>
        <v>0</v>
      </c>
      <c r="J259" s="15">
        <v>0</v>
      </c>
      <c r="K259" s="16">
        <v>0</v>
      </c>
      <c r="L259" s="13" t="s">
        <v>59</v>
      </c>
    </row>
    <row r="260" ht="10.95" customHeight="true" customFormat="true" s="9">
      <c r="A260" s="17">
        <v>45049</v>
      </c>
      <c r="B260" s="18" t="s">
        <v>166</v>
      </c>
      <c r="C260" s="18" t="s">
        <v>167</v>
      </c>
      <c r="D260" s="18" t="s">
        <v>43</v>
      </c>
      <c r="E260" s="18" t="s">
        <v>125</v>
      </c>
      <c r="F260" s="18"/>
      <c r="G260" s="20">
        <v>2141.0000</v>
      </c>
      <c r="H260" s="20">
        <v>0</v>
      </c>
      <c r="I260" s="20">
        <f ca="1">((I259 + G260) - H260)</f>
        <v>0</v>
      </c>
      <c r="J260" s="20">
        <v>0</v>
      </c>
      <c r="K260" s="21">
        <v>0</v>
      </c>
      <c r="L260" s="18" t="s">
        <v>59</v>
      </c>
    </row>
    <row r="261" ht="10.95" customHeight="true" customFormat="true" s="9">
      <c r="A261" s="17">
        <v>45050</v>
      </c>
      <c r="B261" s="18" t="s">
        <v>166</v>
      </c>
      <c r="C261" s="18" t="s">
        <v>167</v>
      </c>
      <c r="D261" s="18" t="s">
        <v>88</v>
      </c>
      <c r="E261" s="18" t="s">
        <v>168</v>
      </c>
      <c r="F261" s="18" t="s">
        <v>91</v>
      </c>
      <c r="G261" s="20">
        <v>0</v>
      </c>
      <c r="H261" s="20">
        <v>2683.0000</v>
      </c>
      <c r="I261" s="20">
        <f ca="1">((I260 + G261) - H261)</f>
        <v>0</v>
      </c>
      <c r="J261" s="20">
        <v>0</v>
      </c>
      <c r="K261" s="21">
        <v>0</v>
      </c>
      <c r="L261" s="18" t="s">
        <v>59</v>
      </c>
    </row>
    <row r="262" ht="10.95" customHeight="true" customFormat="true" s="9">
      <c r="A262" s="17">
        <v>45057</v>
      </c>
      <c r="B262" s="18" t="s">
        <v>166</v>
      </c>
      <c r="C262" s="18" t="s">
        <v>167</v>
      </c>
      <c r="D262" s="18" t="s">
        <v>88</v>
      </c>
      <c r="E262" s="18" t="s">
        <v>168</v>
      </c>
      <c r="F262" s="18" t="s">
        <v>92</v>
      </c>
      <c r="G262" s="20">
        <v>0</v>
      </c>
      <c r="H262" s="20">
        <v>2683.0000</v>
      </c>
      <c r="I262" s="20">
        <f ca="1">((I261 + G262) - H262)</f>
        <v>0</v>
      </c>
      <c r="J262" s="20">
        <v>0</v>
      </c>
      <c r="K262" s="21">
        <v>0</v>
      </c>
      <c r="L262" s="18" t="s">
        <v>59</v>
      </c>
    </row>
    <row r="263" ht="10.95" customHeight="true" customFormat="true" s="9">
      <c r="A263" s="17">
        <v>45062</v>
      </c>
      <c r="B263" s="18" t="s">
        <v>166</v>
      </c>
      <c r="C263" s="18" t="s">
        <v>167</v>
      </c>
      <c r="D263" s="18" t="s">
        <v>43</v>
      </c>
      <c r="E263" s="18" t="s">
        <v>125</v>
      </c>
      <c r="F263" s="18"/>
      <c r="G263" s="20">
        <v>2683.0000</v>
      </c>
      <c r="H263" s="20">
        <v>0</v>
      </c>
      <c r="I263" s="20">
        <f ca="1">((I262 + G263) - H263)</f>
        <v>0</v>
      </c>
      <c r="J263" s="20">
        <v>0</v>
      </c>
      <c r="K263" s="21">
        <v>0</v>
      </c>
      <c r="L263" s="18" t="s">
        <v>59</v>
      </c>
    </row>
    <row r="264" ht="10.95" customHeight="true" customFormat="true" s="9">
      <c r="A264" s="17">
        <v>45064</v>
      </c>
      <c r="B264" s="18" t="s">
        <v>166</v>
      </c>
      <c r="C264" s="18" t="s">
        <v>167</v>
      </c>
      <c r="D264" s="18" t="s">
        <v>88</v>
      </c>
      <c r="E264" s="18" t="s">
        <v>168</v>
      </c>
      <c r="F264" s="18" t="s">
        <v>93</v>
      </c>
      <c r="G264" s="20">
        <v>0</v>
      </c>
      <c r="H264" s="20">
        <v>1693.6900</v>
      </c>
      <c r="I264" s="20">
        <f ca="1">((I263 + G264) - H264)</f>
        <v>0</v>
      </c>
      <c r="J264" s="20">
        <v>0</v>
      </c>
      <c r="K264" s="21">
        <v>0</v>
      </c>
      <c r="L264" s="18" t="s">
        <v>59</v>
      </c>
    </row>
    <row r="265" ht="10.95" customHeight="true" customFormat="true" s="9">
      <c r="A265" s="17">
        <v>45068</v>
      </c>
      <c r="B265" s="18" t="s">
        <v>166</v>
      </c>
      <c r="C265" s="18" t="s">
        <v>167</v>
      </c>
      <c r="D265" s="18" t="s">
        <v>43</v>
      </c>
      <c r="E265" s="18" t="s">
        <v>125</v>
      </c>
      <c r="F265" s="18"/>
      <c r="G265" s="20">
        <v>2683.0000</v>
      </c>
      <c r="H265" s="20">
        <v>0</v>
      </c>
      <c r="I265" s="20">
        <f ca="1">((I264 + G265) - H265)</f>
        <v>0</v>
      </c>
      <c r="J265" s="20">
        <v>0</v>
      </c>
      <c r="K265" s="21">
        <v>0</v>
      </c>
      <c r="L265" s="18" t="s">
        <v>59</v>
      </c>
    </row>
    <row r="266" ht="10.95" customHeight="true" customFormat="true" s="9">
      <c r="A266" s="17">
        <v>45071</v>
      </c>
      <c r="B266" s="18" t="s">
        <v>166</v>
      </c>
      <c r="C266" s="18" t="s">
        <v>167</v>
      </c>
      <c r="D266" s="18" t="s">
        <v>88</v>
      </c>
      <c r="E266" s="18" t="s">
        <v>168</v>
      </c>
      <c r="F266" s="18" t="s">
        <v>94</v>
      </c>
      <c r="G266" s="20">
        <v>0</v>
      </c>
      <c r="H266" s="20">
        <v>1505.2300</v>
      </c>
      <c r="I266" s="20">
        <f ca="1">((I265 + G266) - H266)</f>
        <v>0</v>
      </c>
      <c r="J266" s="20">
        <v>0</v>
      </c>
      <c r="K266" s="21">
        <v>0</v>
      </c>
      <c r="L266" s="18" t="s">
        <v>59</v>
      </c>
    </row>
    <row r="267" ht="10.95" customHeight="true" customFormat="true" s="9">
      <c r="A267" s="17">
        <v>45075</v>
      </c>
      <c r="B267" s="18" t="s">
        <v>166</v>
      </c>
      <c r="C267" s="18" t="s">
        <v>167</v>
      </c>
      <c r="D267" s="18" t="s">
        <v>43</v>
      </c>
      <c r="E267" s="18" t="s">
        <v>125</v>
      </c>
      <c r="F267" s="18"/>
      <c r="G267" s="20">
        <v>1693.6900</v>
      </c>
      <c r="H267" s="20">
        <v>0</v>
      </c>
      <c r="I267" s="20">
        <f ca="1">((I266 + G267) - H267)</f>
        <v>0</v>
      </c>
      <c r="J267" s="20">
        <v>0</v>
      </c>
      <c r="K267" s="21">
        <v>0</v>
      </c>
      <c r="L267" s="18" t="s">
        <v>59</v>
      </c>
    </row>
    <row r="268" ht="10.95" customHeight="true" customFormat="true" s="9">
      <c r="A268" s="17">
        <v>45078</v>
      </c>
      <c r="B268" s="18" t="s">
        <v>166</v>
      </c>
      <c r="C268" s="18" t="s">
        <v>167</v>
      </c>
      <c r="D268" s="18" t="s">
        <v>88</v>
      </c>
      <c r="E268" s="18" t="s">
        <v>168</v>
      </c>
      <c r="F268" s="18" t="s">
        <v>95</v>
      </c>
      <c r="G268" s="20">
        <v>0</v>
      </c>
      <c r="H268" s="20">
        <v>1693.6900</v>
      </c>
      <c r="I268" s="20">
        <f ca="1">((I267 + G268) - H268)</f>
        <v>0</v>
      </c>
      <c r="J268" s="20">
        <v>0</v>
      </c>
      <c r="K268" s="21">
        <v>0</v>
      </c>
      <c r="L268" s="18" t="s">
        <v>59</v>
      </c>
    </row>
    <row r="269" ht="10.95" customHeight="true" customFormat="true" s="9">
      <c r="A269" s="17">
        <v>45082</v>
      </c>
      <c r="B269" s="18" t="s">
        <v>166</v>
      </c>
      <c r="C269" s="18" t="s">
        <v>167</v>
      </c>
      <c r="D269" s="18" t="s">
        <v>43</v>
      </c>
      <c r="E269" s="18" t="s">
        <v>169</v>
      </c>
      <c r="F269" s="18"/>
      <c r="G269" s="20">
        <v>1505.2300</v>
      </c>
      <c r="H269" s="20">
        <v>0</v>
      </c>
      <c r="I269" s="20">
        <f ca="1">((I268 + G269) - H269)</f>
        <v>0</v>
      </c>
      <c r="J269" s="20">
        <v>0</v>
      </c>
      <c r="K269" s="21">
        <v>0</v>
      </c>
      <c r="L269" s="18" t="s">
        <v>59</v>
      </c>
    </row>
    <row r="270" ht="10.95" customHeight="true" customFormat="true" s="9">
      <c r="A270" s="17">
        <v>45085</v>
      </c>
      <c r="B270" s="18" t="s">
        <v>166</v>
      </c>
      <c r="C270" s="18" t="s">
        <v>167</v>
      </c>
      <c r="D270" s="18" t="s">
        <v>88</v>
      </c>
      <c r="E270" s="18" t="s">
        <v>168</v>
      </c>
      <c r="F270" s="18" t="s">
        <v>96</v>
      </c>
      <c r="G270" s="20">
        <v>0</v>
      </c>
      <c r="H270" s="20">
        <v>1848.0000</v>
      </c>
      <c r="I270" s="20">
        <f ca="1">((I269 + G270) - H270)</f>
        <v>0</v>
      </c>
      <c r="J270" s="20">
        <v>0</v>
      </c>
      <c r="K270" s="21">
        <v>0</v>
      </c>
      <c r="L270" s="18" t="s">
        <v>59</v>
      </c>
    </row>
    <row r="271" ht="10.95" customHeight="true" customFormat="true" s="9">
      <c r="A271" s="17">
        <v>45091</v>
      </c>
      <c r="B271" s="18" t="s">
        <v>166</v>
      </c>
      <c r="C271" s="18" t="s">
        <v>167</v>
      </c>
      <c r="D271" s="18" t="s">
        <v>43</v>
      </c>
      <c r="E271" s="18" t="s">
        <v>138</v>
      </c>
      <c r="F271" s="18"/>
      <c r="G271" s="20">
        <v>1693.0000</v>
      </c>
      <c r="H271" s="20">
        <v>0</v>
      </c>
      <c r="I271" s="20">
        <f ca="1">((I270 + G271) - H271)</f>
        <v>0</v>
      </c>
      <c r="J271" s="20">
        <v>0</v>
      </c>
      <c r="K271" s="21">
        <v>0</v>
      </c>
      <c r="L271" s="18" t="s">
        <v>59</v>
      </c>
    </row>
    <row r="272" ht="10.95" customHeight="true" customFormat="true" s="9">
      <c r="A272" s="17">
        <v>45092</v>
      </c>
      <c r="B272" s="18" t="s">
        <v>166</v>
      </c>
      <c r="C272" s="18" t="s">
        <v>167</v>
      </c>
      <c r="D272" s="18" t="s">
        <v>88</v>
      </c>
      <c r="E272" s="18" t="s">
        <v>168</v>
      </c>
      <c r="F272" s="18" t="s">
        <v>97</v>
      </c>
      <c r="G272" s="20">
        <v>0</v>
      </c>
      <c r="H272" s="20">
        <v>1693.6900</v>
      </c>
      <c r="I272" s="20">
        <f ca="1">((I271 + G272) - H272)</f>
        <v>0</v>
      </c>
      <c r="J272" s="20">
        <v>0</v>
      </c>
      <c r="K272" s="21">
        <v>0</v>
      </c>
      <c r="L272" s="18" t="s">
        <v>59</v>
      </c>
    </row>
    <row r="273" ht="10.95" customHeight="true" customFormat="true" s="9">
      <c r="A273" s="17">
        <v>45097</v>
      </c>
      <c r="B273" s="18" t="s">
        <v>166</v>
      </c>
      <c r="C273" s="18" t="s">
        <v>167</v>
      </c>
      <c r="D273" s="18" t="s">
        <v>43</v>
      </c>
      <c r="E273" s="18" t="s">
        <v>138</v>
      </c>
      <c r="F273" s="18"/>
      <c r="G273" s="20">
        <v>1848.0000</v>
      </c>
      <c r="H273" s="20">
        <v>0</v>
      </c>
      <c r="I273" s="20">
        <f ca="1">((I272 + G273) - H273)</f>
        <v>0</v>
      </c>
      <c r="J273" s="20">
        <v>0</v>
      </c>
      <c r="K273" s="21">
        <v>0</v>
      </c>
      <c r="L273" s="18" t="s">
        <v>59</v>
      </c>
    </row>
    <row r="274" ht="10.95" customHeight="true" customFormat="true" s="9">
      <c r="A274" s="17">
        <v>45099</v>
      </c>
      <c r="B274" s="18" t="s">
        <v>166</v>
      </c>
      <c r="C274" s="18" t="s">
        <v>167</v>
      </c>
      <c r="D274" s="18" t="s">
        <v>88</v>
      </c>
      <c r="E274" s="18" t="s">
        <v>168</v>
      </c>
      <c r="F274" s="18" t="s">
        <v>98</v>
      </c>
      <c r="G274" s="20">
        <v>0</v>
      </c>
      <c r="H274" s="20">
        <v>1693.6900</v>
      </c>
      <c r="I274" s="20">
        <f ca="1">((I273 + G274) - H274)</f>
        <v>0</v>
      </c>
      <c r="J274" s="20">
        <v>0</v>
      </c>
      <c r="K274" s="21">
        <v>0</v>
      </c>
      <c r="L274" s="18" t="s">
        <v>59</v>
      </c>
    </row>
    <row r="275" ht="10.95" customHeight="true" customFormat="true" s="9">
      <c r="A275" s="17">
        <v>45103</v>
      </c>
      <c r="B275" s="18" t="s">
        <v>166</v>
      </c>
      <c r="C275" s="18" t="s">
        <v>167</v>
      </c>
      <c r="D275" s="18" t="s">
        <v>43</v>
      </c>
      <c r="E275" s="18" t="s">
        <v>170</v>
      </c>
      <c r="F275" s="18"/>
      <c r="G275" s="20">
        <v>1693.0000</v>
      </c>
      <c r="H275" s="20">
        <v>0</v>
      </c>
      <c r="I275" s="20">
        <f ca="1">((I274 + G275) - H275)</f>
        <v>0</v>
      </c>
      <c r="J275" s="20">
        <v>0</v>
      </c>
      <c r="K275" s="21">
        <v>0</v>
      </c>
      <c r="L275" s="18" t="s">
        <v>59</v>
      </c>
    </row>
    <row r="276" ht="10.95" customHeight="true" customFormat="true" s="9">
      <c r="A276" s="17">
        <v>45106</v>
      </c>
      <c r="B276" s="18" t="s">
        <v>166</v>
      </c>
      <c r="C276" s="18" t="s">
        <v>167</v>
      </c>
      <c r="D276" s="18" t="s">
        <v>88</v>
      </c>
      <c r="E276" s="18" t="s">
        <v>168</v>
      </c>
      <c r="F276" s="18" t="s">
        <v>99</v>
      </c>
      <c r="G276" s="20">
        <v>0</v>
      </c>
      <c r="H276" s="20">
        <v>467.0000</v>
      </c>
      <c r="I276" s="20">
        <f ca="1">((I275 + G276) - H276)</f>
        <v>0</v>
      </c>
      <c r="J276" s="20">
        <v>0</v>
      </c>
      <c r="K276" s="21">
        <v>0</v>
      </c>
      <c r="L276" s="18" t="s">
        <v>59</v>
      </c>
    </row>
    <row r="277" ht="10.95" customHeight="true" customFormat="true" s="9">
      <c r="A277" s="17">
        <v>45106</v>
      </c>
      <c r="B277" s="18" t="s">
        <v>166</v>
      </c>
      <c r="C277" s="18" t="s">
        <v>167</v>
      </c>
      <c r="D277" s="18" t="s">
        <v>88</v>
      </c>
      <c r="E277" s="18" t="s">
        <v>168</v>
      </c>
      <c r="F277" s="18" t="s">
        <v>100</v>
      </c>
      <c r="G277" s="20">
        <v>467.0000</v>
      </c>
      <c r="H277" s="20">
        <v>0</v>
      </c>
      <c r="I277" s="20">
        <f ca="1">((I276 + G277) - H277)</f>
        <v>0</v>
      </c>
      <c r="J277" s="20">
        <v>0</v>
      </c>
      <c r="K277" s="21">
        <v>0</v>
      </c>
      <c r="L277" s="18" t="s">
        <v>59</v>
      </c>
    </row>
    <row r="278" ht="10.95" customHeight="true" customFormat="true" s="9">
      <c r="A278" s="17">
        <v>45107</v>
      </c>
      <c r="B278" s="18" t="s">
        <v>166</v>
      </c>
      <c r="C278" s="18" t="s">
        <v>167</v>
      </c>
      <c r="D278" s="18" t="s">
        <v>53</v>
      </c>
      <c r="E278" s="18" t="s">
        <v>57</v>
      </c>
      <c r="F278" s="18" t="s">
        <v>58</v>
      </c>
      <c r="G278" s="20">
        <v>1.3800</v>
      </c>
      <c r="H278" s="20">
        <v>0</v>
      </c>
      <c r="I278" s="20">
        <f ca="1">((I277 + G278) - H278)</f>
        <v>0</v>
      </c>
      <c r="J278" s="20">
        <v>0</v>
      </c>
      <c r="K278" s="21">
        <v>0</v>
      </c>
      <c r="L278" s="18" t="s">
        <v>59</v>
      </c>
    </row>
    <row r="279" ht="10.95" customHeight="true" customFormat="true" s="9">
      <c r="A279" s="22" t="s">
        <v>171</v>
      </c>
      <c r="B279" s="22"/>
      <c r="C279" s="22"/>
      <c r="D279" s="22"/>
      <c r="E279" s="22"/>
      <c r="F279" s="22"/>
      <c r="G279" s="23">
        <f ca="1">SUM(G259:G278)</f>
        <v>0</v>
      </c>
      <c r="H279" s="23">
        <f ca="1">SUM(H259:H278)</f>
        <v>0</v>
      </c>
      <c r="I279" s="23">
        <f ca="1">I278</f>
        <v>0</v>
      </c>
      <c r="J279" s="23">
        <f ca="1">SUM(J259:J278)</f>
        <v>0</v>
      </c>
      <c r="K279" s="22"/>
      <c r="L279" s="22"/>
    </row>
    <row r="280" ht="10.95" customHeight="true" customFormat="true" s="9">
      <c r="A280" s="22" t="s">
        <v>32</v>
      </c>
      <c r="B280" s="22"/>
      <c r="C280" s="22"/>
      <c r="D280" s="22"/>
      <c r="E280" s="22"/>
      <c r="F280" s="22"/>
      <c r="G280" s="23">
        <v>0</v>
      </c>
      <c r="H280" s="23">
        <v>1693.6900</v>
      </c>
      <c r="I280" s="23">
        <v>0</v>
      </c>
      <c r="J280" s="23">
        <v>0</v>
      </c>
      <c r="K280" s="22"/>
      <c r="L280" s="22"/>
    </row>
    <row r="281" ht="10.95" customHeight="true" customFormat="true" s="9">
      <c r="A281" s="10" t="s">
        <v>33</v>
      </c>
      <c r="B281" s="10"/>
      <c r="C281" s="10"/>
      <c r="D281" s="10"/>
      <c r="E281" s="10"/>
      <c r="F281" s="10"/>
      <c r="G281" s="11">
        <v>0</v>
      </c>
      <c r="H281" s="11">
        <v>1693.6900</v>
      </c>
      <c r="I281" s="11">
        <f ca="1">I278</f>
        <v>0</v>
      </c>
      <c r="J281" s="11">
        <v>0</v>
      </c>
      <c r="K281" s="10"/>
      <c r="L281" s="10"/>
    </row>
    <row r="282" ht="13.35" customHeight="true"/>
    <row r="283" ht="12.1" customHeight="true" customFormat="true" s="5">
      <c r="A283" s="8" t="s">
        <v>172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 ht="10.95" customHeight="true" customFormat="true" s="9">
      <c r="A284" s="10" t="s">
        <v>16</v>
      </c>
      <c r="B284" s="10"/>
      <c r="C284" s="10"/>
      <c r="D284" s="10"/>
      <c r="E284" s="10"/>
      <c r="F284" s="10"/>
      <c r="G284" s="11">
        <v>0</v>
      </c>
      <c r="H284" s="11">
        <v>0</v>
      </c>
      <c r="I284" s="11">
        <f ca="1">(G284 - H284)</f>
        <v>0</v>
      </c>
      <c r="J284" s="11">
        <v>0</v>
      </c>
      <c r="K284" s="10"/>
      <c r="L284" s="10"/>
    </row>
    <row r="285" ht="10.95" customHeight="true" customFormat="true" s="9">
      <c r="A285" s="12">
        <v>45016</v>
      </c>
      <c r="B285" s="13" t="s">
        <v>173</v>
      </c>
      <c r="C285" s="13" t="s">
        <v>167</v>
      </c>
      <c r="D285" s="13" t="s">
        <v>53</v>
      </c>
      <c r="E285" s="13" t="s">
        <v>174</v>
      </c>
      <c r="F285" s="13" t="s">
        <v>55</v>
      </c>
      <c r="G285" s="15">
        <v>447.9700</v>
      </c>
      <c r="H285" s="15">
        <v>0</v>
      </c>
      <c r="I285" s="15">
        <f ca="1">((I284 + G285) - H285)</f>
        <v>0</v>
      </c>
      <c r="J285" s="15">
        <v>0</v>
      </c>
      <c r="K285" s="16">
        <v>0</v>
      </c>
      <c r="L285" s="13"/>
    </row>
    <row r="286" ht="10.95" customHeight="true" customFormat="true" s="9">
      <c r="A286" s="17">
        <v>45022</v>
      </c>
      <c r="B286" s="18" t="s">
        <v>173</v>
      </c>
      <c r="C286" s="18" t="s">
        <v>167</v>
      </c>
      <c r="D286" s="18" t="s">
        <v>19</v>
      </c>
      <c r="E286" s="18" t="s">
        <v>158</v>
      </c>
      <c r="F286" s="18" t="s">
        <v>21</v>
      </c>
      <c r="G286" s="20">
        <v>0</v>
      </c>
      <c r="H286" s="20">
        <v>361.0000</v>
      </c>
      <c r="I286" s="20">
        <f ca="1">((I285 + G286) - H286)</f>
        <v>0</v>
      </c>
      <c r="J286" s="20">
        <v>0</v>
      </c>
      <c r="K286" s="21">
        <v>0</v>
      </c>
      <c r="L286" s="18"/>
    </row>
    <row r="287" ht="10.95" customHeight="true" customFormat="true" s="9">
      <c r="A287" s="17">
        <v>45038</v>
      </c>
      <c r="B287" s="18" t="s">
        <v>173</v>
      </c>
      <c r="C287" s="18" t="s">
        <v>167</v>
      </c>
      <c r="D287" s="18" t="s">
        <v>43</v>
      </c>
      <c r="E287" s="18" t="s">
        <v>127</v>
      </c>
      <c r="F287" s="18"/>
      <c r="G287" s="20">
        <v>59.0900</v>
      </c>
      <c r="H287" s="20">
        <v>0</v>
      </c>
      <c r="I287" s="20">
        <f ca="1">((I286 + G287) - H287)</f>
        <v>0</v>
      </c>
      <c r="J287" s="20">
        <v>0</v>
      </c>
      <c r="K287" s="21">
        <v>0</v>
      </c>
      <c r="L287" s="18"/>
    </row>
    <row r="288" ht="10.95" customHeight="true" customFormat="true" s="9">
      <c r="A288" s="17">
        <v>45046</v>
      </c>
      <c r="B288" s="18" t="s">
        <v>173</v>
      </c>
      <c r="C288" s="18" t="s">
        <v>167</v>
      </c>
      <c r="D288" s="18" t="s">
        <v>19</v>
      </c>
      <c r="E288" s="18" t="s">
        <v>158</v>
      </c>
      <c r="F288" s="18" t="s">
        <v>25</v>
      </c>
      <c r="G288" s="20">
        <v>0</v>
      </c>
      <c r="H288" s="20">
        <v>2341.7500</v>
      </c>
      <c r="I288" s="20">
        <f ca="1">((I287 + G288) - H288)</f>
        <v>0</v>
      </c>
      <c r="J288" s="20">
        <v>0</v>
      </c>
      <c r="K288" s="21">
        <v>0</v>
      </c>
      <c r="L288" s="18"/>
    </row>
    <row r="289" ht="10.95" customHeight="true" customFormat="true" s="9">
      <c r="A289" s="17">
        <v>45049</v>
      </c>
      <c r="B289" s="18" t="s">
        <v>173</v>
      </c>
      <c r="C289" s="18" t="s">
        <v>167</v>
      </c>
      <c r="D289" s="18" t="s">
        <v>43</v>
      </c>
      <c r="E289" s="18" t="s">
        <v>125</v>
      </c>
      <c r="F289" s="18"/>
      <c r="G289" s="20">
        <v>1.6400</v>
      </c>
      <c r="H289" s="20">
        <v>0</v>
      </c>
      <c r="I289" s="20">
        <f ca="1">((I288 + G289) - H289)</f>
        <v>0</v>
      </c>
      <c r="J289" s="20">
        <v>0</v>
      </c>
      <c r="K289" s="21">
        <v>0</v>
      </c>
      <c r="L289" s="18"/>
    </row>
    <row r="290" ht="10.95" customHeight="true" customFormat="true" s="9">
      <c r="A290" s="17">
        <v>45049</v>
      </c>
      <c r="B290" s="18" t="s">
        <v>173</v>
      </c>
      <c r="C290" s="18" t="s">
        <v>167</v>
      </c>
      <c r="D290" s="18" t="s">
        <v>43</v>
      </c>
      <c r="E290" s="18" t="s">
        <v>125</v>
      </c>
      <c r="F290" s="18"/>
      <c r="G290" s="20">
        <v>14.6400</v>
      </c>
      <c r="H290" s="20">
        <v>0</v>
      </c>
      <c r="I290" s="20">
        <f ca="1">((I289 + G290) - H290)</f>
        <v>0</v>
      </c>
      <c r="J290" s="20">
        <v>0</v>
      </c>
      <c r="K290" s="21">
        <v>0</v>
      </c>
      <c r="L290" s="18"/>
    </row>
    <row r="291" ht="10.95" customHeight="true" customFormat="true" s="9">
      <c r="A291" s="17">
        <v>45070</v>
      </c>
      <c r="B291" s="18" t="s">
        <v>173</v>
      </c>
      <c r="C291" s="18" t="s">
        <v>167</v>
      </c>
      <c r="D291" s="18" t="s">
        <v>43</v>
      </c>
      <c r="E291" s="18" t="s">
        <v>134</v>
      </c>
      <c r="F291" s="18"/>
      <c r="G291" s="20">
        <v>29.5500</v>
      </c>
      <c r="H291" s="20">
        <v>0</v>
      </c>
      <c r="I291" s="20">
        <f ca="1">((I290 + G291) - H291)</f>
        <v>0</v>
      </c>
      <c r="J291" s="20">
        <v>0</v>
      </c>
      <c r="K291" s="21">
        <v>0</v>
      </c>
      <c r="L291" s="18"/>
    </row>
    <row r="292" ht="10.95" customHeight="true" customFormat="true" s="9">
      <c r="A292" s="17">
        <v>45070</v>
      </c>
      <c r="B292" s="18" t="s">
        <v>173</v>
      </c>
      <c r="C292" s="18" t="s">
        <v>167</v>
      </c>
      <c r="D292" s="18" t="s">
        <v>43</v>
      </c>
      <c r="E292" s="18" t="s">
        <v>135</v>
      </c>
      <c r="F292" s="18"/>
      <c r="G292" s="20">
        <v>70.0000</v>
      </c>
      <c r="H292" s="20">
        <v>0</v>
      </c>
      <c r="I292" s="20">
        <f ca="1">((I291 + G292) - H292)</f>
        <v>0</v>
      </c>
      <c r="J292" s="20">
        <v>0</v>
      </c>
      <c r="K292" s="21">
        <v>0</v>
      </c>
      <c r="L292" s="18"/>
    </row>
    <row r="293" ht="10.95" customHeight="true" customFormat="true" s="9">
      <c r="A293" s="17">
        <v>45076</v>
      </c>
      <c r="B293" s="18" t="s">
        <v>173</v>
      </c>
      <c r="C293" s="18" t="s">
        <v>167</v>
      </c>
      <c r="D293" s="18" t="s">
        <v>43</v>
      </c>
      <c r="E293" s="18" t="s">
        <v>134</v>
      </c>
      <c r="F293" s="18"/>
      <c r="G293" s="20">
        <v>29.5500</v>
      </c>
      <c r="H293" s="20">
        <v>0</v>
      </c>
      <c r="I293" s="20">
        <f ca="1">((I292 + G293) - H293)</f>
        <v>0</v>
      </c>
      <c r="J293" s="20">
        <v>0</v>
      </c>
      <c r="K293" s="21">
        <v>0</v>
      </c>
      <c r="L293" s="18"/>
    </row>
    <row r="294" ht="10.95" customHeight="true" customFormat="true" s="9">
      <c r="A294" s="17">
        <v>45077</v>
      </c>
      <c r="B294" s="18" t="s">
        <v>173</v>
      </c>
      <c r="C294" s="18" t="s">
        <v>167</v>
      </c>
      <c r="D294" s="18" t="s">
        <v>19</v>
      </c>
      <c r="E294" s="18" t="s">
        <v>158</v>
      </c>
      <c r="F294" s="18" t="s">
        <v>29</v>
      </c>
      <c r="G294" s="20">
        <v>0</v>
      </c>
      <c r="H294" s="20">
        <v>2242.0000</v>
      </c>
      <c r="I294" s="20">
        <f ca="1">((I293 + G294) - H294)</f>
        <v>0</v>
      </c>
      <c r="J294" s="20">
        <v>0</v>
      </c>
      <c r="K294" s="21">
        <v>0</v>
      </c>
      <c r="L294" s="18"/>
    </row>
    <row r="295" ht="10.95" customHeight="true" customFormat="true" s="9">
      <c r="A295" s="17">
        <v>45079</v>
      </c>
      <c r="B295" s="18" t="s">
        <v>173</v>
      </c>
      <c r="C295" s="18" t="s">
        <v>167</v>
      </c>
      <c r="D295" s="18" t="s">
        <v>43</v>
      </c>
      <c r="E295" s="18" t="s">
        <v>136</v>
      </c>
      <c r="F295" s="18"/>
      <c r="G295" s="20">
        <v>1.0300</v>
      </c>
      <c r="H295" s="20">
        <v>0</v>
      </c>
      <c r="I295" s="20">
        <f ca="1">((I294 + G295) - H295)</f>
        <v>0</v>
      </c>
      <c r="J295" s="20">
        <v>0</v>
      </c>
      <c r="K295" s="21">
        <v>0</v>
      </c>
      <c r="L295" s="18"/>
    </row>
    <row r="296" ht="10.95" customHeight="true" customFormat="true" s="9">
      <c r="A296" s="17">
        <v>45082</v>
      </c>
      <c r="B296" s="18" t="s">
        <v>173</v>
      </c>
      <c r="C296" s="18" t="s">
        <v>167</v>
      </c>
      <c r="D296" s="18" t="s">
        <v>43</v>
      </c>
      <c r="E296" s="18" t="s">
        <v>137</v>
      </c>
      <c r="F296" s="18"/>
      <c r="G296" s="20">
        <v>14.8200</v>
      </c>
      <c r="H296" s="20">
        <v>0</v>
      </c>
      <c r="I296" s="20">
        <f ca="1">((I295 + G296) - H296)</f>
        <v>0</v>
      </c>
      <c r="J296" s="20">
        <v>0</v>
      </c>
      <c r="K296" s="21">
        <v>0</v>
      </c>
      <c r="L296" s="18"/>
    </row>
    <row r="297" ht="10.95" customHeight="true" customFormat="true" s="9">
      <c r="A297" s="17">
        <v>45082</v>
      </c>
      <c r="B297" s="18" t="s">
        <v>173</v>
      </c>
      <c r="C297" s="18" t="s">
        <v>167</v>
      </c>
      <c r="D297" s="18" t="s">
        <v>43</v>
      </c>
      <c r="E297" s="18" t="s">
        <v>140</v>
      </c>
      <c r="F297" s="18"/>
      <c r="G297" s="20">
        <v>9.3300</v>
      </c>
      <c r="H297" s="20">
        <v>0</v>
      </c>
      <c r="I297" s="20">
        <f ca="1">((I296 + G297) - H297)</f>
        <v>0</v>
      </c>
      <c r="J297" s="20">
        <v>0</v>
      </c>
      <c r="K297" s="21">
        <v>0</v>
      </c>
      <c r="L297" s="18"/>
    </row>
    <row r="298" ht="10.95" customHeight="true" customFormat="true" s="9">
      <c r="A298" s="17">
        <v>45104</v>
      </c>
      <c r="B298" s="18" t="s">
        <v>173</v>
      </c>
      <c r="C298" s="18" t="s">
        <v>167</v>
      </c>
      <c r="D298" s="18" t="s">
        <v>43</v>
      </c>
      <c r="E298" s="18" t="s">
        <v>137</v>
      </c>
      <c r="F298" s="18"/>
      <c r="G298" s="20">
        <v>14.8200</v>
      </c>
      <c r="H298" s="20">
        <v>0</v>
      </c>
      <c r="I298" s="20">
        <f ca="1">((I297 + G298) - H298)</f>
        <v>0</v>
      </c>
      <c r="J298" s="20">
        <v>0</v>
      </c>
      <c r="K298" s="21">
        <v>0</v>
      </c>
      <c r="L298" s="18"/>
    </row>
    <row r="299" ht="10.95" customHeight="true" customFormat="true" s="9">
      <c r="A299" s="17">
        <v>45104</v>
      </c>
      <c r="B299" s="18" t="s">
        <v>173</v>
      </c>
      <c r="C299" s="18" t="s">
        <v>167</v>
      </c>
      <c r="D299" s="18" t="s">
        <v>43</v>
      </c>
      <c r="E299" s="18" t="s">
        <v>135</v>
      </c>
      <c r="F299" s="18"/>
      <c r="G299" s="20">
        <v>21.5500</v>
      </c>
      <c r="H299" s="20">
        <v>0</v>
      </c>
      <c r="I299" s="20">
        <f ca="1">((I298 + G299) - H299)</f>
        <v>0</v>
      </c>
      <c r="J299" s="20">
        <v>0</v>
      </c>
      <c r="K299" s="21">
        <v>0</v>
      </c>
      <c r="L299" s="18"/>
    </row>
    <row r="300" ht="10.95" customHeight="true" customFormat="true" s="9">
      <c r="A300" s="17">
        <v>45107</v>
      </c>
      <c r="B300" s="18" t="s">
        <v>173</v>
      </c>
      <c r="C300" s="18" t="s">
        <v>167</v>
      </c>
      <c r="D300" s="18" t="s">
        <v>53</v>
      </c>
      <c r="E300" s="18" t="s">
        <v>175</v>
      </c>
      <c r="F300" s="18" t="s">
        <v>58</v>
      </c>
      <c r="G300" s="20">
        <v>4300.4700</v>
      </c>
      <c r="H300" s="20">
        <v>0</v>
      </c>
      <c r="I300" s="20">
        <f ca="1">((I299 + G300) - H300)</f>
        <v>0</v>
      </c>
      <c r="J300" s="20">
        <v>0</v>
      </c>
      <c r="K300" s="21">
        <v>0</v>
      </c>
      <c r="L300" s="18" t="s">
        <v>59</v>
      </c>
    </row>
    <row r="301" ht="42" customHeight="true" customFormat="true" s="9">
      <c r="A301" s="17">
        <v>45107</v>
      </c>
      <c r="B301" s="18" t="s">
        <v>173</v>
      </c>
      <c r="C301" s="18" t="s">
        <v>167</v>
      </c>
      <c r="D301" s="18" t="s">
        <v>53</v>
      </c>
      <c r="E301" s="19" t="s">
        <v>176</v>
      </c>
      <c r="F301" s="18" t="s">
        <v>177</v>
      </c>
      <c r="G301" s="20">
        <v>0</v>
      </c>
      <c r="H301" s="20">
        <v>69.7100</v>
      </c>
      <c r="I301" s="20">
        <f ca="1">((I300 + G301) - H301)</f>
        <v>0</v>
      </c>
      <c r="J301" s="20">
        <v>0</v>
      </c>
      <c r="K301" s="21">
        <v>0</v>
      </c>
      <c r="L301" s="18" t="s">
        <v>59</v>
      </c>
    </row>
    <row r="302" ht="10.95" customHeight="true" customFormat="true" s="9">
      <c r="A302" s="22" t="s">
        <v>178</v>
      </c>
      <c r="B302" s="22"/>
      <c r="C302" s="22"/>
      <c r="D302" s="22"/>
      <c r="E302" s="22"/>
      <c r="F302" s="22"/>
      <c r="G302" s="23">
        <f ca="1">SUM(G285:G301)</f>
        <v>0</v>
      </c>
      <c r="H302" s="23">
        <f ca="1">SUM(H285:H301)</f>
        <v>0</v>
      </c>
      <c r="I302" s="23">
        <f ca="1">I301</f>
        <v>0</v>
      </c>
      <c r="J302" s="23">
        <f ca="1">SUM(J285:J301)</f>
        <v>0</v>
      </c>
      <c r="K302" s="22"/>
      <c r="L302" s="22"/>
    </row>
    <row r="303" ht="10.95" customHeight="true" customFormat="true" s="9">
      <c r="A303" s="22" t="s">
        <v>32</v>
      </c>
      <c r="B303" s="22"/>
      <c r="C303" s="22"/>
      <c r="D303" s="22"/>
      <c r="E303" s="22"/>
      <c r="F303" s="22"/>
      <c r="G303" s="23">
        <v>0</v>
      </c>
      <c r="H303" s="23">
        <v>0</v>
      </c>
      <c r="I303" s="23">
        <v>0</v>
      </c>
      <c r="J303" s="23">
        <v>0</v>
      </c>
      <c r="K303" s="22"/>
      <c r="L303" s="22"/>
    </row>
    <row r="304" ht="10.95" customHeight="true" customFormat="true" s="9">
      <c r="A304" s="10" t="s">
        <v>33</v>
      </c>
      <c r="B304" s="10"/>
      <c r="C304" s="10"/>
      <c r="D304" s="10"/>
      <c r="E304" s="10"/>
      <c r="F304" s="10"/>
      <c r="G304" s="11">
        <v>0</v>
      </c>
      <c r="H304" s="11">
        <v>0</v>
      </c>
      <c r="I304" s="11">
        <f ca="1">I301</f>
        <v>0</v>
      </c>
      <c r="J304" s="11">
        <v>0</v>
      </c>
      <c r="K304" s="10"/>
      <c r="L304" s="10"/>
    </row>
    <row r="305" ht="13.35" customHeight="true"/>
    <row r="306" ht="12.1" customHeight="true" customFormat="true" s="5">
      <c r="A306" s="8" t="s">
        <v>179</v>
      </c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 ht="10.95" customHeight="true" customFormat="true" s="9">
      <c r="A307" s="10" t="s">
        <v>16</v>
      </c>
      <c r="B307" s="10"/>
      <c r="C307" s="10"/>
      <c r="D307" s="10"/>
      <c r="E307" s="10"/>
      <c r="F307" s="10"/>
      <c r="G307" s="11">
        <v>0</v>
      </c>
      <c r="H307" s="11">
        <v>0</v>
      </c>
      <c r="I307" s="11">
        <f ca="1">(G307 - H307)</f>
        <v>0</v>
      </c>
      <c r="J307" s="11">
        <v>0</v>
      </c>
      <c r="K307" s="10"/>
      <c r="L307" s="10"/>
    </row>
    <row r="308" ht="10.95" customHeight="true" customFormat="true" s="9">
      <c r="A308" s="12">
        <v>45043</v>
      </c>
      <c r="B308" s="13" t="s">
        <v>180</v>
      </c>
      <c r="C308" s="13" t="s">
        <v>167</v>
      </c>
      <c r="D308" s="13" t="s">
        <v>88</v>
      </c>
      <c r="E308" s="13" t="s">
        <v>181</v>
      </c>
      <c r="F308" s="13" t="s">
        <v>90</v>
      </c>
      <c r="G308" s="15">
        <v>0</v>
      </c>
      <c r="H308" s="15">
        <v>899.0000</v>
      </c>
      <c r="I308" s="15">
        <f ca="1">((I307 + G308) - H308)</f>
        <v>0</v>
      </c>
      <c r="J308" s="15">
        <v>0</v>
      </c>
      <c r="K308" s="16">
        <v>0</v>
      </c>
      <c r="L308" s="13" t="s">
        <v>59</v>
      </c>
    </row>
    <row r="309" ht="10.95" customHeight="true" customFormat="true" s="9">
      <c r="A309" s="17">
        <v>45050</v>
      </c>
      <c r="B309" s="18" t="s">
        <v>180</v>
      </c>
      <c r="C309" s="18" t="s">
        <v>167</v>
      </c>
      <c r="D309" s="18" t="s">
        <v>88</v>
      </c>
      <c r="E309" s="18" t="s">
        <v>181</v>
      </c>
      <c r="F309" s="18" t="s">
        <v>91</v>
      </c>
      <c r="G309" s="20">
        <v>0</v>
      </c>
      <c r="H309" s="20">
        <v>1317.0000</v>
      </c>
      <c r="I309" s="20">
        <f ca="1">((I308 + G309) - H309)</f>
        <v>0</v>
      </c>
      <c r="J309" s="20">
        <v>0</v>
      </c>
      <c r="K309" s="21">
        <v>0</v>
      </c>
      <c r="L309" s="18" t="s">
        <v>59</v>
      </c>
    </row>
    <row r="310" ht="10.95" customHeight="true" customFormat="true" s="9">
      <c r="A310" s="17">
        <v>45057</v>
      </c>
      <c r="B310" s="18" t="s">
        <v>180</v>
      </c>
      <c r="C310" s="18" t="s">
        <v>167</v>
      </c>
      <c r="D310" s="18" t="s">
        <v>88</v>
      </c>
      <c r="E310" s="18" t="s">
        <v>181</v>
      </c>
      <c r="F310" s="18" t="s">
        <v>92</v>
      </c>
      <c r="G310" s="20">
        <v>0</v>
      </c>
      <c r="H310" s="20">
        <v>1317.0000</v>
      </c>
      <c r="I310" s="20">
        <f ca="1">((I309 + G310) - H310)</f>
        <v>0</v>
      </c>
      <c r="J310" s="20">
        <v>0</v>
      </c>
      <c r="K310" s="21">
        <v>0</v>
      </c>
      <c r="L310" s="18" t="s">
        <v>59</v>
      </c>
    </row>
    <row r="311" ht="10.95" customHeight="true" customFormat="true" s="9">
      <c r="A311" s="17">
        <v>45064</v>
      </c>
      <c r="B311" s="18" t="s">
        <v>180</v>
      </c>
      <c r="C311" s="18" t="s">
        <v>167</v>
      </c>
      <c r="D311" s="18" t="s">
        <v>88</v>
      </c>
      <c r="E311" s="18" t="s">
        <v>181</v>
      </c>
      <c r="F311" s="18" t="s">
        <v>93</v>
      </c>
      <c r="G311" s="20">
        <v>0</v>
      </c>
      <c r="H311" s="20">
        <v>614.0000</v>
      </c>
      <c r="I311" s="20">
        <f ca="1">((I310 + G311) - H311)</f>
        <v>0</v>
      </c>
      <c r="J311" s="20">
        <v>0</v>
      </c>
      <c r="K311" s="21">
        <v>0</v>
      </c>
      <c r="L311" s="18" t="s">
        <v>59</v>
      </c>
    </row>
    <row r="312" ht="10.95" customHeight="true" customFormat="true" s="9">
      <c r="A312" s="17">
        <v>45071</v>
      </c>
      <c r="B312" s="18" t="s">
        <v>180</v>
      </c>
      <c r="C312" s="18" t="s">
        <v>167</v>
      </c>
      <c r="D312" s="18" t="s">
        <v>88</v>
      </c>
      <c r="E312" s="18" t="s">
        <v>181</v>
      </c>
      <c r="F312" s="18" t="s">
        <v>94</v>
      </c>
      <c r="G312" s="20">
        <v>0</v>
      </c>
      <c r="H312" s="20">
        <v>514.0000</v>
      </c>
      <c r="I312" s="20">
        <f ca="1">((I311 + G312) - H312)</f>
        <v>0</v>
      </c>
      <c r="J312" s="20">
        <v>0</v>
      </c>
      <c r="K312" s="21">
        <v>0</v>
      </c>
      <c r="L312" s="18" t="s">
        <v>59</v>
      </c>
    </row>
    <row r="313" ht="10.95" customHeight="true" customFormat="true" s="9">
      <c r="A313" s="17">
        <v>45078</v>
      </c>
      <c r="B313" s="18" t="s">
        <v>180</v>
      </c>
      <c r="C313" s="18" t="s">
        <v>167</v>
      </c>
      <c r="D313" s="18" t="s">
        <v>88</v>
      </c>
      <c r="E313" s="18" t="s">
        <v>181</v>
      </c>
      <c r="F313" s="18" t="s">
        <v>95</v>
      </c>
      <c r="G313" s="20">
        <v>0</v>
      </c>
      <c r="H313" s="20">
        <v>614.0000</v>
      </c>
      <c r="I313" s="20">
        <f ca="1">((I312 + G313) - H313)</f>
        <v>0</v>
      </c>
      <c r="J313" s="20">
        <v>0</v>
      </c>
      <c r="K313" s="21">
        <v>0</v>
      </c>
      <c r="L313" s="18" t="s">
        <v>59</v>
      </c>
    </row>
    <row r="314" ht="10.95" customHeight="true" customFormat="true" s="9">
      <c r="A314" s="17">
        <v>45085</v>
      </c>
      <c r="B314" s="18" t="s">
        <v>180</v>
      </c>
      <c r="C314" s="18" t="s">
        <v>167</v>
      </c>
      <c r="D314" s="18" t="s">
        <v>88</v>
      </c>
      <c r="E314" s="18" t="s">
        <v>181</v>
      </c>
      <c r="F314" s="18" t="s">
        <v>96</v>
      </c>
      <c r="G314" s="20">
        <v>0</v>
      </c>
      <c r="H314" s="20">
        <v>712.0000</v>
      </c>
      <c r="I314" s="20">
        <f ca="1">((I313 + G314) - H314)</f>
        <v>0</v>
      </c>
      <c r="J314" s="20">
        <v>0</v>
      </c>
      <c r="K314" s="21">
        <v>0</v>
      </c>
      <c r="L314" s="18" t="s">
        <v>59</v>
      </c>
    </row>
    <row r="315" ht="10.95" customHeight="true" customFormat="true" s="9">
      <c r="A315" s="17">
        <v>45092</v>
      </c>
      <c r="B315" s="18" t="s">
        <v>180</v>
      </c>
      <c r="C315" s="18" t="s">
        <v>167</v>
      </c>
      <c r="D315" s="18" t="s">
        <v>88</v>
      </c>
      <c r="E315" s="18" t="s">
        <v>181</v>
      </c>
      <c r="F315" s="18" t="s">
        <v>97</v>
      </c>
      <c r="G315" s="20">
        <v>0</v>
      </c>
      <c r="H315" s="20">
        <v>614.0000</v>
      </c>
      <c r="I315" s="20">
        <f ca="1">((I314 + G315) - H315)</f>
        <v>0</v>
      </c>
      <c r="J315" s="20">
        <v>0</v>
      </c>
      <c r="K315" s="21">
        <v>0</v>
      </c>
      <c r="L315" s="18" t="s">
        <v>59</v>
      </c>
    </row>
    <row r="316" ht="10.95" customHeight="true" customFormat="true" s="9">
      <c r="A316" s="17">
        <v>45099</v>
      </c>
      <c r="B316" s="18" t="s">
        <v>180</v>
      </c>
      <c r="C316" s="18" t="s">
        <v>167</v>
      </c>
      <c r="D316" s="18" t="s">
        <v>88</v>
      </c>
      <c r="E316" s="18" t="s">
        <v>181</v>
      </c>
      <c r="F316" s="18" t="s">
        <v>98</v>
      </c>
      <c r="G316" s="20">
        <v>0</v>
      </c>
      <c r="H316" s="20">
        <v>614.0000</v>
      </c>
      <c r="I316" s="20">
        <f ca="1">((I315 + G316) - H316)</f>
        <v>0</v>
      </c>
      <c r="J316" s="20">
        <v>0</v>
      </c>
      <c r="K316" s="21">
        <v>0</v>
      </c>
      <c r="L316" s="18" t="s">
        <v>59</v>
      </c>
    </row>
    <row r="317" ht="10.95" customHeight="true" customFormat="true" s="9">
      <c r="A317" s="17">
        <v>45106</v>
      </c>
      <c r="B317" s="18" t="s">
        <v>180</v>
      </c>
      <c r="C317" s="18" t="s">
        <v>167</v>
      </c>
      <c r="D317" s="18" t="s">
        <v>88</v>
      </c>
      <c r="E317" s="18" t="s">
        <v>181</v>
      </c>
      <c r="F317" s="18" t="s">
        <v>99</v>
      </c>
      <c r="G317" s="20">
        <v>0</v>
      </c>
      <c r="H317" s="20">
        <v>33.0000</v>
      </c>
      <c r="I317" s="20">
        <f ca="1">((I316 + G317) - H317)</f>
        <v>0</v>
      </c>
      <c r="J317" s="20">
        <v>0</v>
      </c>
      <c r="K317" s="21">
        <v>0</v>
      </c>
      <c r="L317" s="18" t="s">
        <v>59</v>
      </c>
    </row>
    <row r="318" ht="10.95" customHeight="true" customFormat="true" s="9">
      <c r="A318" s="17">
        <v>45106</v>
      </c>
      <c r="B318" s="18" t="s">
        <v>180</v>
      </c>
      <c r="C318" s="18" t="s">
        <v>167</v>
      </c>
      <c r="D318" s="18" t="s">
        <v>88</v>
      </c>
      <c r="E318" s="18" t="s">
        <v>181</v>
      </c>
      <c r="F318" s="18" t="s">
        <v>100</v>
      </c>
      <c r="G318" s="20">
        <v>33.0000</v>
      </c>
      <c r="H318" s="20">
        <v>0</v>
      </c>
      <c r="I318" s="20">
        <f ca="1">((I317 + G318) - H318)</f>
        <v>0</v>
      </c>
      <c r="J318" s="20">
        <v>0</v>
      </c>
      <c r="K318" s="21">
        <v>0</v>
      </c>
      <c r="L318" s="18" t="s">
        <v>59</v>
      </c>
    </row>
    <row r="319" ht="10.95" customHeight="true" customFormat="true" s="9">
      <c r="A319" s="17">
        <v>45107</v>
      </c>
      <c r="B319" s="18" t="s">
        <v>180</v>
      </c>
      <c r="C319" s="18" t="s">
        <v>167</v>
      </c>
      <c r="D319" s="18" t="s">
        <v>53</v>
      </c>
      <c r="E319" s="18" t="s">
        <v>175</v>
      </c>
      <c r="F319" s="18" t="s">
        <v>58</v>
      </c>
      <c r="G319" s="20">
        <v>7215.0000</v>
      </c>
      <c r="H319" s="20">
        <v>0</v>
      </c>
      <c r="I319" s="20">
        <f ca="1">((I318 + G319) - H319)</f>
        <v>0</v>
      </c>
      <c r="J319" s="20">
        <v>0</v>
      </c>
      <c r="K319" s="21">
        <v>0</v>
      </c>
      <c r="L319" s="18" t="s">
        <v>59</v>
      </c>
    </row>
    <row r="320" ht="10.95" customHeight="true" customFormat="true" s="9">
      <c r="A320" s="22" t="s">
        <v>182</v>
      </c>
      <c r="B320" s="22"/>
      <c r="C320" s="22"/>
      <c r="D320" s="22"/>
      <c r="E320" s="22"/>
      <c r="F320" s="22"/>
      <c r="G320" s="23">
        <f ca="1">SUM(G308:G319)</f>
        <v>0</v>
      </c>
      <c r="H320" s="23">
        <f ca="1">SUM(H308:H319)</f>
        <v>0</v>
      </c>
      <c r="I320" s="23">
        <f ca="1">I319</f>
        <v>0</v>
      </c>
      <c r="J320" s="23">
        <f ca="1">SUM(J308:J319)</f>
        <v>0</v>
      </c>
      <c r="K320" s="22"/>
      <c r="L320" s="22"/>
    </row>
    <row r="321" ht="10.95" customHeight="true" customFormat="true" s="9">
      <c r="A321" s="22" t="s">
        <v>32</v>
      </c>
      <c r="B321" s="22"/>
      <c r="C321" s="22"/>
      <c r="D321" s="22"/>
      <c r="E321" s="22"/>
      <c r="F321" s="22"/>
      <c r="G321" s="23">
        <v>0</v>
      </c>
      <c r="H321" s="23">
        <v>0</v>
      </c>
      <c r="I321" s="23">
        <v>0</v>
      </c>
      <c r="J321" s="23">
        <v>0</v>
      </c>
      <c r="K321" s="22"/>
      <c r="L321" s="22"/>
    </row>
    <row r="322" ht="10.95" customHeight="true" customFormat="true" s="9">
      <c r="A322" s="10" t="s">
        <v>33</v>
      </c>
      <c r="B322" s="10"/>
      <c r="C322" s="10"/>
      <c r="D322" s="10"/>
      <c r="E322" s="10"/>
      <c r="F322" s="10"/>
      <c r="G322" s="11">
        <v>0</v>
      </c>
      <c r="H322" s="11">
        <v>0</v>
      </c>
      <c r="I322" s="11">
        <f ca="1">I319</f>
        <v>0</v>
      </c>
      <c r="J322" s="11">
        <v>0</v>
      </c>
      <c r="K322" s="10"/>
      <c r="L322" s="10"/>
    </row>
    <row r="323" ht="13.35" customHeight="true"/>
    <row r="324" ht="12.1" customHeight="true" customFormat="true" s="5">
      <c r="A324" s="8" t="s">
        <v>183</v>
      </c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ht="10.95" customHeight="true" customFormat="true" s="9">
      <c r="A325" s="10" t="s">
        <v>16</v>
      </c>
      <c r="B325" s="10"/>
      <c r="C325" s="10"/>
      <c r="D325" s="10"/>
      <c r="E325" s="10"/>
      <c r="F325" s="10"/>
      <c r="G325" s="11">
        <v>0</v>
      </c>
      <c r="H325" s="11">
        <v>0</v>
      </c>
      <c r="I325" s="11">
        <f ca="1">(G325 - H325)</f>
        <v>0</v>
      </c>
      <c r="J325" s="11">
        <v>0</v>
      </c>
      <c r="K325" s="10"/>
      <c r="L325" s="10"/>
    </row>
    <row r="326" ht="10.95" customHeight="true" customFormat="true" s="9">
      <c r="A326" s="12">
        <v>45043</v>
      </c>
      <c r="B326" s="13" t="s">
        <v>184</v>
      </c>
      <c r="C326" s="13" t="s">
        <v>167</v>
      </c>
      <c r="D326" s="13" t="s">
        <v>88</v>
      </c>
      <c r="E326" s="13" t="s">
        <v>185</v>
      </c>
      <c r="F326" s="13" t="s">
        <v>90</v>
      </c>
      <c r="G326" s="15">
        <v>0</v>
      </c>
      <c r="H326" s="15">
        <v>319.2000</v>
      </c>
      <c r="I326" s="15">
        <f ca="1">((I325 + G326) - H326)</f>
        <v>0</v>
      </c>
      <c r="J326" s="15">
        <v>0</v>
      </c>
      <c r="K326" s="16">
        <v>0</v>
      </c>
      <c r="L326" s="13" t="s">
        <v>59</v>
      </c>
    </row>
    <row r="327" ht="10.95" customHeight="true" customFormat="true" s="9">
      <c r="A327" s="17">
        <v>45050</v>
      </c>
      <c r="B327" s="18" t="s">
        <v>184</v>
      </c>
      <c r="C327" s="18" t="s">
        <v>167</v>
      </c>
      <c r="D327" s="18" t="s">
        <v>88</v>
      </c>
      <c r="E327" s="18" t="s">
        <v>185</v>
      </c>
      <c r="F327" s="18" t="s">
        <v>91</v>
      </c>
      <c r="G327" s="20">
        <v>0</v>
      </c>
      <c r="H327" s="20">
        <v>420.0000</v>
      </c>
      <c r="I327" s="20">
        <f ca="1">((I326 + G327) - H327)</f>
        <v>0</v>
      </c>
      <c r="J327" s="20">
        <v>0</v>
      </c>
      <c r="K327" s="21">
        <v>0</v>
      </c>
      <c r="L327" s="18" t="s">
        <v>59</v>
      </c>
    </row>
    <row r="328" ht="10.95" customHeight="true" customFormat="true" s="9">
      <c r="A328" s="17">
        <v>45050</v>
      </c>
      <c r="B328" s="18" t="s">
        <v>184</v>
      </c>
      <c r="C328" s="18" t="s">
        <v>167</v>
      </c>
      <c r="D328" s="18" t="s">
        <v>43</v>
      </c>
      <c r="E328" s="18" t="s">
        <v>132</v>
      </c>
      <c r="F328" s="18"/>
      <c r="G328" s="20">
        <v>319.2000</v>
      </c>
      <c r="H328" s="20">
        <v>0</v>
      </c>
      <c r="I328" s="20">
        <f ca="1">((I327 + G328) - H328)</f>
        <v>0</v>
      </c>
      <c r="J328" s="20">
        <v>0</v>
      </c>
      <c r="K328" s="21">
        <v>0</v>
      </c>
      <c r="L328" s="18" t="s">
        <v>59</v>
      </c>
    </row>
    <row r="329" ht="10.95" customHeight="true" customFormat="true" s="9">
      <c r="A329" s="17">
        <v>45057</v>
      </c>
      <c r="B329" s="18" t="s">
        <v>184</v>
      </c>
      <c r="C329" s="18" t="s">
        <v>167</v>
      </c>
      <c r="D329" s="18" t="s">
        <v>88</v>
      </c>
      <c r="E329" s="18" t="s">
        <v>185</v>
      </c>
      <c r="F329" s="18" t="s">
        <v>92</v>
      </c>
      <c r="G329" s="20">
        <v>0</v>
      </c>
      <c r="H329" s="20">
        <v>420.0000</v>
      </c>
      <c r="I329" s="20">
        <f ca="1">((I328 + G329) - H329)</f>
        <v>0</v>
      </c>
      <c r="J329" s="20">
        <v>0</v>
      </c>
      <c r="K329" s="21">
        <v>0</v>
      </c>
      <c r="L329" s="18" t="s">
        <v>59</v>
      </c>
    </row>
    <row r="330" ht="10.95" customHeight="true" customFormat="true" s="9">
      <c r="A330" s="17">
        <v>45062</v>
      </c>
      <c r="B330" s="18" t="s">
        <v>184</v>
      </c>
      <c r="C330" s="18" t="s">
        <v>167</v>
      </c>
      <c r="D330" s="18" t="s">
        <v>43</v>
      </c>
      <c r="E330" s="18" t="s">
        <v>186</v>
      </c>
      <c r="F330" s="18"/>
      <c r="G330" s="20">
        <v>420.0000</v>
      </c>
      <c r="H330" s="20">
        <v>0</v>
      </c>
      <c r="I330" s="20">
        <f ca="1">((I329 + G330) - H330)</f>
        <v>0</v>
      </c>
      <c r="J330" s="20">
        <v>0</v>
      </c>
      <c r="K330" s="21">
        <v>0</v>
      </c>
      <c r="L330" s="18" t="s">
        <v>59</v>
      </c>
    </row>
    <row r="331" ht="10.95" customHeight="true" customFormat="true" s="9">
      <c r="A331" s="17">
        <v>45064</v>
      </c>
      <c r="B331" s="18" t="s">
        <v>184</v>
      </c>
      <c r="C331" s="18" t="s">
        <v>167</v>
      </c>
      <c r="D331" s="18" t="s">
        <v>88</v>
      </c>
      <c r="E331" s="18" t="s">
        <v>185</v>
      </c>
      <c r="F331" s="18" t="s">
        <v>93</v>
      </c>
      <c r="G331" s="20">
        <v>0</v>
      </c>
      <c r="H331" s="20">
        <v>242.3100</v>
      </c>
      <c r="I331" s="20">
        <f ca="1">((I330 + G331) - H331)</f>
        <v>0</v>
      </c>
      <c r="J331" s="20">
        <v>0</v>
      </c>
      <c r="K331" s="21">
        <v>0</v>
      </c>
      <c r="L331" s="18" t="s">
        <v>59</v>
      </c>
    </row>
    <row r="332" ht="10.95" customHeight="true" customFormat="true" s="9">
      <c r="A332" s="17">
        <v>45068</v>
      </c>
      <c r="B332" s="18" t="s">
        <v>184</v>
      </c>
      <c r="C332" s="18" t="s">
        <v>167</v>
      </c>
      <c r="D332" s="18" t="s">
        <v>43</v>
      </c>
      <c r="E332" s="18" t="s">
        <v>132</v>
      </c>
      <c r="F332" s="18"/>
      <c r="G332" s="20">
        <v>420.0000</v>
      </c>
      <c r="H332" s="20">
        <v>0</v>
      </c>
      <c r="I332" s="20">
        <f ca="1">((I331 + G332) - H332)</f>
        <v>0</v>
      </c>
      <c r="J332" s="20">
        <v>0</v>
      </c>
      <c r="K332" s="21">
        <v>0</v>
      </c>
      <c r="L332" s="18" t="s">
        <v>59</v>
      </c>
    </row>
    <row r="333" ht="10.95" customHeight="true" customFormat="true" s="9">
      <c r="A333" s="17">
        <v>45071</v>
      </c>
      <c r="B333" s="18" t="s">
        <v>184</v>
      </c>
      <c r="C333" s="18" t="s">
        <v>167</v>
      </c>
      <c r="D333" s="18" t="s">
        <v>88</v>
      </c>
      <c r="E333" s="18" t="s">
        <v>185</v>
      </c>
      <c r="F333" s="18" t="s">
        <v>94</v>
      </c>
      <c r="G333" s="20">
        <v>0</v>
      </c>
      <c r="H333" s="20">
        <v>212.0200</v>
      </c>
      <c r="I333" s="20">
        <f ca="1">((I332 + G333) - H333)</f>
        <v>0</v>
      </c>
      <c r="J333" s="20">
        <v>0</v>
      </c>
      <c r="K333" s="21">
        <v>0</v>
      </c>
      <c r="L333" s="18" t="s">
        <v>59</v>
      </c>
    </row>
    <row r="334" ht="10.95" customHeight="true" customFormat="true" s="9">
      <c r="A334" s="17">
        <v>45076</v>
      </c>
      <c r="B334" s="18" t="s">
        <v>184</v>
      </c>
      <c r="C334" s="18" t="s">
        <v>167</v>
      </c>
      <c r="D334" s="18" t="s">
        <v>43</v>
      </c>
      <c r="E334" s="18" t="s">
        <v>125</v>
      </c>
      <c r="F334" s="18"/>
      <c r="G334" s="20">
        <v>242.3100</v>
      </c>
      <c r="H334" s="20">
        <v>0</v>
      </c>
      <c r="I334" s="20">
        <f ca="1">((I333 + G334) - H334)</f>
        <v>0</v>
      </c>
      <c r="J334" s="20">
        <v>0</v>
      </c>
      <c r="K334" s="21">
        <v>0</v>
      </c>
      <c r="L334" s="18" t="s">
        <v>59</v>
      </c>
    </row>
    <row r="335" ht="10.95" customHeight="true" customFormat="true" s="9">
      <c r="A335" s="17">
        <v>45078</v>
      </c>
      <c r="B335" s="18" t="s">
        <v>184</v>
      </c>
      <c r="C335" s="18" t="s">
        <v>167</v>
      </c>
      <c r="D335" s="18" t="s">
        <v>88</v>
      </c>
      <c r="E335" s="18" t="s">
        <v>185</v>
      </c>
      <c r="F335" s="18" t="s">
        <v>95</v>
      </c>
      <c r="G335" s="20">
        <v>0</v>
      </c>
      <c r="H335" s="20">
        <v>242.3100</v>
      </c>
      <c r="I335" s="20">
        <f ca="1">((I334 + G335) - H335)</f>
        <v>0</v>
      </c>
      <c r="J335" s="20">
        <v>0</v>
      </c>
      <c r="K335" s="21">
        <v>0</v>
      </c>
      <c r="L335" s="18" t="s">
        <v>59</v>
      </c>
    </row>
    <row r="336" ht="10.95" customHeight="true" customFormat="true" s="9">
      <c r="A336" s="17">
        <v>45083</v>
      </c>
      <c r="B336" s="18" t="s">
        <v>184</v>
      </c>
      <c r="C336" s="18" t="s">
        <v>167</v>
      </c>
      <c r="D336" s="18" t="s">
        <v>43</v>
      </c>
      <c r="E336" s="18" t="s">
        <v>187</v>
      </c>
      <c r="F336" s="18"/>
      <c r="G336" s="20">
        <v>212.0200</v>
      </c>
      <c r="H336" s="20">
        <v>0</v>
      </c>
      <c r="I336" s="20">
        <f ca="1">((I335 + G336) - H336)</f>
        <v>0</v>
      </c>
      <c r="J336" s="20">
        <v>0</v>
      </c>
      <c r="K336" s="21">
        <v>0</v>
      </c>
      <c r="L336" s="18" t="s">
        <v>59</v>
      </c>
    </row>
    <row r="337" ht="10.95" customHeight="true" customFormat="true" s="9">
      <c r="A337" s="17">
        <v>45085</v>
      </c>
      <c r="B337" s="18" t="s">
        <v>184</v>
      </c>
      <c r="C337" s="18" t="s">
        <v>167</v>
      </c>
      <c r="D337" s="18" t="s">
        <v>88</v>
      </c>
      <c r="E337" s="18" t="s">
        <v>185</v>
      </c>
      <c r="F337" s="18" t="s">
        <v>96</v>
      </c>
      <c r="G337" s="20">
        <v>0</v>
      </c>
      <c r="H337" s="20">
        <v>268.8000</v>
      </c>
      <c r="I337" s="20">
        <f ca="1">((I336 + G337) - H337)</f>
        <v>0</v>
      </c>
      <c r="J337" s="20">
        <v>0</v>
      </c>
      <c r="K337" s="21">
        <v>0</v>
      </c>
      <c r="L337" s="18" t="s">
        <v>59</v>
      </c>
    </row>
    <row r="338" ht="10.95" customHeight="true" customFormat="true" s="9">
      <c r="A338" s="17">
        <v>45091</v>
      </c>
      <c r="B338" s="18" t="s">
        <v>184</v>
      </c>
      <c r="C338" s="18" t="s">
        <v>167</v>
      </c>
      <c r="D338" s="18" t="s">
        <v>43</v>
      </c>
      <c r="E338" s="18" t="s">
        <v>187</v>
      </c>
      <c r="F338" s="18"/>
      <c r="G338" s="20">
        <v>242.3100</v>
      </c>
      <c r="H338" s="20">
        <v>0</v>
      </c>
      <c r="I338" s="20">
        <f ca="1">((I337 + G338) - H338)</f>
        <v>0</v>
      </c>
      <c r="J338" s="20">
        <v>0</v>
      </c>
      <c r="K338" s="21">
        <v>0</v>
      </c>
      <c r="L338" s="18" t="s">
        <v>59</v>
      </c>
    </row>
    <row r="339" ht="10.95" customHeight="true" customFormat="true" s="9">
      <c r="A339" s="17">
        <v>45092</v>
      </c>
      <c r="B339" s="18" t="s">
        <v>184</v>
      </c>
      <c r="C339" s="18" t="s">
        <v>167</v>
      </c>
      <c r="D339" s="18" t="s">
        <v>88</v>
      </c>
      <c r="E339" s="18" t="s">
        <v>185</v>
      </c>
      <c r="F339" s="18" t="s">
        <v>97</v>
      </c>
      <c r="G339" s="20">
        <v>0</v>
      </c>
      <c r="H339" s="20">
        <v>242.3100</v>
      </c>
      <c r="I339" s="20">
        <f ca="1">((I338 + G339) - H339)</f>
        <v>0</v>
      </c>
      <c r="J339" s="20">
        <v>0</v>
      </c>
      <c r="K339" s="21">
        <v>0</v>
      </c>
      <c r="L339" s="18" t="s">
        <v>59</v>
      </c>
    </row>
    <row r="340" ht="10.95" customHeight="true" customFormat="true" s="9">
      <c r="A340" s="17">
        <v>45098</v>
      </c>
      <c r="B340" s="18" t="s">
        <v>184</v>
      </c>
      <c r="C340" s="18" t="s">
        <v>167</v>
      </c>
      <c r="D340" s="18" t="s">
        <v>43</v>
      </c>
      <c r="E340" s="18" t="s">
        <v>188</v>
      </c>
      <c r="F340" s="18"/>
      <c r="G340" s="20">
        <v>268.8000</v>
      </c>
      <c r="H340" s="20">
        <v>0</v>
      </c>
      <c r="I340" s="20">
        <f ca="1">((I339 + G340) - H340)</f>
        <v>0</v>
      </c>
      <c r="J340" s="20">
        <v>0</v>
      </c>
      <c r="K340" s="21">
        <v>0</v>
      </c>
      <c r="L340" s="18" t="s">
        <v>59</v>
      </c>
    </row>
    <row r="341" ht="10.95" customHeight="true" customFormat="true" s="9">
      <c r="A341" s="17">
        <v>45099</v>
      </c>
      <c r="B341" s="18" t="s">
        <v>184</v>
      </c>
      <c r="C341" s="18" t="s">
        <v>167</v>
      </c>
      <c r="D341" s="18" t="s">
        <v>88</v>
      </c>
      <c r="E341" s="18" t="s">
        <v>185</v>
      </c>
      <c r="F341" s="18" t="s">
        <v>98</v>
      </c>
      <c r="G341" s="20">
        <v>0</v>
      </c>
      <c r="H341" s="20">
        <v>242.3100</v>
      </c>
      <c r="I341" s="20">
        <f ca="1">((I340 + G341) - H341)</f>
        <v>0</v>
      </c>
      <c r="J341" s="20">
        <v>0</v>
      </c>
      <c r="K341" s="21">
        <v>0</v>
      </c>
      <c r="L341" s="18" t="s">
        <v>59</v>
      </c>
    </row>
    <row r="342" ht="10.95" customHeight="true" customFormat="true" s="9">
      <c r="A342" s="17">
        <v>45104</v>
      </c>
      <c r="B342" s="18" t="s">
        <v>184</v>
      </c>
      <c r="C342" s="18" t="s">
        <v>167</v>
      </c>
      <c r="D342" s="18" t="s">
        <v>43</v>
      </c>
      <c r="E342" s="18" t="s">
        <v>188</v>
      </c>
      <c r="F342" s="18"/>
      <c r="G342" s="20">
        <v>242.3100</v>
      </c>
      <c r="H342" s="20">
        <v>0</v>
      </c>
      <c r="I342" s="20">
        <f ca="1">((I341 + G342) - H342)</f>
        <v>0</v>
      </c>
      <c r="J342" s="20">
        <v>0</v>
      </c>
      <c r="K342" s="21">
        <v>0</v>
      </c>
      <c r="L342" s="18" t="s">
        <v>59</v>
      </c>
    </row>
    <row r="343" ht="10.95" customHeight="true" customFormat="true" s="9">
      <c r="A343" s="17">
        <v>45106</v>
      </c>
      <c r="B343" s="18" t="s">
        <v>184</v>
      </c>
      <c r="C343" s="18" t="s">
        <v>167</v>
      </c>
      <c r="D343" s="18" t="s">
        <v>88</v>
      </c>
      <c r="E343" s="18" t="s">
        <v>185</v>
      </c>
      <c r="F343" s="18" t="s">
        <v>99</v>
      </c>
      <c r="G343" s="20">
        <v>0</v>
      </c>
      <c r="H343" s="20">
        <v>52.5000</v>
      </c>
      <c r="I343" s="20">
        <f ca="1">((I342 + G343) - H343)</f>
        <v>0</v>
      </c>
      <c r="J343" s="20">
        <v>0</v>
      </c>
      <c r="K343" s="21">
        <v>0</v>
      </c>
      <c r="L343" s="18" t="s">
        <v>59</v>
      </c>
    </row>
    <row r="344" ht="10.95" customHeight="true" customFormat="true" s="9">
      <c r="A344" s="17">
        <v>45106</v>
      </c>
      <c r="B344" s="18" t="s">
        <v>184</v>
      </c>
      <c r="C344" s="18" t="s">
        <v>167</v>
      </c>
      <c r="D344" s="18" t="s">
        <v>88</v>
      </c>
      <c r="E344" s="18" t="s">
        <v>185</v>
      </c>
      <c r="F344" s="18" t="s">
        <v>100</v>
      </c>
      <c r="G344" s="20">
        <v>52.5000</v>
      </c>
      <c r="H344" s="20">
        <v>0</v>
      </c>
      <c r="I344" s="20">
        <f ca="1">((I343 + G344) - H344)</f>
        <v>0</v>
      </c>
      <c r="J344" s="20">
        <v>0</v>
      </c>
      <c r="K344" s="21">
        <v>0</v>
      </c>
      <c r="L344" s="18" t="s">
        <v>59</v>
      </c>
    </row>
    <row r="345" ht="10.95" customHeight="true" customFormat="true" s="9">
      <c r="A345" s="22" t="s">
        <v>189</v>
      </c>
      <c r="B345" s="22"/>
      <c r="C345" s="22"/>
      <c r="D345" s="22"/>
      <c r="E345" s="22"/>
      <c r="F345" s="22"/>
      <c r="G345" s="23">
        <f ca="1">SUM(G326:G344)</f>
        <v>0</v>
      </c>
      <c r="H345" s="23">
        <f ca="1">SUM(H326:H344)</f>
        <v>0</v>
      </c>
      <c r="I345" s="23">
        <f ca="1">I344</f>
        <v>0</v>
      </c>
      <c r="J345" s="23">
        <f ca="1">SUM(J326:J344)</f>
        <v>0</v>
      </c>
      <c r="K345" s="22"/>
      <c r="L345" s="22"/>
    </row>
    <row r="346" ht="10.95" customHeight="true" customFormat="true" s="9">
      <c r="A346" s="22" t="s">
        <v>32</v>
      </c>
      <c r="B346" s="22"/>
      <c r="C346" s="22"/>
      <c r="D346" s="22"/>
      <c r="E346" s="22"/>
      <c r="F346" s="22"/>
      <c r="G346" s="23">
        <v>0</v>
      </c>
      <c r="H346" s="23">
        <v>242.3100</v>
      </c>
      <c r="I346" s="23">
        <v>0</v>
      </c>
      <c r="J346" s="23">
        <v>0</v>
      </c>
      <c r="K346" s="22"/>
      <c r="L346" s="22"/>
    </row>
    <row r="347" ht="10.95" customHeight="true" customFormat="true" s="9">
      <c r="A347" s="10" t="s">
        <v>33</v>
      </c>
      <c r="B347" s="10"/>
      <c r="C347" s="10"/>
      <c r="D347" s="10"/>
      <c r="E347" s="10"/>
      <c r="F347" s="10"/>
      <c r="G347" s="11">
        <v>0</v>
      </c>
      <c r="H347" s="11">
        <v>242.3100</v>
      </c>
      <c r="I347" s="11">
        <f ca="1">I344</f>
        <v>0</v>
      </c>
      <c r="J347" s="11">
        <v>0</v>
      </c>
      <c r="K347" s="10"/>
      <c r="L347" s="10"/>
    </row>
    <row r="348" ht="13.35" customHeight="true"/>
    <row r="349" ht="12.1" customHeight="true" customFormat="true" s="5">
      <c r="A349" s="8" t="s">
        <v>190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ht="10.95" customHeight="true" customFormat="true" s="9">
      <c r="A350" s="10" t="s">
        <v>16</v>
      </c>
      <c r="B350" s="10"/>
      <c r="C350" s="10"/>
      <c r="D350" s="10"/>
      <c r="E350" s="10"/>
      <c r="F350" s="10"/>
      <c r="G350" s="11">
        <v>0</v>
      </c>
      <c r="H350" s="11">
        <v>0</v>
      </c>
      <c r="I350" s="11">
        <f ca="1">(G350 - H350)</f>
        <v>0</v>
      </c>
      <c r="J350" s="11">
        <v>0</v>
      </c>
      <c r="K350" s="10"/>
      <c r="L350" s="10"/>
    </row>
    <row r="351" ht="10.95" customHeight="true" customFormat="true" s="9">
      <c r="A351" s="12">
        <v>45097</v>
      </c>
      <c r="B351" s="13" t="s">
        <v>191</v>
      </c>
      <c r="C351" s="13" t="s">
        <v>167</v>
      </c>
      <c r="D351" s="13" t="s">
        <v>43</v>
      </c>
      <c r="E351" s="13" t="s">
        <v>144</v>
      </c>
      <c r="F351" s="13"/>
      <c r="G351" s="15">
        <v>3762.0000</v>
      </c>
      <c r="H351" s="15">
        <v>0</v>
      </c>
      <c r="I351" s="15">
        <f ca="1">((I350 + G351) - H351)</f>
        <v>0</v>
      </c>
      <c r="J351" s="15">
        <v>0</v>
      </c>
      <c r="K351" s="16">
        <v>0</v>
      </c>
      <c r="L351" s="13" t="s">
        <v>59</v>
      </c>
    </row>
    <row r="352" ht="10.95" customHeight="true" customFormat="true" s="9">
      <c r="A352" s="17">
        <v>45107</v>
      </c>
      <c r="B352" s="18" t="s">
        <v>191</v>
      </c>
      <c r="C352" s="18" t="s">
        <v>167</v>
      </c>
      <c r="D352" s="18" t="s">
        <v>53</v>
      </c>
      <c r="E352" s="18" t="s">
        <v>175</v>
      </c>
      <c r="F352" s="18" t="s">
        <v>58</v>
      </c>
      <c r="G352" s="20">
        <v>0</v>
      </c>
      <c r="H352" s="20">
        <v>11903.0000</v>
      </c>
      <c r="I352" s="20">
        <f ca="1">((I351 + G352) - H352)</f>
        <v>0</v>
      </c>
      <c r="J352" s="20">
        <v>0</v>
      </c>
      <c r="K352" s="21">
        <v>0</v>
      </c>
      <c r="L352" s="18" t="s">
        <v>59</v>
      </c>
    </row>
    <row r="353" ht="10.95" customHeight="true" customFormat="true" s="9">
      <c r="A353" s="22" t="s">
        <v>192</v>
      </c>
      <c r="B353" s="22"/>
      <c r="C353" s="22"/>
      <c r="D353" s="22"/>
      <c r="E353" s="22"/>
      <c r="F353" s="22"/>
      <c r="G353" s="23">
        <f ca="1">SUM(G351:G352)</f>
        <v>0</v>
      </c>
      <c r="H353" s="23">
        <f ca="1">SUM(H351:H352)</f>
        <v>0</v>
      </c>
      <c r="I353" s="23">
        <f ca="1">I352</f>
        <v>0</v>
      </c>
      <c r="J353" s="23">
        <f ca="1">SUM(J351:J352)</f>
        <v>0</v>
      </c>
      <c r="K353" s="22"/>
      <c r="L353" s="22"/>
    </row>
    <row r="354" ht="10.95" customHeight="true" customFormat="true" s="9">
      <c r="A354" s="22" t="s">
        <v>32</v>
      </c>
      <c r="B354" s="22"/>
      <c r="C354" s="22"/>
      <c r="D354" s="22"/>
      <c r="E354" s="22"/>
      <c r="F354" s="22"/>
      <c r="G354" s="23">
        <v>0</v>
      </c>
      <c r="H354" s="23">
        <v>8141.0000</v>
      </c>
      <c r="I354" s="23">
        <v>0</v>
      </c>
      <c r="J354" s="23">
        <v>0</v>
      </c>
      <c r="K354" s="22"/>
      <c r="L354" s="22"/>
    </row>
    <row r="355" ht="10.95" customHeight="true" customFormat="true" s="9">
      <c r="A355" s="10" t="s">
        <v>33</v>
      </c>
      <c r="B355" s="10"/>
      <c r="C355" s="10"/>
      <c r="D355" s="10"/>
      <c r="E355" s="10"/>
      <c r="F355" s="10"/>
      <c r="G355" s="11">
        <v>0</v>
      </c>
      <c r="H355" s="11">
        <v>8141.0000</v>
      </c>
      <c r="I355" s="11">
        <f ca="1">I352</f>
        <v>0</v>
      </c>
      <c r="J355" s="11">
        <v>0</v>
      </c>
      <c r="K355" s="10"/>
      <c r="L355" s="10"/>
    </row>
    <row r="356" ht="13.35" customHeight="true"/>
    <row r="357" ht="12.1" customHeight="true" customFormat="true" s="5">
      <c r="A357" s="8" t="s">
        <v>193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ht="10.95" customHeight="true" customFormat="true" s="9">
      <c r="A358" s="10" t="s">
        <v>16</v>
      </c>
      <c r="B358" s="10"/>
      <c r="C358" s="10"/>
      <c r="D358" s="10"/>
      <c r="E358" s="10"/>
      <c r="F358" s="10"/>
      <c r="G358" s="11">
        <v>0</v>
      </c>
      <c r="H358" s="11">
        <v>0</v>
      </c>
      <c r="I358" s="11">
        <f ca="1">(G358 - H358)</f>
        <v>0</v>
      </c>
      <c r="J358" s="11">
        <v>0</v>
      </c>
      <c r="K358" s="10"/>
      <c r="L358" s="10"/>
    </row>
    <row r="359" ht="10.95" customHeight="true" customFormat="true" s="9">
      <c r="A359" s="12">
        <v>45107</v>
      </c>
      <c r="B359" s="13" t="s">
        <v>194</v>
      </c>
      <c r="C359" s="13" t="s">
        <v>167</v>
      </c>
      <c r="D359" s="13" t="s">
        <v>53</v>
      </c>
      <c r="E359" s="13" t="s">
        <v>175</v>
      </c>
      <c r="F359" s="13" t="s">
        <v>58</v>
      </c>
      <c r="G359" s="15">
        <v>387.5300</v>
      </c>
      <c r="H359" s="15">
        <v>0</v>
      </c>
      <c r="I359" s="15">
        <f ca="1">((I358 + G359) - H359)</f>
        <v>0</v>
      </c>
      <c r="J359" s="15">
        <v>0</v>
      </c>
      <c r="K359" s="16">
        <v>0</v>
      </c>
      <c r="L359" s="13" t="s">
        <v>59</v>
      </c>
    </row>
    <row r="360" ht="42" customHeight="true" customFormat="true" s="9">
      <c r="A360" s="17">
        <v>45107</v>
      </c>
      <c r="B360" s="18" t="s">
        <v>194</v>
      </c>
      <c r="C360" s="18" t="s">
        <v>167</v>
      </c>
      <c r="D360" s="18" t="s">
        <v>53</v>
      </c>
      <c r="E360" s="19" t="s">
        <v>176</v>
      </c>
      <c r="F360" s="18" t="s">
        <v>177</v>
      </c>
      <c r="G360" s="20">
        <v>69.7100</v>
      </c>
      <c r="H360" s="20">
        <v>0</v>
      </c>
      <c r="I360" s="20">
        <f ca="1">((I359 + G360) - H360)</f>
        <v>0</v>
      </c>
      <c r="J360" s="20">
        <v>0</v>
      </c>
      <c r="K360" s="21">
        <v>0</v>
      </c>
      <c r="L360" s="18" t="s">
        <v>59</v>
      </c>
    </row>
    <row r="361" ht="10.95" customHeight="true" customFormat="true" s="9">
      <c r="A361" s="22" t="s">
        <v>195</v>
      </c>
      <c r="B361" s="22"/>
      <c r="C361" s="22"/>
      <c r="D361" s="22"/>
      <c r="E361" s="22"/>
      <c r="F361" s="22"/>
      <c r="G361" s="23">
        <f ca="1">SUM(G359:G360)</f>
        <v>0</v>
      </c>
      <c r="H361" s="23">
        <f ca="1">SUM(H359:H360)</f>
        <v>0</v>
      </c>
      <c r="I361" s="23">
        <f ca="1">I360</f>
        <v>0</v>
      </c>
      <c r="J361" s="23">
        <f ca="1">SUM(J359:J360)</f>
        <v>0</v>
      </c>
      <c r="K361" s="22"/>
      <c r="L361" s="22"/>
    </row>
    <row r="362" ht="10.95" customHeight="true" customFormat="true" s="9">
      <c r="A362" s="22" t="s">
        <v>32</v>
      </c>
      <c r="B362" s="22"/>
      <c r="C362" s="22"/>
      <c r="D362" s="22"/>
      <c r="E362" s="22"/>
      <c r="F362" s="22"/>
      <c r="G362" s="23">
        <v>457.2400</v>
      </c>
      <c r="H362" s="23">
        <v>0</v>
      </c>
      <c r="I362" s="23">
        <v>0</v>
      </c>
      <c r="J362" s="23">
        <v>0</v>
      </c>
      <c r="K362" s="22"/>
      <c r="L362" s="22"/>
    </row>
    <row r="363" ht="10.95" customHeight="true" customFormat="true" s="9">
      <c r="A363" s="10" t="s">
        <v>33</v>
      </c>
      <c r="B363" s="10"/>
      <c r="C363" s="10"/>
      <c r="D363" s="10"/>
      <c r="E363" s="10"/>
      <c r="F363" s="10"/>
      <c r="G363" s="11">
        <v>457.2400</v>
      </c>
      <c r="H363" s="11">
        <v>0</v>
      </c>
      <c r="I363" s="11">
        <f ca="1">I360</f>
        <v>0</v>
      </c>
      <c r="J363" s="11">
        <v>0</v>
      </c>
      <c r="K363" s="10"/>
      <c r="L363" s="10"/>
    </row>
    <row r="364" ht="13.35" customHeight="true"/>
    <row r="365" ht="12.1" customHeight="true" customFormat="true" s="5">
      <c r="A365" s="8" t="s">
        <v>196</v>
      </c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ht="10.95" customHeight="true" customFormat="true" s="9">
      <c r="A366" s="10" t="s">
        <v>16</v>
      </c>
      <c r="B366" s="10"/>
      <c r="C366" s="10"/>
      <c r="D366" s="10"/>
      <c r="E366" s="10"/>
      <c r="F366" s="10"/>
      <c r="G366" s="11">
        <v>0</v>
      </c>
      <c r="H366" s="11">
        <v>0</v>
      </c>
      <c r="I366" s="11">
        <f ca="1">(G366 - H366)</f>
        <v>0</v>
      </c>
      <c r="J366" s="11">
        <v>0</v>
      </c>
      <c r="K366" s="10"/>
      <c r="L366" s="10"/>
    </row>
    <row r="367" ht="10.95" customHeight="true" customFormat="true" s="9">
      <c r="A367" s="12">
        <v>45107</v>
      </c>
      <c r="B367" s="13" t="s">
        <v>197</v>
      </c>
      <c r="C367" s="13" t="s">
        <v>167</v>
      </c>
      <c r="D367" s="13" t="s">
        <v>53</v>
      </c>
      <c r="E367" s="13" t="s">
        <v>198</v>
      </c>
      <c r="F367" s="13" t="s">
        <v>199</v>
      </c>
      <c r="G367" s="15">
        <v>0</v>
      </c>
      <c r="H367" s="15">
        <v>3480.2500</v>
      </c>
      <c r="I367" s="15">
        <f ca="1">((I366 + G367) - H367)</f>
        <v>0</v>
      </c>
      <c r="J367" s="15">
        <v>0</v>
      </c>
      <c r="K367" s="16">
        <v>0</v>
      </c>
      <c r="L367" s="13" t="s">
        <v>59</v>
      </c>
    </row>
    <row r="368" ht="10.95" customHeight="true" customFormat="true" s="9">
      <c r="A368" s="22" t="s">
        <v>200</v>
      </c>
      <c r="B368" s="22"/>
      <c r="C368" s="22"/>
      <c r="D368" s="22"/>
      <c r="E368" s="22"/>
      <c r="F368" s="22"/>
      <c r="G368" s="23">
        <f ca="1">G367</f>
        <v>0</v>
      </c>
      <c r="H368" s="23">
        <f ca="1">H367</f>
        <v>0</v>
      </c>
      <c r="I368" s="23">
        <f ca="1">I367</f>
        <v>0</v>
      </c>
      <c r="J368" s="23">
        <f ca="1">J367</f>
        <v>0</v>
      </c>
      <c r="K368" s="22"/>
      <c r="L368" s="22"/>
    </row>
    <row r="369" ht="10.95" customHeight="true" customFormat="true" s="9">
      <c r="A369" s="22" t="s">
        <v>32</v>
      </c>
      <c r="B369" s="22"/>
      <c r="C369" s="22"/>
      <c r="D369" s="22"/>
      <c r="E369" s="22"/>
      <c r="F369" s="22"/>
      <c r="G369" s="23">
        <v>0</v>
      </c>
      <c r="H369" s="23">
        <v>3480.2500</v>
      </c>
      <c r="I369" s="23">
        <v>0</v>
      </c>
      <c r="J369" s="23">
        <v>0</v>
      </c>
      <c r="K369" s="22"/>
      <c r="L369" s="22"/>
    </row>
    <row r="370" ht="10.95" customHeight="true" customFormat="true" s="9">
      <c r="A370" s="10" t="s">
        <v>33</v>
      </c>
      <c r="B370" s="10"/>
      <c r="C370" s="10"/>
      <c r="D370" s="10"/>
      <c r="E370" s="10"/>
      <c r="F370" s="10"/>
      <c r="G370" s="11">
        <v>0</v>
      </c>
      <c r="H370" s="11">
        <v>3480.2500</v>
      </c>
      <c r="I370" s="11">
        <f ca="1">I367</f>
        <v>0</v>
      </c>
      <c r="J370" s="11">
        <v>0</v>
      </c>
      <c r="K370" s="10"/>
      <c r="L370" s="10"/>
    </row>
    <row r="371" ht="13.35" customHeight="true"/>
    <row r="372" ht="12.1" customHeight="true" customFormat="true" s="5">
      <c r="A372" s="8" t="s">
        <v>201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ht="10.95" customHeight="true" customFormat="true" s="9">
      <c r="A373" s="10" t="s">
        <v>16</v>
      </c>
      <c r="B373" s="10"/>
      <c r="C373" s="10"/>
      <c r="D373" s="10"/>
      <c r="E373" s="10"/>
      <c r="F373" s="10"/>
      <c r="G373" s="11">
        <v>0</v>
      </c>
      <c r="H373" s="11">
        <v>0</v>
      </c>
      <c r="I373" s="11">
        <f ca="1">(G373 - H373)</f>
        <v>0</v>
      </c>
      <c r="J373" s="11">
        <v>0</v>
      </c>
      <c r="K373" s="10"/>
      <c r="L373" s="10"/>
    </row>
    <row r="374" ht="10.95" customHeight="true" customFormat="true" s="9">
      <c r="A374" s="12">
        <v>45016</v>
      </c>
      <c r="B374" s="13" t="s">
        <v>202</v>
      </c>
      <c r="C374" s="13" t="s">
        <v>167</v>
      </c>
      <c r="D374" s="13" t="s">
        <v>43</v>
      </c>
      <c r="E374" s="13" t="s">
        <v>203</v>
      </c>
      <c r="F374" s="13" t="s">
        <v>51</v>
      </c>
      <c r="G374" s="15">
        <v>587.4100</v>
      </c>
      <c r="H374" s="15">
        <v>0</v>
      </c>
      <c r="I374" s="15">
        <f ca="1">((I373 + G374) - H374)</f>
        <v>0</v>
      </c>
      <c r="J374" s="15">
        <v>0</v>
      </c>
      <c r="K374" s="16">
        <v>0</v>
      </c>
      <c r="L374" s="13" t="s">
        <v>59</v>
      </c>
    </row>
    <row r="375" ht="10.95" customHeight="true" customFormat="true" s="9">
      <c r="A375" s="17">
        <v>45016</v>
      </c>
      <c r="B375" s="18" t="s">
        <v>202</v>
      </c>
      <c r="C375" s="18" t="s">
        <v>167</v>
      </c>
      <c r="D375" s="18" t="s">
        <v>53</v>
      </c>
      <c r="E375" s="18" t="s">
        <v>204</v>
      </c>
      <c r="F375" s="18" t="s">
        <v>55</v>
      </c>
      <c r="G375" s="20">
        <v>0</v>
      </c>
      <c r="H375" s="20">
        <v>5334.1400</v>
      </c>
      <c r="I375" s="20">
        <f ca="1">((I374 + G375) - H375)</f>
        <v>0</v>
      </c>
      <c r="J375" s="20">
        <v>0</v>
      </c>
      <c r="K375" s="21">
        <v>0</v>
      </c>
      <c r="L375" s="18" t="s">
        <v>59</v>
      </c>
    </row>
    <row r="376" ht="10.95" customHeight="true" customFormat="true" s="9">
      <c r="A376" s="17">
        <v>45047</v>
      </c>
      <c r="B376" s="18" t="s">
        <v>202</v>
      </c>
      <c r="C376" s="18" t="s">
        <v>167</v>
      </c>
      <c r="D376" s="18" t="s">
        <v>43</v>
      </c>
      <c r="E376" s="18" t="s">
        <v>205</v>
      </c>
      <c r="F376" s="18"/>
      <c r="G376" s="20">
        <v>527.4100</v>
      </c>
      <c r="H376" s="20">
        <v>0</v>
      </c>
      <c r="I376" s="20">
        <f ca="1">((I375 + G376) - H376)</f>
        <v>0</v>
      </c>
      <c r="J376" s="20">
        <v>0</v>
      </c>
      <c r="K376" s="21">
        <v>0</v>
      </c>
      <c r="L376" s="18" t="s">
        <v>59</v>
      </c>
    </row>
    <row r="377" ht="10.95" customHeight="true" customFormat="true" s="9">
      <c r="A377" s="17">
        <v>45077</v>
      </c>
      <c r="B377" s="18" t="s">
        <v>202</v>
      </c>
      <c r="C377" s="18" t="s">
        <v>167</v>
      </c>
      <c r="D377" s="18" t="s">
        <v>43</v>
      </c>
      <c r="E377" s="18" t="s">
        <v>206</v>
      </c>
      <c r="F377" s="18"/>
      <c r="G377" s="20">
        <v>527.9100</v>
      </c>
      <c r="H377" s="20">
        <v>0</v>
      </c>
      <c r="I377" s="20">
        <f ca="1">((I376 + G377) - H377)</f>
        <v>0</v>
      </c>
      <c r="J377" s="20">
        <v>0</v>
      </c>
      <c r="K377" s="21">
        <v>0</v>
      </c>
      <c r="L377" s="18" t="s">
        <v>59</v>
      </c>
    </row>
    <row r="378" ht="10.95" customHeight="true" customFormat="true" s="9">
      <c r="A378" s="17">
        <v>45107</v>
      </c>
      <c r="B378" s="18" t="s">
        <v>202</v>
      </c>
      <c r="C378" s="18" t="s">
        <v>167</v>
      </c>
      <c r="D378" s="18" t="s">
        <v>43</v>
      </c>
      <c r="E378" s="18" t="s">
        <v>206</v>
      </c>
      <c r="F378" s="18"/>
      <c r="G378" s="20">
        <v>527.9100</v>
      </c>
      <c r="H378" s="20">
        <v>0</v>
      </c>
      <c r="I378" s="20">
        <f ca="1">((I377 + G378) - H378)</f>
        <v>0</v>
      </c>
      <c r="J378" s="20">
        <v>0</v>
      </c>
      <c r="K378" s="21">
        <v>0</v>
      </c>
      <c r="L378" s="18" t="s">
        <v>59</v>
      </c>
    </row>
    <row r="379" ht="10.95" customHeight="true" customFormat="true" s="9">
      <c r="A379" s="22" t="s">
        <v>207</v>
      </c>
      <c r="B379" s="22"/>
      <c r="C379" s="22"/>
      <c r="D379" s="22"/>
      <c r="E379" s="22"/>
      <c r="F379" s="22"/>
      <c r="G379" s="23">
        <f ca="1">SUM(G374:G378)</f>
        <v>0</v>
      </c>
      <c r="H379" s="23">
        <f ca="1">SUM(H374:H378)</f>
        <v>0</v>
      </c>
      <c r="I379" s="23">
        <f ca="1">I378</f>
        <v>0</v>
      </c>
      <c r="J379" s="23">
        <f ca="1">SUM(J374:J378)</f>
        <v>0</v>
      </c>
      <c r="K379" s="22"/>
      <c r="L379" s="22"/>
    </row>
    <row r="380" ht="10.95" customHeight="true" customFormat="true" s="9">
      <c r="A380" s="22" t="s">
        <v>32</v>
      </c>
      <c r="B380" s="22"/>
      <c r="C380" s="22"/>
      <c r="D380" s="22"/>
      <c r="E380" s="22"/>
      <c r="F380" s="22"/>
      <c r="G380" s="23">
        <v>0</v>
      </c>
      <c r="H380" s="23">
        <v>3163.5000</v>
      </c>
      <c r="I380" s="23">
        <v>0</v>
      </c>
      <c r="J380" s="23">
        <v>0</v>
      </c>
      <c r="K380" s="22"/>
      <c r="L380" s="22"/>
    </row>
    <row r="381" ht="10.95" customHeight="true" customFormat="true" s="9">
      <c r="A381" s="10" t="s">
        <v>33</v>
      </c>
      <c r="B381" s="10"/>
      <c r="C381" s="10"/>
      <c r="D381" s="10"/>
      <c r="E381" s="10"/>
      <c r="F381" s="10"/>
      <c r="G381" s="11">
        <v>0</v>
      </c>
      <c r="H381" s="11">
        <v>3163.5000</v>
      </c>
      <c r="I381" s="11">
        <f ca="1">I378</f>
        <v>0</v>
      </c>
      <c r="J381" s="11">
        <v>0</v>
      </c>
      <c r="K381" s="10"/>
      <c r="L381" s="10"/>
    </row>
    <row r="382" ht="13.35" customHeight="true"/>
    <row r="383" ht="12.1" customHeight="true" customFormat="true" s="5">
      <c r="A383" s="8" t="s">
        <v>208</v>
      </c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ht="10.95" customHeight="true" customFormat="true" s="9">
      <c r="A384" s="10" t="s">
        <v>16</v>
      </c>
      <c r="B384" s="10"/>
      <c r="C384" s="10"/>
      <c r="D384" s="10"/>
      <c r="E384" s="10"/>
      <c r="F384" s="10"/>
      <c r="G384" s="11">
        <v>0</v>
      </c>
      <c r="H384" s="11">
        <v>0</v>
      </c>
      <c r="I384" s="11">
        <f ca="1">(G384 - H384)</f>
        <v>0</v>
      </c>
      <c r="J384" s="11">
        <v>0</v>
      </c>
      <c r="K384" s="10"/>
      <c r="L384" s="10"/>
    </row>
    <row r="385" ht="10.95" customHeight="true" customFormat="true" s="9">
      <c r="A385" s="12">
        <v>45014</v>
      </c>
      <c r="B385" s="13" t="s">
        <v>209</v>
      </c>
      <c r="C385" s="13" t="s">
        <v>210</v>
      </c>
      <c r="D385" s="13" t="s">
        <v>36</v>
      </c>
      <c r="E385" s="13" t="s">
        <v>211</v>
      </c>
      <c r="F385" s="13"/>
      <c r="G385" s="15">
        <v>0</v>
      </c>
      <c r="H385" s="15">
        <v>5000.0000</v>
      </c>
      <c r="I385" s="15">
        <f ca="1">((I384 + G385) - H385)</f>
        <v>0</v>
      </c>
      <c r="J385" s="15">
        <v>0</v>
      </c>
      <c r="K385" s="16">
        <v>0</v>
      </c>
      <c r="L385" s="13" t="s">
        <v>59</v>
      </c>
    </row>
    <row r="386" ht="42" customHeight="true" customFormat="true" s="9">
      <c r="A386" s="17">
        <v>45082</v>
      </c>
      <c r="B386" s="18" t="s">
        <v>209</v>
      </c>
      <c r="C386" s="18" t="s">
        <v>210</v>
      </c>
      <c r="D386" s="18" t="s">
        <v>43</v>
      </c>
      <c r="E386" s="19" t="s">
        <v>212</v>
      </c>
      <c r="F386" s="18"/>
      <c r="G386" s="20">
        <v>919.3100</v>
      </c>
      <c r="H386" s="20">
        <v>0</v>
      </c>
      <c r="I386" s="20">
        <f ca="1">((I385 + G386) - H386)</f>
        <v>0</v>
      </c>
      <c r="J386" s="20">
        <v>0</v>
      </c>
      <c r="K386" s="21">
        <v>0</v>
      </c>
      <c r="L386" s="18" t="s">
        <v>59</v>
      </c>
    </row>
    <row r="387" ht="10.95" customHeight="true" customFormat="true" s="9">
      <c r="A387" s="17">
        <v>45107</v>
      </c>
      <c r="B387" s="18" t="s">
        <v>209</v>
      </c>
      <c r="C387" s="18" t="s">
        <v>210</v>
      </c>
      <c r="D387" s="18" t="s">
        <v>53</v>
      </c>
      <c r="E387" s="18" t="s">
        <v>162</v>
      </c>
      <c r="F387" s="18" t="s">
        <v>163</v>
      </c>
      <c r="G387" s="20">
        <v>0</v>
      </c>
      <c r="H387" s="20">
        <v>2500.0000</v>
      </c>
      <c r="I387" s="20">
        <f ca="1">((I386 + G387) - H387)</f>
        <v>0</v>
      </c>
      <c r="J387" s="20">
        <v>0</v>
      </c>
      <c r="K387" s="21">
        <v>0</v>
      </c>
      <c r="L387" s="18" t="s">
        <v>59</v>
      </c>
    </row>
    <row r="388" ht="10.95" customHeight="true" customFormat="true" s="9">
      <c r="A388" s="22" t="s">
        <v>213</v>
      </c>
      <c r="B388" s="22"/>
      <c r="C388" s="22"/>
      <c r="D388" s="22"/>
      <c r="E388" s="22"/>
      <c r="F388" s="22"/>
      <c r="G388" s="23">
        <f ca="1">SUM(G385:G387)</f>
        <v>0</v>
      </c>
      <c r="H388" s="23">
        <f ca="1">SUM(H385:H387)</f>
        <v>0</v>
      </c>
      <c r="I388" s="23">
        <f ca="1">I387</f>
        <v>0</v>
      </c>
      <c r="J388" s="23">
        <f ca="1">SUM(J385:J387)</f>
        <v>0</v>
      </c>
      <c r="K388" s="22"/>
      <c r="L388" s="22"/>
    </row>
    <row r="389" ht="10.95" customHeight="true" customFormat="true" s="9">
      <c r="A389" s="22" t="s">
        <v>32</v>
      </c>
      <c r="B389" s="22"/>
      <c r="C389" s="22"/>
      <c r="D389" s="22"/>
      <c r="E389" s="22"/>
      <c r="F389" s="22"/>
      <c r="G389" s="23">
        <v>0</v>
      </c>
      <c r="H389" s="23">
        <v>6580.6900</v>
      </c>
      <c r="I389" s="23">
        <v>0</v>
      </c>
      <c r="J389" s="23">
        <v>0</v>
      </c>
      <c r="K389" s="22"/>
      <c r="L389" s="22"/>
    </row>
    <row r="390" ht="10.95" customHeight="true" customFormat="true" s="9">
      <c r="A390" s="10" t="s">
        <v>33</v>
      </c>
      <c r="B390" s="10"/>
      <c r="C390" s="10"/>
      <c r="D390" s="10"/>
      <c r="E390" s="10"/>
      <c r="F390" s="10"/>
      <c r="G390" s="11">
        <v>0</v>
      </c>
      <c r="H390" s="11">
        <v>6580.6900</v>
      </c>
      <c r="I390" s="11">
        <f ca="1">I387</f>
        <v>0</v>
      </c>
      <c r="J390" s="11">
        <v>0</v>
      </c>
      <c r="K390" s="10"/>
      <c r="L390" s="10"/>
    </row>
    <row r="391" ht="13.35" customHeight="true"/>
    <row r="392" ht="12.1" customHeight="true" customFormat="true" s="5">
      <c r="A392" s="8" t="s">
        <v>214</v>
      </c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ht="10.95" customHeight="true" customFormat="true" s="9">
      <c r="A393" s="10" t="s">
        <v>16</v>
      </c>
      <c r="B393" s="10"/>
      <c r="C393" s="10"/>
      <c r="D393" s="10"/>
      <c r="E393" s="10"/>
      <c r="F393" s="10"/>
      <c r="G393" s="11">
        <v>0</v>
      </c>
      <c r="H393" s="11">
        <v>0</v>
      </c>
      <c r="I393" s="11">
        <f ca="1">(G393 - H393)</f>
        <v>0</v>
      </c>
      <c r="J393" s="11">
        <v>0</v>
      </c>
      <c r="K393" s="10"/>
      <c r="L393" s="10"/>
    </row>
    <row r="394" ht="10.95" customHeight="true" customFormat="true" s="9">
      <c r="A394" s="12">
        <v>45107</v>
      </c>
      <c r="B394" s="13" t="s">
        <v>215</v>
      </c>
      <c r="C394" s="13" t="s">
        <v>216</v>
      </c>
      <c r="D394" s="13" t="s">
        <v>53</v>
      </c>
      <c r="E394" s="13" t="s">
        <v>150</v>
      </c>
      <c r="F394" s="13" t="s">
        <v>58</v>
      </c>
      <c r="G394" s="15">
        <v>0</v>
      </c>
      <c r="H394" s="15">
        <v>100.0000</v>
      </c>
      <c r="I394" s="15">
        <f ca="1">((I393 + G394) - H394)</f>
        <v>0</v>
      </c>
      <c r="J394" s="15">
        <v>0</v>
      </c>
      <c r="K394" s="16">
        <v>0</v>
      </c>
      <c r="L394" s="13" t="s">
        <v>59</v>
      </c>
    </row>
    <row r="395" ht="10.95" customHeight="true" customFormat="true" s="9">
      <c r="A395" s="22" t="s">
        <v>217</v>
      </c>
      <c r="B395" s="22"/>
      <c r="C395" s="22"/>
      <c r="D395" s="22"/>
      <c r="E395" s="22"/>
      <c r="F395" s="22"/>
      <c r="G395" s="23">
        <f ca="1">G394</f>
        <v>0</v>
      </c>
      <c r="H395" s="23">
        <f ca="1">H394</f>
        <v>0</v>
      </c>
      <c r="I395" s="23">
        <f ca="1">I394</f>
        <v>0</v>
      </c>
      <c r="J395" s="23">
        <f ca="1">J394</f>
        <v>0</v>
      </c>
      <c r="K395" s="22"/>
      <c r="L395" s="22"/>
    </row>
    <row r="396" ht="10.95" customHeight="true" customFormat="true" s="9">
      <c r="A396" s="22" t="s">
        <v>32</v>
      </c>
      <c r="B396" s="22"/>
      <c r="C396" s="22"/>
      <c r="D396" s="22"/>
      <c r="E396" s="22"/>
      <c r="F396" s="22"/>
      <c r="G396" s="23">
        <v>0</v>
      </c>
      <c r="H396" s="23">
        <v>100.0000</v>
      </c>
      <c r="I396" s="23">
        <v>0</v>
      </c>
      <c r="J396" s="23">
        <v>0</v>
      </c>
      <c r="K396" s="22"/>
      <c r="L396" s="22"/>
    </row>
    <row r="397" ht="10.95" customHeight="true" customFormat="true" s="9">
      <c r="A397" s="10" t="s">
        <v>33</v>
      </c>
      <c r="B397" s="10"/>
      <c r="C397" s="10"/>
      <c r="D397" s="10"/>
      <c r="E397" s="10"/>
      <c r="F397" s="10"/>
      <c r="G397" s="11">
        <v>0</v>
      </c>
      <c r="H397" s="11">
        <v>100.0000</v>
      </c>
      <c r="I397" s="11">
        <f ca="1">I394</f>
        <v>0</v>
      </c>
      <c r="J397" s="11">
        <v>0</v>
      </c>
      <c r="K397" s="10"/>
      <c r="L397" s="10"/>
    </row>
    <row r="398" ht="13.35" customHeight="true"/>
    <row r="399" ht="12.1" customHeight="true" customFormat="true" s="5">
      <c r="A399" s="8" t="s">
        <v>218</v>
      </c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 ht="10.95" customHeight="true" customFormat="true" s="9">
      <c r="A400" s="10" t="s">
        <v>16</v>
      </c>
      <c r="B400" s="10"/>
      <c r="C400" s="10"/>
      <c r="D400" s="10"/>
      <c r="E400" s="10"/>
      <c r="F400" s="10"/>
      <c r="G400" s="11">
        <v>0</v>
      </c>
      <c r="H400" s="11">
        <v>0</v>
      </c>
      <c r="I400" s="11">
        <f ca="1">(G400 - H400)</f>
        <v>0</v>
      </c>
      <c r="J400" s="11">
        <v>0</v>
      </c>
      <c r="K400" s="10"/>
      <c r="L400" s="10"/>
    </row>
    <row r="401" ht="10.95" customHeight="true" customFormat="true" s="9">
      <c r="A401" s="12">
        <v>45107</v>
      </c>
      <c r="B401" s="13" t="s">
        <v>219</v>
      </c>
      <c r="C401" s="13" t="s">
        <v>216</v>
      </c>
      <c r="D401" s="13" t="s">
        <v>53</v>
      </c>
      <c r="E401" s="13" t="s">
        <v>198</v>
      </c>
      <c r="F401" s="13" t="s">
        <v>199</v>
      </c>
      <c r="G401" s="15">
        <v>3480.2500</v>
      </c>
      <c r="H401" s="15">
        <v>0</v>
      </c>
      <c r="I401" s="15">
        <f ca="1">((I400 + G401) - H401)</f>
        <v>0</v>
      </c>
      <c r="J401" s="15">
        <v>0</v>
      </c>
      <c r="K401" s="16">
        <v>0</v>
      </c>
      <c r="L401" s="13" t="s">
        <v>59</v>
      </c>
    </row>
    <row r="402" ht="10.95" customHeight="true" customFormat="true" s="9">
      <c r="A402" s="22" t="s">
        <v>220</v>
      </c>
      <c r="B402" s="22"/>
      <c r="C402" s="22"/>
      <c r="D402" s="22"/>
      <c r="E402" s="22"/>
      <c r="F402" s="22"/>
      <c r="G402" s="23">
        <f ca="1">G401</f>
        <v>0</v>
      </c>
      <c r="H402" s="23">
        <f ca="1">H401</f>
        <v>0</v>
      </c>
      <c r="I402" s="23">
        <f ca="1">I401</f>
        <v>0</v>
      </c>
      <c r="J402" s="23">
        <f ca="1">J401</f>
        <v>0</v>
      </c>
      <c r="K402" s="22"/>
      <c r="L402" s="22"/>
    </row>
    <row r="403" ht="10.95" customHeight="true" customFormat="true" s="9">
      <c r="A403" s="22" t="s">
        <v>32</v>
      </c>
      <c r="B403" s="22"/>
      <c r="C403" s="22"/>
      <c r="D403" s="22"/>
      <c r="E403" s="22"/>
      <c r="F403" s="22"/>
      <c r="G403" s="23">
        <v>3480.2500</v>
      </c>
      <c r="H403" s="23">
        <v>0</v>
      </c>
      <c r="I403" s="23">
        <v>0</v>
      </c>
      <c r="J403" s="23">
        <v>0</v>
      </c>
      <c r="K403" s="22"/>
      <c r="L403" s="22"/>
    </row>
    <row r="404" ht="10.95" customHeight="true" customFormat="true" s="9">
      <c r="A404" s="10" t="s">
        <v>33</v>
      </c>
      <c r="B404" s="10"/>
      <c r="C404" s="10"/>
      <c r="D404" s="10"/>
      <c r="E404" s="10"/>
      <c r="F404" s="10"/>
      <c r="G404" s="11">
        <v>3480.2500</v>
      </c>
      <c r="H404" s="11">
        <v>0</v>
      </c>
      <c r="I404" s="11">
        <f ca="1">I401</f>
        <v>0</v>
      </c>
      <c r="J404" s="11">
        <v>0</v>
      </c>
      <c r="K404" s="10"/>
      <c r="L404" s="10"/>
    </row>
    <row r="405" ht="13.35" customHeight="true"/>
    <row r="406" ht="10.95" customHeight="true" customFormat="true" s="9">
      <c r="A406" s="24" t="s">
        <v>221</v>
      </c>
      <c r="B406" s="24"/>
      <c r="C406" s="24"/>
      <c r="D406" s="24"/>
      <c r="E406" s="24"/>
      <c r="F406" s="24"/>
      <c r="G406" s="25">
        <f ca="1">SUM(G16,G24,G32,G42,G51,G58,G67,G75,G83,G100,G117,G124,G133,G140,G147,G205,G212,G233,G245,G253,G279,G302,G320,G345,G353,G361,G368,G379,G388,G395,G402)</f>
        <v>0</v>
      </c>
      <c r="H406" s="25">
        <f ca="1">SUM(H16,H24,H32,H42,H51,H58,H67,H75,H83,H100,H117,H124,H133,H140,H147,H205,H212,H233,H245,H253,H279,H302,H320,H345,H353,H361,H368,H379,H388,H395,H402)</f>
        <v>0</v>
      </c>
      <c r="I406" s="25">
        <f ca="1">(G406 - H406)</f>
        <v>0</v>
      </c>
      <c r="J406" s="25">
        <f ca="1">SUM(J16,J24,J32,J42,J51,J58,J67,J75,J83,J100,J117,J124,J133,J140,J147,J205,J212,J233,J245,J253,J279,J302,J320,J345,J353,J361,J368,J379,J388,J395,J402)</f>
        <v>0</v>
      </c>
      <c r="K406" s="24"/>
      <c r="L406" s="24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