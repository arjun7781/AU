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<sst xmlns="http://schemas.openxmlformats.org/spreadsheetml/2006/main" count="65" uniqueCount="65">
  <si>
    <t>Trial Balance</t>
  </si>
  <si>
    <t xml:space="preserve">Chapman Investment Trust </t>
  </si>
  <si>
    <t>As at 30 June 2024</t>
  </si>
  <si>
    <t>Account Code</t>
  </si>
  <si>
    <t>Account</t>
  </si>
  <si>
    <t>Account Type</t>
  </si>
  <si>
    <t>Debit - Year to date</t>
  </si>
  <si>
    <t>Credit - Year to date</t>
  </si>
  <si>
    <t>30 June 2023</t>
  </si>
  <si>
    <t>260</t>
  </si>
  <si>
    <t>Rent Received</t>
  </si>
  <si>
    <t>Revenue</t>
  </si>
  <si>
    <t>280</t>
  </si>
  <si>
    <t>Other Revenue</t>
  </si>
  <si>
    <t>Other Income</t>
  </si>
  <si>
    <t>404</t>
  </si>
  <si>
    <t>Bank Fees</t>
  </si>
  <si>
    <t>Expense</t>
  </si>
  <si>
    <t>405</t>
  </si>
  <si>
    <t>Borrowing Expense</t>
  </si>
  <si>
    <t>412</t>
  </si>
  <si>
    <t>Consulting &amp; Accounting</t>
  </si>
  <si>
    <t>417</t>
  </si>
  <si>
    <t>Formation Expense</t>
  </si>
  <si>
    <t>437</t>
  </si>
  <si>
    <t>Interest Expense</t>
  </si>
  <si>
    <t>470</t>
  </si>
  <si>
    <t>Rates</t>
  </si>
  <si>
    <t>485</t>
  </si>
  <si>
    <t>Subscriptions</t>
  </si>
  <si>
    <t>600</t>
  </si>
  <si>
    <t>Trust Bank Account</t>
  </si>
  <si>
    <t>Bank</t>
  </si>
  <si>
    <t>601</t>
  </si>
  <si>
    <t>Cash on Hand</t>
  </si>
  <si>
    <t>Current Asset</t>
  </si>
  <si>
    <t>650</t>
  </si>
  <si>
    <t>Borrowing Costs</t>
  </si>
  <si>
    <t>660</t>
  </si>
  <si>
    <t>Formation Cost</t>
  </si>
  <si>
    <t>710</t>
  </si>
  <si>
    <t>4 Rendle St, Aitkenvale</t>
  </si>
  <si>
    <t>Fixed Asset</t>
  </si>
  <si>
    <t>720</t>
  </si>
  <si>
    <t>Capital Works and Plant</t>
  </si>
  <si>
    <t>500</t>
  </si>
  <si>
    <t>Loan- Craig &amp; Janette Chapman 2024</t>
  </si>
  <si>
    <t>Non-current Liability</t>
  </si>
  <si>
    <t>821</t>
  </si>
  <si>
    <t>BAS Amendment</t>
  </si>
  <si>
    <t>Current Liability</t>
  </si>
  <si>
    <t>822</t>
  </si>
  <si>
    <t>BAS Payable/(Refundable)</t>
  </si>
  <si>
    <t>900</t>
  </si>
  <si>
    <t>Beneficiary Account - Craig Chapman</t>
  </si>
  <si>
    <t>910</t>
  </si>
  <si>
    <t>NAB Loan 73-989-3134</t>
  </si>
  <si>
    <t>930</t>
  </si>
  <si>
    <t>NAB Loan 71-934-8593</t>
  </si>
  <si>
    <t>950</t>
  </si>
  <si>
    <t>Accounting Distribution to Beneficiaries</t>
  </si>
  <si>
    <t>Equity</t>
  </si>
  <si>
    <t>971</t>
  </si>
  <si>
    <t>Contribution by Settlor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</si>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</sst>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29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37.16015625" customWidth="1"/>
    <col min="3" max="3" width="20.16015625" customWidth="1"/>
    <col min="4" max="4" width="22" customWidth="1"/>
    <col min="5" max="5" width="23" customWidth="1"/>
    <col min="6" max="6" width="14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18000.0000</v>
      </c>
      <c r="F6" s="10">
        <v>0</v>
      </c>
    </row>
    <row r="7" ht="10.95" customHeight="true" customFormat="true" s="8">
      <c r="A7" s="11" t="s">
        <v>12</v>
      </c>
      <c r="B7" s="11" t="s">
        <v>13</v>
      </c>
      <c r="C7" s="11" t="s">
        <v>14</v>
      </c>
      <c r="D7" s="11"/>
      <c r="E7" s="12">
        <v>500.0000</v>
      </c>
      <c r="F7" s="12">
        <v>0</v>
      </c>
    </row>
    <row r="8" ht="10.95" customHeight="true" customFormat="true" s="8">
      <c r="A8" s="11" t="s">
        <v>15</v>
      </c>
      <c r="B8" s="11" t="s">
        <v>16</v>
      </c>
      <c r="C8" s="11" t="s">
        <v>17</v>
      </c>
      <c r="D8" s="12">
        <v>1135.0000</v>
      </c>
      <c r="E8" s="11"/>
      <c r="F8" s="12">
        <v>0</v>
      </c>
    </row>
    <row r="9" ht="10.95" customHeight="true" customFormat="true" s="8">
      <c r="A9" s="11" t="s">
        <v>18</v>
      </c>
      <c r="B9" s="11" t="s">
        <v>19</v>
      </c>
      <c r="C9" s="11" t="s">
        <v>17</v>
      </c>
      <c r="D9" s="12">
        <v>670.6500</v>
      </c>
      <c r="E9" s="11"/>
      <c r="F9" s="12">
        <v>0</v>
      </c>
    </row>
    <row r="10" ht="10.95" customHeight="true" customFormat="true" s="8">
      <c r="A10" s="11" t="s">
        <v>20</v>
      </c>
      <c r="B10" s="11" t="s">
        <v>21</v>
      </c>
      <c r="C10" s="11" t="s">
        <v>17</v>
      </c>
      <c r="D10" s="12">
        <v>1200.0000</v>
      </c>
      <c r="E10" s="11"/>
      <c r="F10" s="12">
        <v>0</v>
      </c>
    </row>
    <row r="11" ht="10.95" customHeight="true" customFormat="true" s="8">
      <c r="A11" s="11" t="s">
        <v>22</v>
      </c>
      <c r="B11" s="11" t="s">
        <v>23</v>
      </c>
      <c r="C11" s="11" t="s">
        <v>17</v>
      </c>
      <c r="D11" s="12">
        <v>218.1900</v>
      </c>
      <c r="E11" s="11"/>
      <c r="F11" s="12">
        <v>0</v>
      </c>
    </row>
    <row r="12" ht="10.95" customHeight="true" customFormat="true" s="8">
      <c r="A12" s="11" t="s">
        <v>24</v>
      </c>
      <c r="B12" s="11" t="s">
        <v>25</v>
      </c>
      <c r="C12" s="11" t="s">
        <v>17</v>
      </c>
      <c r="D12" s="12">
        <v>12250.3100</v>
      </c>
      <c r="E12" s="11"/>
      <c r="F12" s="12">
        <v>0</v>
      </c>
    </row>
    <row r="13" ht="10.95" customHeight="true" customFormat="true" s="8">
      <c r="A13" s="11" t="s">
        <v>26</v>
      </c>
      <c r="B13" s="11" t="s">
        <v>27</v>
      </c>
      <c r="C13" s="11" t="s">
        <v>17</v>
      </c>
      <c r="D13" s="12">
        <v>2555.4600</v>
      </c>
      <c r="E13" s="11"/>
      <c r="F13" s="12">
        <v>0</v>
      </c>
    </row>
    <row r="14" ht="10.95" customHeight="true" customFormat="true" s="8">
      <c r="A14" s="11" t="s">
        <v>28</v>
      </c>
      <c r="B14" s="11" t="s">
        <v>29</v>
      </c>
      <c r="C14" s="11" t="s">
        <v>17</v>
      </c>
      <c r="D14" s="12">
        <v>104.5500</v>
      </c>
      <c r="E14" s="11"/>
      <c r="F14" s="12">
        <v>0</v>
      </c>
    </row>
    <row r="15" ht="10.95" customHeight="true" customFormat="true" s="8">
      <c r="A15" s="11" t="s">
        <v>30</v>
      </c>
      <c r="B15" s="11" t="s">
        <v>31</v>
      </c>
      <c r="C15" s="11" t="s">
        <v>32</v>
      </c>
      <c r="D15" s="12">
        <v>18055.3000</v>
      </c>
      <c r="E15" s="11"/>
      <c r="F15" s="12">
        <v>0</v>
      </c>
    </row>
    <row r="16" ht="10.95" customHeight="true" customFormat="true" s="8">
      <c r="A16" s="11" t="s">
        <v>33</v>
      </c>
      <c r="B16" s="11" t="s">
        <v>34</v>
      </c>
      <c r="C16" s="11" t="s">
        <v>35</v>
      </c>
      <c r="D16" s="12">
        <v>10.0000</v>
      </c>
      <c r="E16" s="11"/>
      <c r="F16" s="12">
        <v>0</v>
      </c>
    </row>
    <row r="17" ht="10.95" customHeight="true" customFormat="true" s="8">
      <c r="A17" s="11" t="s">
        <v>36</v>
      </c>
      <c r="B17" s="11" t="s">
        <v>37</v>
      </c>
      <c r="C17" s="11" t="s">
        <v>35</v>
      </c>
      <c r="D17" s="12">
        <v>6838.1600</v>
      </c>
      <c r="E17" s="11"/>
      <c r="F17" s="12">
        <v>0</v>
      </c>
    </row>
    <row r="18" ht="10.95" customHeight="true" customFormat="true" s="8">
      <c r="A18" s="11" t="s">
        <v>38</v>
      </c>
      <c r="B18" s="11" t="s">
        <v>39</v>
      </c>
      <c r="C18" s="11" t="s">
        <v>35</v>
      </c>
      <c r="D18" s="12">
        <v>1981.8100</v>
      </c>
      <c r="E18" s="11"/>
      <c r="F18" s="12">
        <v>0</v>
      </c>
    </row>
    <row r="19" ht="10.95" customHeight="true" customFormat="true" s="8">
      <c r="A19" s="11" t="s">
        <v>40</v>
      </c>
      <c r="B19" s="11" t="s">
        <v>41</v>
      </c>
      <c r="C19" s="11" t="s">
        <v>42</v>
      </c>
      <c r="D19" s="12">
        <v>351627.5100</v>
      </c>
      <c r="E19" s="11"/>
      <c r="F19" s="12">
        <v>0</v>
      </c>
    </row>
    <row r="20" ht="10.95" customHeight="true" customFormat="true" s="8">
      <c r="A20" s="11" t="s">
        <v>43</v>
      </c>
      <c r="B20" s="11" t="s">
        <v>44</v>
      </c>
      <c r="C20" s="11" t="s">
        <v>42</v>
      </c>
      <c r="D20" s="12">
        <v>159906.1800</v>
      </c>
      <c r="E20" s="11"/>
      <c r="F20" s="12">
        <v>0</v>
      </c>
    </row>
    <row r="21" ht="10.95" customHeight="true" customFormat="true" s="8">
      <c r="A21" s="11" t="s">
        <v>45</v>
      </c>
      <c r="B21" s="11" t="s">
        <v>46</v>
      </c>
      <c r="C21" s="11" t="s">
        <v>47</v>
      </c>
      <c r="D21" s="11"/>
      <c r="E21" s="12">
        <v>54664.2500</v>
      </c>
      <c r="F21" s="12">
        <v>0</v>
      </c>
    </row>
    <row r="22" ht="10.95" customHeight="true" customFormat="true" s="8">
      <c r="A22" s="11" t="s">
        <v>48</v>
      </c>
      <c r="B22" s="11" t="s">
        <v>49</v>
      </c>
      <c r="C22" s="11" t="s">
        <v>50</v>
      </c>
      <c r="D22" s="11"/>
      <c r="E22" s="12">
        <v>660.2400</v>
      </c>
      <c r="F22" s="12">
        <v>0</v>
      </c>
    </row>
    <row r="23" ht="10.95" customHeight="true" customFormat="true" s="8">
      <c r="A23" s="11" t="s">
        <v>51</v>
      </c>
      <c r="B23" s="11" t="s">
        <v>52</v>
      </c>
      <c r="C23" s="11" t="s">
        <v>50</v>
      </c>
      <c r="D23" s="12">
        <v>9083.0000</v>
      </c>
      <c r="E23" s="11"/>
      <c r="F23" s="12">
        <v>0</v>
      </c>
    </row>
    <row r="24" ht="10.95" customHeight="true" customFormat="true" s="8">
      <c r="A24" s="11" t="s">
        <v>53</v>
      </c>
      <c r="B24" s="11" t="s">
        <v>54</v>
      </c>
      <c r="C24" s="11" t="s">
        <v>47</v>
      </c>
      <c r="D24" s="11"/>
      <c r="E24" s="12">
        <v>365.8400</v>
      </c>
      <c r="F24" s="12">
        <v>0</v>
      </c>
    </row>
    <row r="25" ht="10.95" customHeight="true" customFormat="true" s="8">
      <c r="A25" s="11" t="s">
        <v>55</v>
      </c>
      <c r="B25" s="11" t="s">
        <v>56</v>
      </c>
      <c r="C25" s="11" t="s">
        <v>47</v>
      </c>
      <c r="D25" s="11"/>
      <c r="E25" s="12">
        <v>335000.0000</v>
      </c>
      <c r="F25" s="12">
        <v>0</v>
      </c>
    </row>
    <row r="26" ht="10.95" customHeight="true" customFormat="true" s="8">
      <c r="A26" s="11" t="s">
        <v>57</v>
      </c>
      <c r="B26" s="11" t="s">
        <v>58</v>
      </c>
      <c r="C26" s="11" t="s">
        <v>47</v>
      </c>
      <c r="D26" s="11"/>
      <c r="E26" s="12">
        <v>156801.6300</v>
      </c>
      <c r="F26" s="12">
        <v>0</v>
      </c>
    </row>
    <row r="27" ht="10.95" customHeight="true" customFormat="true" s="8">
      <c r="A27" s="11" t="s">
        <v>59</v>
      </c>
      <c r="B27" s="11" t="s">
        <v>60</v>
      </c>
      <c r="C27" s="11" t="s">
        <v>61</v>
      </c>
      <c r="D27" s="12">
        <v>365.8400</v>
      </c>
      <c r="E27" s="11"/>
      <c r="F27" s="12">
        <v>0</v>
      </c>
    </row>
    <row r="28" ht="10.95" customHeight="true" customFormat="true" s="8">
      <c r="A28" s="11" t="s">
        <v>62</v>
      </c>
      <c r="B28" s="11" t="s">
        <v>63</v>
      </c>
      <c r="C28" s="11" t="s">
        <v>61</v>
      </c>
      <c r="D28" s="11"/>
      <c r="E28" s="12">
        <v>10.0000</v>
      </c>
      <c r="F28" s="12">
        <v>0</v>
      </c>
    </row>
    <row r="29" ht="10.95" customHeight="true" customFormat="true" s="8">
      <c r="A29" s="13" t="s">
        <v>64</v>
      </c>
      <c r="B29" s="13"/>
      <c r="C29" s="13"/>
      <c r="D29" s="14">
        <f ca="1">SUM(D6:D28)</f>
        <v>0</v>
      </c>
      <c r="E29" s="14">
        <f ca="1">SUM(E6:E28)</f>
        <v>0</v>
      </c>
      <c r="F29" s="14">
        <f ca="1">SUM(F6:F28)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