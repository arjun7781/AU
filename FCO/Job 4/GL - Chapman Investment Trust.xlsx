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General Ledger Detail" sheetId="1" r:id="rId1"/>
  </sheets>
  <calcPr calcId="162913"/>
</workbook>
</file>

<file path=xl/sharedStrings.xml><?xml version="1.0" encoding="utf-8"?>
<sst xmlns="http://schemas.openxmlformats.org/spreadsheetml/2006/main" count="201" uniqueCount="201">
  <si>
    <t>General Ledger Detail</t>
  </si>
  <si>
    <t xml:space="preserve">Chapman Investment Trust </t>
  </si>
  <si>
    <t>For the period 1 July 2023 to 30 June 2024</t>
  </si>
  <si>
    <t>Date</t>
  </si>
  <si>
    <t>Account Code</t>
  </si>
  <si>
    <t>Account Type</t>
  </si>
  <si>
    <t>Source</t>
  </si>
  <si>
    <t>Description</t>
  </si>
  <si>
    <t>Reference</t>
  </si>
  <si>
    <t>Debit</t>
  </si>
  <si>
    <t>Credit</t>
  </si>
  <si>
    <t>Running Balance</t>
  </si>
  <si>
    <t>GST</t>
  </si>
  <si>
    <t>GST Rate</t>
  </si>
  <si>
    <t>GST Rate Name</t>
  </si>
  <si>
    <t>260 - Rent Received</t>
  </si>
  <si>
    <t>Opening Balance</t>
  </si>
  <si>
    <t>260</t>
  </si>
  <si>
    <t>Revenue</t>
  </si>
  <si>
    <t>Manual Journal</t>
  </si>
  <si>
    <t>Craig Chapman Rent - for the period of 01 Jan - 30 June 2024 - Rent - for the period of 01 Jan - 30 June 2024  (6 X $2000 +GST)</t>
  </si>
  <si>
    <t>#222</t>
  </si>
  <si>
    <t>GST on Income</t>
  </si>
  <si>
    <t>Bring in Additional Rent - Bring in Additional Rent</t>
  </si>
  <si>
    <t>#418</t>
  </si>
  <si>
    <t>BAS Excluded</t>
  </si>
  <si>
    <t>Total 260 - Rent Received</t>
  </si>
  <si>
    <t>Net movement</t>
  </si>
  <si>
    <t>Closing Balance</t>
  </si>
  <si>
    <t>280 - Other Revenue</t>
  </si>
  <si>
    <t>280</t>
  </si>
  <si>
    <t>Other Income</t>
  </si>
  <si>
    <t>Receive Money</t>
  </si>
  <si>
    <t>Cashback Reward</t>
  </si>
  <si>
    <t>Total 280 - Other Revenue</t>
  </si>
  <si>
    <t>404 - Bank Fees</t>
  </si>
  <si>
    <t>404</t>
  </si>
  <si>
    <t>Expense</t>
  </si>
  <si>
    <t>Spend Money</t>
  </si>
  <si>
    <t>NAB</t>
  </si>
  <si>
    <t>GST Free Expenses</t>
  </si>
  <si>
    <t>NAB - NAB Service Fee</t>
  </si>
  <si>
    <t>SERVICE FEE L.S.F CHAPMAN PROP</t>
  </si>
  <si>
    <t>NAB - Service Fee 084-447719348593</t>
  </si>
  <si>
    <t>Total 404 - Bank Fees</t>
  </si>
  <si>
    <t>405 - Borrowing Expense</t>
  </si>
  <si>
    <t>405</t>
  </si>
  <si>
    <t>2024 Adjustment Journal - To amortize borrowing cost &amp; formation cost</t>
  </si>
  <si>
    <t>#417</t>
  </si>
  <si>
    <t>Total 405 - Borrowing Expense</t>
  </si>
  <si>
    <t>412 - Consulting &amp; Accounting</t>
  </si>
  <si>
    <t>412</t>
  </si>
  <si>
    <t>Trekk Advisory</t>
  </si>
  <si>
    <t>GST on Expenses</t>
  </si>
  <si>
    <t>2024 Adjustment Journal - To reallocate Xero subscription</t>
  </si>
  <si>
    <t>Total 412 - Consulting &amp; Accounting</t>
  </si>
  <si>
    <t>417 - Formation Expense</t>
  </si>
  <si>
    <t>417</t>
  </si>
  <si>
    <t>Total 417 - Formation Expense</t>
  </si>
  <si>
    <t>437 - Interest Expense</t>
  </si>
  <si>
    <t>437</t>
  </si>
  <si>
    <t>Chapman Prop - 	INTEREST CHARGED CA INTEREST CHAPMAN PROP</t>
  </si>
  <si>
    <t>Chapman Prop - NTEREST CHARGED CA INTEREST CHAPMAN PROP</t>
  </si>
  <si>
    <t>Chapman Prop - INTEREST CHARGED CA INTEREST CHAPMAN PROP *Require documentation for this transaction*</t>
  </si>
  <si>
    <t>NAB - Interest -  084-447746647150</t>
  </si>
  <si>
    <t xml:space="preserve">NAB - Interest - 084-447739893134
</t>
  </si>
  <si>
    <t>Total 437 - Interest Expense</t>
  </si>
  <si>
    <t>470 - Rates</t>
  </si>
  <si>
    <t>470</t>
  </si>
  <si>
    <t>To record property Settlement - To record property Settlement - Rates adjustment (GST was on the settlement documentation)</t>
  </si>
  <si>
    <t>#408</t>
  </si>
  <si>
    <t>Townsville City Council</t>
  </si>
  <si>
    <t>Total 470 - Rates</t>
  </si>
  <si>
    <t>485 - Subscriptions</t>
  </si>
  <si>
    <t>485</t>
  </si>
  <si>
    <t>Total 485 - Subscriptions</t>
  </si>
  <si>
    <t>500 - Loan- Craig &amp; Janette Chapman 2024</t>
  </si>
  <si>
    <t>500</t>
  </si>
  <si>
    <t>Non-current Liability</t>
  </si>
  <si>
    <t>Formation expenes - Formation expenes</t>
  </si>
  <si>
    <t>#177</t>
  </si>
  <si>
    <t>Craig Chapman - Contribution in to start bank account</t>
  </si>
  <si>
    <t xml:space="preserve">To record property Settlement - To record property Settlement - Deposit Paid </t>
  </si>
  <si>
    <t>To record property Settlement - Payment made by Craig</t>
  </si>
  <si>
    <t>Craig Chapman - Transfer in to cover Legal fees</t>
  </si>
  <si>
    <t>Craig Chapman - Pay back initial deposit into account</t>
  </si>
  <si>
    <t>Craig Chapman - Transfer in from Joint Account</t>
  </si>
  <si>
    <t>Craig Chapman - Transfer in for GST payment</t>
  </si>
  <si>
    <t>Craig Chapman - transfer in to cover payments</t>
  </si>
  <si>
    <t>Craig Chapman - Janette Chapman payment in</t>
  </si>
  <si>
    <t>Janette Chapman</t>
  </si>
  <si>
    <t xml:space="preserve">Craig Chapman - Townsville Car Care K6800588571 GST payment repaid
</t>
  </si>
  <si>
    <t>Janette Chapman - JANETTE CHAPMAN Car and payment</t>
  </si>
  <si>
    <t>Craig Chapman - CRAIG CHAPMAN 2940Trekk</t>
  </si>
  <si>
    <t>Cleared out payment of loan - Cleared out payment of loan</t>
  </si>
  <si>
    <t>#411</t>
  </si>
  <si>
    <t>Total 500 - Loan- Craig &amp; Janette Chapman 2024</t>
  </si>
  <si>
    <t>600 - Trust Bank Account</t>
  </si>
  <si>
    <t>600</t>
  </si>
  <si>
    <t>Bank</t>
  </si>
  <si>
    <t>Craig Chapman</t>
  </si>
  <si>
    <t>Mobbs Marr Legal</t>
  </si>
  <si>
    <t>Shed &amp; Homes</t>
  </si>
  <si>
    <t>AS Constructed Pty Ltd</t>
  </si>
  <si>
    <t>ATO</t>
  </si>
  <si>
    <t>Chapman Prop</t>
  </si>
  <si>
    <t>Loan Account #8593</t>
  </si>
  <si>
    <t>BNC Planning</t>
  </si>
  <si>
    <t>Val Fee</t>
  </si>
  <si>
    <t>Total 600 - Trust Bank Account</t>
  </si>
  <si>
    <t>601 - Cash on Hand</t>
  </si>
  <si>
    <t>601</t>
  </si>
  <si>
    <t>Current Asset</t>
  </si>
  <si>
    <t>2024 Adjustment Journal - To record settlement sum</t>
  </si>
  <si>
    <t>Total 601 - Cash on Hand</t>
  </si>
  <si>
    <t>650 - Borrowing Costs</t>
  </si>
  <si>
    <t>650</t>
  </si>
  <si>
    <t>To record property Settlement - Borrowing Costs</t>
  </si>
  <si>
    <t>NAB - NAB Loan Application fee</t>
  </si>
  <si>
    <t>NAB - Additional transfer of Land fee</t>
  </si>
  <si>
    <t>Total 650 - Borrowing Costs</t>
  </si>
  <si>
    <t>660 - Formation Cost</t>
  </si>
  <si>
    <t>660</t>
  </si>
  <si>
    <t>Total 660 - Formation Cost</t>
  </si>
  <si>
    <t>710 - 4 Rendle St, Aitkenvale</t>
  </si>
  <si>
    <t>710</t>
  </si>
  <si>
    <t>Fixed Asset</t>
  </si>
  <si>
    <t>To record property Settlement - To record property Settlement - Purchase Price</t>
  </si>
  <si>
    <t>To record property Settlement - Legal Expenses</t>
  </si>
  <si>
    <t>To record property Settlement - Pexa Fees</t>
  </si>
  <si>
    <t>To record property Settlement - QLD Titles</t>
  </si>
  <si>
    <t>To record property Settlement - Stamp Duty</t>
  </si>
  <si>
    <t>Mobbs Marr Legal - Legal fees - purchase</t>
  </si>
  <si>
    <t>Total 710 - 4 Rendle St, Aitkenvale</t>
  </si>
  <si>
    <t>720 - Capital Works and Plant</t>
  </si>
  <si>
    <t>720</t>
  </si>
  <si>
    <t>Shed &amp; Homes - Steel Building construction - tax invoice for deposit (GST potion out of bank and Loan funded the GST exclusive amount) - But not drawn down until Feb [edit: removed GST from this transaction and applied it to remaining balance paid in March as the GST was not applied/claimed in January BAS.]</t>
  </si>
  <si>
    <t xml:space="preserve">AS Constructed Pty Ltd - Deposit for Shed construction work - GST portion paid bank account and Exclusive GST portion paid loan But not drawn down until Feb </t>
  </si>
  <si>
    <t>Construction Loan Account #8593 - March Q - Record Shed &amp; Home Construction Payment</t>
  </si>
  <si>
    <t>#349</t>
  </si>
  <si>
    <t>Construction Loan Account #8593 - March Q - less deposit paid 23/01/24</t>
  </si>
  <si>
    <t>AS Constructed Pty Ltd - AS Constructed PTY LV8700031855 1105 Fixit</t>
  </si>
  <si>
    <t>AS Constructed Pty Ltd - less deposit paid 23/01/24</t>
  </si>
  <si>
    <t>BNC Planning - BNC Planning</t>
  </si>
  <si>
    <t>AS Constructed Pty Ltd - GST portion of $28,379.45</t>
  </si>
  <si>
    <t>Construction Loan Account #8593 - June Q - Record Shed &amp; Home Construction Payment</t>
  </si>
  <si>
    <t>#355</t>
  </si>
  <si>
    <t>Construction Loan Account #8593 - June Q - less deposit paid 29/04/24</t>
  </si>
  <si>
    <t>AS Constructed Pty Ltd - GST portion paid separately.</t>
  </si>
  <si>
    <t>Val Fee - VAL FEE - 4 RENDLE ST AITKENVALE 4814 BASE AND SHED STAGE</t>
  </si>
  <si>
    <t>AS Constructed Pty Ltd - GST portion of $37,460.89</t>
  </si>
  <si>
    <t>Total 720 - Capital Works and Plant</t>
  </si>
  <si>
    <t>820 - GST</t>
  </si>
  <si>
    <t>820</t>
  </si>
  <si>
    <t>Current Liability</t>
  </si>
  <si>
    <t>Formation expenes</t>
  </si>
  <si>
    <t>To record property Settlement</t>
  </si>
  <si>
    <t>Construction Loan Account #8593 - March Q</t>
  </si>
  <si>
    <t>ATO - Original Activity Statement for the period ending 29 Feb 24 - GST</t>
  </si>
  <si>
    <t>Construction Loan Account #8593 - June Q</t>
  </si>
  <si>
    <t>ATO - Original Activity Statement for the period ending 31 Mar 24 - GST</t>
  </si>
  <si>
    <t>Craig Chapman Rent - for the period of 01 Jan - 30 June 2024</t>
  </si>
  <si>
    <t>2024 Adjustment Journal - To reconcile BAS accounts</t>
  </si>
  <si>
    <t>Total 820 - GST</t>
  </si>
  <si>
    <t>821 - BAS Amendment</t>
  </si>
  <si>
    <t>821</t>
  </si>
  <si>
    <t>Total 821 - BAS Amendment</t>
  </si>
  <si>
    <t>822 - BAS Payable/(Refundable)</t>
  </si>
  <si>
    <t>822</t>
  </si>
  <si>
    <t>Total 822 - BAS Payable/(Refundable)</t>
  </si>
  <si>
    <t>850 - Suspense</t>
  </si>
  <si>
    <t>850</t>
  </si>
  <si>
    <t>To record property Settlement - To record property Settlement - Loan Settlement</t>
  </si>
  <si>
    <t>Craig Chapman - Transfer in to allow for fees and charges</t>
  </si>
  <si>
    <t>Total 850 - Suspense</t>
  </si>
  <si>
    <t>900 - Beneficiary Account - Craig Chapman</t>
  </si>
  <si>
    <t>900</t>
  </si>
  <si>
    <t>Accounting Distribution - Accounting Distribution</t>
  </si>
  <si>
    <t>#419</t>
  </si>
  <si>
    <t>Total 900 - Beneficiary Account - Craig Chapman</t>
  </si>
  <si>
    <t>910 - NAB Loan 73-989-3134</t>
  </si>
  <si>
    <t>910</t>
  </si>
  <si>
    <t>Total 910 - NAB Loan 73-989-3134</t>
  </si>
  <si>
    <t>920 - NAB Loan 74-664-7150</t>
  </si>
  <si>
    <t>920</t>
  </si>
  <si>
    <t>Total 920 - NAB Loan 74-664-7150</t>
  </si>
  <si>
    <t>930 - NAB Loan 71-934-8593</t>
  </si>
  <si>
    <t>930</t>
  </si>
  <si>
    <t>Construction Loan Account #8593 - March Q - Transfer in For Shed &amp; Home Construction - remaining Cost</t>
  </si>
  <si>
    <t>Loan Account #8593 - transfer in for Shed Construction Work - remaining balance INv1105</t>
  </si>
  <si>
    <t xml:space="preserve">Construction Loan Account #8593 - June Q - Transfer in For Shed &amp; Home Construction - final payment </t>
  </si>
  <si>
    <t xml:space="preserve">Loan Account #8593 - Transfer in for Shed Construction Work </t>
  </si>
  <si>
    <t>Total 930 - NAB Loan 71-934-8593</t>
  </si>
  <si>
    <t>950 - Accounting Distribution to Beneficiaries</t>
  </si>
  <si>
    <t>950</t>
  </si>
  <si>
    <t>Equity</t>
  </si>
  <si>
    <t>Total 950 - Accounting Distribution to Beneficiaries</t>
  </si>
  <si>
    <t>971 - Contribution by Settlor</t>
  </si>
  <si>
    <t>971</t>
  </si>
  <si>
    <t>Total 971 - Contribution by Settlor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</si>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</sst>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;(#,##0.00)"/>
    <numFmt numFmtId="165" formatCode="dd mmm yyyy"/>
    <numFmt numFmtId="166" formatCode="0.00##\%"/>
  </numFmts>
  <fonts count="7">
    <font>
      <name val="Arial"/>
      <color theme="1"/>
      <sz val="9"/>
    </font>
    <font>
      <name val="Arial"/>
      <color theme="1"/>
      <sz val="14"/>
    </font>
    <font>
      <name val="Arial"/>
      <b/>
      <color theme="1"/>
      <sz val="14"/>
    </font>
    <font>
      <name val="Arial"/>
      <color theme="1"/>
      <sz val="12"/>
    </font>
    <font>
      <name val="Arial"/>
      <color theme="1"/>
      <sz val="10"/>
    </font>
    <font>
      <name val="Arial"/>
      <b/>
      <color theme="1"/>
      <sz val="10"/>
    </font>
    <font>
      <name val="Arial"/>
      <b/>
      <color theme="1"/>
      <sz val="9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EBEBEB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true"/>
    <xf numFmtId="0" fontId="2" fillId="0" borderId="0" xfId="0" applyFont="true" applyAlignment="true">
      <alignment vertical="center"/>
    </xf>
    <xf numFmtId="0" fontId="3" fillId="0" borderId="0" xfId="0" applyFont="true"/>
    <xf numFmtId="0" fontId="3" fillId="0" borderId="0" xfId="0" applyFont="true" applyAlignment="true">
      <alignment vertical="center"/>
    </xf>
    <xf numFmtId="0" fontId="4" fillId="0" borderId="0" xfId="0" applyFont="true"/>
    <xf numFmtId="0" fontId="5" fillId="0" borderId="1" xfId="0" applyFont="true" applyBorder="true" applyAlignment="true">
      <alignment horizontal="left" vertical="center"/>
    </xf>
    <xf numFmtId="0" fontId="5" fillId="0" borderId="1" xfId="0" applyFont="true" applyBorder="true" applyAlignment="true">
      <alignment horizontal="right" vertical="center"/>
    </xf>
    <xf numFmtId="0" fontId="5" fillId="0" borderId="0" xfId="0" applyFont="true" applyBorder="true" applyAlignment="true">
      <alignment vertical="center"/>
    </xf>
    <xf numFmtId="0" fontId="0" fillId="0" borderId="0" xfId="0" applyFont="true"/>
    <xf numFmtId="0" fontId="6" fillId="0" borderId="2" xfId="0" applyFont="true" applyBorder="true" applyAlignment="true">
      <alignment vertical="center"/>
    </xf>
    <xf numFmtId="164" fontId="6" fillId="0" borderId="2" xfId="0" applyNumberFormat="true" applyFont="true" applyBorder="true" applyAlignment="true">
      <alignment horizontal="right" vertical="center"/>
    </xf>
    <xf numFmtId="165" fontId="0" fillId="0" borderId="0" xfId="0" applyNumberFormat="true" applyFont="true" applyAlignment="true">
      <alignment horizontal="left" vertical="center"/>
    </xf>
    <xf numFmtId="0" fontId="0" fillId="0" borderId="0" xfId="0" applyFont="true" applyAlignment="true">
      <alignment vertical="center"/>
    </xf>
    <xf numFmtId="164" fontId="0" fillId="0" borderId="0" xfId="0" applyNumberFormat="true" applyFont="true" applyAlignment="true">
      <alignment horizontal="right" vertical="center"/>
    </xf>
    <xf numFmtId="166" fontId="0" fillId="0" borderId="0" xfId="0" applyNumberFormat="true" applyFont="true" applyAlignment="true">
      <alignment horizontal="right" vertical="center"/>
    </xf>
    <xf numFmtId="165" fontId="0" fillId="0" borderId="3" xfId="0" applyNumberFormat="true" applyFont="true" applyBorder="true" applyAlignment="true">
      <alignment horizontal="left" vertical="center"/>
    </xf>
    <xf numFmtId="0" fontId="0" fillId="0" borderId="3" xfId="0" applyFont="true" applyBorder="true" applyAlignment="true">
      <alignment vertical="center"/>
    </xf>
    <xf numFmtId="164" fontId="0" fillId="0" borderId="3" xfId="0" applyNumberFormat="true" applyFont="true" applyBorder="true" applyAlignment="true">
      <alignment horizontal="right" vertical="center"/>
    </xf>
    <xf numFmtId="166" fontId="0" fillId="0" borderId="3" xfId="0" applyNumberFormat="true" applyFont="true" applyBorder="true" applyAlignment="true">
      <alignment horizontal="right" vertical="center"/>
    </xf>
    <xf numFmtId="0" fontId="6" fillId="0" borderId="3" xfId="0" applyFont="true" applyBorder="true" applyAlignment="true">
      <alignment vertical="center"/>
    </xf>
    <xf numFmtId="164" fontId="6" fillId="0" borderId="3" xfId="0" applyNumberFormat="true" applyFont="true" applyBorder="true" applyAlignment="true">
      <alignment horizontal="right" vertical="center"/>
    </xf>
    <xf numFmtId="0" fontId="0" fillId="0" borderId="3" xfId="0" applyFont="true" applyBorder="true" applyAlignment="true">
      <alignment vertical="center" wrapText="true"/>
    </xf>
    <xf numFmtId="0" fontId="6" fillId="2" borderId="2" xfId="0" applyFont="true" applyFill="true" applyBorder="true" applyAlignment="true">
      <alignment vertical="center"/>
    </xf>
    <xf numFmtId="164" fontId="6" fillId="2" borderId="2" xfId="0" applyNumberFormat="true" applyFont="true" applyFill="true" applyBorder="true" applyAlignment="true">
      <alignment horizontal="right" vertical="center"/>
    </xf>
  </cellXfs>
  <cellStyles count="1">
    <cellStyle name="Normal" xfId="0" builtinId="0" customBuiltin="true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L362"/>
  <sheetViews>
    <sheetView tabSelected="1" workbookViewId="0" topLeftCell="A1" zoomScaleNormal="100" zoomScaleSheetLayoutView="60" showGridLines="0" zoomScale="100" view="normal"/>
  </sheetViews>
  <sheetFormatPr defaultRowHeight="12.75"/>
  <cols>
    <col min="1" max="1" width="49.83203125" customWidth="1"/>
    <col min="2" max="2" width="16" customWidth="1"/>
    <col min="3" max="3" width="20.16015625" customWidth="1"/>
    <col min="4" max="4" width="15.16015625" customWidth="1"/>
    <col min="5" max="5" width="100" customWidth="1"/>
    <col min="6" max="6" width="38" customWidth="1"/>
    <col min="7" max="8" width="11.16015625" customWidth="1"/>
    <col min="9" max="9" width="19.33203125" customWidth="1"/>
    <col min="10" max="10" width="10.5" customWidth="1"/>
    <col min="11" max="11" width="11.66015625" customWidth="1"/>
    <col min="12" max="12" width="18.66015625" customWidth="1"/>
  </cols>
  <sheetData>
    <row r="1" ht="16.7" customHeight="true" customFormat="true" s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4.4" customHeight="true" customFormat="true" s="3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ht="14.4" customHeight="true" customFormat="true" s="3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ht="13.35" customHeight="true"/>
    <row r="5" ht="12.1" customHeight="true" customFormat="true" s="5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7" t="s">
        <v>13</v>
      </c>
      <c r="L5" s="6" t="s">
        <v>14</v>
      </c>
    </row>
    <row r="6" ht="13.35" customHeight="true"/>
    <row r="7" ht="12.1" customHeight="true" customFormat="true" s="5">
      <c r="A7" s="8" t="s">
        <v>15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</row>
    <row r="8" ht="10.95" customHeight="true" customFormat="true" s="9">
      <c r="A8" s="10" t="s">
        <v>16</v>
      </c>
      <c r="B8" s="10"/>
      <c r="C8" s="10"/>
      <c r="D8" s="10"/>
      <c r="E8" s="10"/>
      <c r="F8" s="10"/>
      <c r="G8" s="11">
        <v>0</v>
      </c>
      <c r="H8" s="11">
        <v>0</v>
      </c>
      <c r="I8" s="11">
        <f ca="1">(G8 - H8)</f>
        <v>0</v>
      </c>
      <c r="J8" s="11">
        <v>0</v>
      </c>
      <c r="K8" s="10"/>
      <c r="L8" s="10"/>
    </row>
    <row r="9" ht="10.95" customHeight="true" customFormat="true" s="9">
      <c r="A9" s="12">
        <v>45473</v>
      </c>
      <c r="B9" s="13" t="s">
        <v>17</v>
      </c>
      <c r="C9" s="13" t="s">
        <v>18</v>
      </c>
      <c r="D9" s="13" t="s">
        <v>19</v>
      </c>
      <c r="E9" s="13" t="s">
        <v>20</v>
      </c>
      <c r="F9" s="13" t="s">
        <v>21</v>
      </c>
      <c r="G9" s="14">
        <v>0</v>
      </c>
      <c r="H9" s="14">
        <v>12000.0000</v>
      </c>
      <c r="I9" s="14">
        <f ca="1">((I8 + G9) - H9)</f>
        <v>0</v>
      </c>
      <c r="J9" s="14">
        <v>-1200.0000</v>
      </c>
      <c r="K9" s="15">
        <v>10.0000</v>
      </c>
      <c r="L9" s="13" t="s">
        <v>22</v>
      </c>
    </row>
    <row r="10" ht="10.95" customHeight="true" customFormat="true" s="9">
      <c r="A10" s="16">
        <v>45473</v>
      </c>
      <c r="B10" s="17" t="s">
        <v>17</v>
      </c>
      <c r="C10" s="17" t="s">
        <v>18</v>
      </c>
      <c r="D10" s="17" t="s">
        <v>19</v>
      </c>
      <c r="E10" s="17" t="s">
        <v>23</v>
      </c>
      <c r="F10" s="17" t="s">
        <v>24</v>
      </c>
      <c r="G10" s="18">
        <v>0</v>
      </c>
      <c r="H10" s="18">
        <v>6000.0000</v>
      </c>
      <c r="I10" s="18">
        <f ca="1">((I9 + G10) - H10)</f>
        <v>0</v>
      </c>
      <c r="J10" s="18">
        <v>0</v>
      </c>
      <c r="K10" s="19">
        <v>0</v>
      </c>
      <c r="L10" s="17" t="s">
        <v>25</v>
      </c>
    </row>
    <row r="11" ht="10.95" customHeight="true" customFormat="true" s="9">
      <c r="A11" s="20" t="s">
        <v>26</v>
      </c>
      <c r="B11" s="20"/>
      <c r="C11" s="20"/>
      <c r="D11" s="20"/>
      <c r="E11" s="20"/>
      <c r="F11" s="20"/>
      <c r="G11" s="21">
        <f ca="1">SUM(G9:G10)</f>
        <v>0</v>
      </c>
      <c r="H11" s="21">
        <f ca="1">SUM(H9:H10)</f>
        <v>0</v>
      </c>
      <c r="I11" s="21">
        <f ca="1">I10</f>
        <v>0</v>
      </c>
      <c r="J11" s="21">
        <f ca="1">SUM(J9:J10)</f>
        <v>0</v>
      </c>
      <c r="K11" s="20"/>
      <c r="L11" s="20"/>
    </row>
    <row r="12" ht="10.95" customHeight="true" customFormat="true" s="9">
      <c r="A12" s="20" t="s">
        <v>27</v>
      </c>
      <c r="B12" s="20"/>
      <c r="C12" s="20"/>
      <c r="D12" s="20"/>
      <c r="E12" s="20"/>
      <c r="F12" s="20"/>
      <c r="G12" s="21">
        <v>0</v>
      </c>
      <c r="H12" s="21">
        <v>18000.0000</v>
      </c>
      <c r="I12" s="21">
        <v>0</v>
      </c>
      <c r="J12" s="21">
        <v>0</v>
      </c>
      <c r="K12" s="20"/>
      <c r="L12" s="20"/>
    </row>
    <row r="13" ht="10.95" customHeight="true" customFormat="true" s="9">
      <c r="A13" s="10" t="s">
        <v>28</v>
      </c>
      <c r="B13" s="10"/>
      <c r="C13" s="10"/>
      <c r="D13" s="10"/>
      <c r="E13" s="10"/>
      <c r="F13" s="10"/>
      <c r="G13" s="11">
        <v>0</v>
      </c>
      <c r="H13" s="11">
        <v>18000.0000</v>
      </c>
      <c r="I13" s="11">
        <f ca="1">I10</f>
        <v>0</v>
      </c>
      <c r="J13" s="11">
        <v>0</v>
      </c>
      <c r="K13" s="10"/>
      <c r="L13" s="10"/>
    </row>
    <row r="14" ht="13.35" customHeight="true"/>
    <row r="15" ht="12.1" customHeight="true" customFormat="true" s="5">
      <c r="A15" s="8" t="s">
        <v>29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</row>
    <row r="16" ht="10.95" customHeight="true" customFormat="true" s="9">
      <c r="A16" s="10" t="s">
        <v>16</v>
      </c>
      <c r="B16" s="10"/>
      <c r="C16" s="10"/>
      <c r="D16" s="10"/>
      <c r="E16" s="10"/>
      <c r="F16" s="10"/>
      <c r="G16" s="11">
        <v>0</v>
      </c>
      <c r="H16" s="11">
        <v>0</v>
      </c>
      <c r="I16" s="11">
        <f ca="1">(G16 - H16)</f>
        <v>0</v>
      </c>
      <c r="J16" s="11">
        <v>0</v>
      </c>
      <c r="K16" s="10"/>
      <c r="L16" s="10"/>
    </row>
    <row r="17" ht="10.95" customHeight="true" customFormat="true" s="9">
      <c r="A17" s="12">
        <v>45378</v>
      </c>
      <c r="B17" s="13" t="s">
        <v>30</v>
      </c>
      <c r="C17" s="13" t="s">
        <v>31</v>
      </c>
      <c r="D17" s="13" t="s">
        <v>32</v>
      </c>
      <c r="E17" s="13" t="s">
        <v>33</v>
      </c>
      <c r="F17" s="13"/>
      <c r="G17" s="14">
        <v>0</v>
      </c>
      <c r="H17" s="14">
        <v>500.0000</v>
      </c>
      <c r="I17" s="14">
        <f ca="1">((I16 + G17) - H17)</f>
        <v>0</v>
      </c>
      <c r="J17" s="14">
        <v>0</v>
      </c>
      <c r="K17" s="15">
        <v>0</v>
      </c>
      <c r="L17" s="13" t="s">
        <v>25</v>
      </c>
    </row>
    <row r="18" ht="10.95" customHeight="true" customFormat="true" s="9">
      <c r="A18" s="20" t="s">
        <v>34</v>
      </c>
      <c r="B18" s="20"/>
      <c r="C18" s="20"/>
      <c r="D18" s="20"/>
      <c r="E18" s="20"/>
      <c r="F18" s="20"/>
      <c r="G18" s="21">
        <f ca="1">G17</f>
        <v>0</v>
      </c>
      <c r="H18" s="21">
        <f ca="1">H17</f>
        <v>0</v>
      </c>
      <c r="I18" s="21">
        <f ca="1">I17</f>
        <v>0</v>
      </c>
      <c r="J18" s="21">
        <f ca="1">J17</f>
        <v>0</v>
      </c>
      <c r="K18" s="20"/>
      <c r="L18" s="20"/>
    </row>
    <row r="19" ht="10.95" customHeight="true" customFormat="true" s="9">
      <c r="A19" s="20" t="s">
        <v>27</v>
      </c>
      <c r="B19" s="20"/>
      <c r="C19" s="20"/>
      <c r="D19" s="20"/>
      <c r="E19" s="20"/>
      <c r="F19" s="20"/>
      <c r="G19" s="21">
        <v>0</v>
      </c>
      <c r="H19" s="21">
        <v>500.0000</v>
      </c>
      <c r="I19" s="21">
        <v>0</v>
      </c>
      <c r="J19" s="21">
        <v>0</v>
      </c>
      <c r="K19" s="20"/>
      <c r="L19" s="20"/>
    </row>
    <row r="20" ht="10.95" customHeight="true" customFormat="true" s="9">
      <c r="A20" s="10" t="s">
        <v>28</v>
      </c>
      <c r="B20" s="10"/>
      <c r="C20" s="10"/>
      <c r="D20" s="10"/>
      <c r="E20" s="10"/>
      <c r="F20" s="10"/>
      <c r="G20" s="11">
        <v>0</v>
      </c>
      <c r="H20" s="11">
        <v>500.0000</v>
      </c>
      <c r="I20" s="11">
        <f ca="1">I17</f>
        <v>0</v>
      </c>
      <c r="J20" s="11">
        <v>0</v>
      </c>
      <c r="K20" s="10"/>
      <c r="L20" s="10"/>
    </row>
    <row r="21" ht="13.35" customHeight="true"/>
    <row r="22" ht="12.1" customHeight="true" customFormat="true" s="5">
      <c r="A22" s="8" t="s">
        <v>35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</row>
    <row r="23" ht="10.95" customHeight="true" customFormat="true" s="9">
      <c r="A23" s="10" t="s">
        <v>16</v>
      </c>
      <c r="B23" s="10"/>
      <c r="C23" s="10"/>
      <c r="D23" s="10"/>
      <c r="E23" s="10"/>
      <c r="F23" s="10"/>
      <c r="G23" s="11">
        <v>0</v>
      </c>
      <c r="H23" s="11">
        <v>0</v>
      </c>
      <c r="I23" s="11">
        <f ca="1">(G23 - H23)</f>
        <v>0</v>
      </c>
      <c r="J23" s="11">
        <v>0</v>
      </c>
      <c r="K23" s="10"/>
      <c r="L23" s="10"/>
    </row>
    <row r="24" ht="10.95" customHeight="true" customFormat="true" s="9">
      <c r="A24" s="12">
        <v>45351</v>
      </c>
      <c r="B24" s="13" t="s">
        <v>36</v>
      </c>
      <c r="C24" s="13" t="s">
        <v>37</v>
      </c>
      <c r="D24" s="13" t="s">
        <v>38</v>
      </c>
      <c r="E24" s="13" t="s">
        <v>39</v>
      </c>
      <c r="F24" s="13"/>
      <c r="G24" s="14">
        <v>167.0000</v>
      </c>
      <c r="H24" s="14">
        <v>0</v>
      </c>
      <c r="I24" s="14">
        <f ca="1">((I23 + G24) - H24)</f>
        <v>0</v>
      </c>
      <c r="J24" s="14">
        <v>0</v>
      </c>
      <c r="K24" s="15">
        <v>0</v>
      </c>
      <c r="L24" s="13" t="s">
        <v>40</v>
      </c>
    </row>
    <row r="25" ht="10.95" customHeight="true" customFormat="true" s="9">
      <c r="A25" s="16">
        <v>45351</v>
      </c>
      <c r="B25" s="17" t="s">
        <v>36</v>
      </c>
      <c r="C25" s="17" t="s">
        <v>37</v>
      </c>
      <c r="D25" s="17" t="s">
        <v>38</v>
      </c>
      <c r="E25" s="17" t="s">
        <v>39</v>
      </c>
      <c r="F25" s="17"/>
      <c r="G25" s="18">
        <v>30.0000</v>
      </c>
      <c r="H25" s="18">
        <v>0</v>
      </c>
      <c r="I25" s="18">
        <f ca="1">((I24 + G25) - H25)</f>
        <v>0</v>
      </c>
      <c r="J25" s="18">
        <v>0</v>
      </c>
      <c r="K25" s="19">
        <v>0</v>
      </c>
      <c r="L25" s="17" t="s">
        <v>40</v>
      </c>
    </row>
    <row r="26" ht="10.95" customHeight="true" customFormat="true" s="9">
      <c r="A26" s="16">
        <v>45351</v>
      </c>
      <c r="B26" s="17" t="s">
        <v>36</v>
      </c>
      <c r="C26" s="17" t="s">
        <v>37</v>
      </c>
      <c r="D26" s="17" t="s">
        <v>38</v>
      </c>
      <c r="E26" s="17" t="s">
        <v>39</v>
      </c>
      <c r="F26" s="17"/>
      <c r="G26" s="18">
        <v>30.0000</v>
      </c>
      <c r="H26" s="18">
        <v>0</v>
      </c>
      <c r="I26" s="18">
        <f ca="1">((I25 + G26) - H26)</f>
        <v>0</v>
      </c>
      <c r="J26" s="18">
        <v>0</v>
      </c>
      <c r="K26" s="19">
        <v>0</v>
      </c>
      <c r="L26" s="17" t="s">
        <v>40</v>
      </c>
    </row>
    <row r="27" ht="10.95" customHeight="true" customFormat="true" s="9">
      <c r="A27" s="16">
        <v>45379</v>
      </c>
      <c r="B27" s="17" t="s">
        <v>36</v>
      </c>
      <c r="C27" s="17" t="s">
        <v>37</v>
      </c>
      <c r="D27" s="17" t="s">
        <v>38</v>
      </c>
      <c r="E27" s="17" t="s">
        <v>39</v>
      </c>
      <c r="F27" s="17"/>
      <c r="G27" s="18">
        <v>167.0000</v>
      </c>
      <c r="H27" s="18">
        <v>0</v>
      </c>
      <c r="I27" s="18">
        <f ca="1">((I26 + G27) - H27)</f>
        <v>0</v>
      </c>
      <c r="J27" s="18">
        <v>0</v>
      </c>
      <c r="K27" s="19">
        <v>0</v>
      </c>
      <c r="L27" s="17" t="s">
        <v>40</v>
      </c>
    </row>
    <row r="28" ht="10.95" customHeight="true" customFormat="true" s="9">
      <c r="A28" s="16">
        <v>45379</v>
      </c>
      <c r="B28" s="17" t="s">
        <v>36</v>
      </c>
      <c r="C28" s="17" t="s">
        <v>37</v>
      </c>
      <c r="D28" s="17" t="s">
        <v>38</v>
      </c>
      <c r="E28" s="17" t="s">
        <v>39</v>
      </c>
      <c r="F28" s="17"/>
      <c r="G28" s="18">
        <v>30.0000</v>
      </c>
      <c r="H28" s="18">
        <v>0</v>
      </c>
      <c r="I28" s="18">
        <f ca="1">((I27 + G28) - H28)</f>
        <v>0</v>
      </c>
      <c r="J28" s="18">
        <v>0</v>
      </c>
      <c r="K28" s="19">
        <v>0</v>
      </c>
      <c r="L28" s="17" t="s">
        <v>40</v>
      </c>
    </row>
    <row r="29" ht="10.95" customHeight="true" customFormat="true" s="9">
      <c r="A29" s="16">
        <v>45379</v>
      </c>
      <c r="B29" s="17" t="s">
        <v>36</v>
      </c>
      <c r="C29" s="17" t="s">
        <v>37</v>
      </c>
      <c r="D29" s="17" t="s">
        <v>38</v>
      </c>
      <c r="E29" s="17" t="s">
        <v>39</v>
      </c>
      <c r="F29" s="17"/>
      <c r="G29" s="18">
        <v>30.0000</v>
      </c>
      <c r="H29" s="18">
        <v>0</v>
      </c>
      <c r="I29" s="18">
        <f ca="1">((I28 + G29) - H29)</f>
        <v>0</v>
      </c>
      <c r="J29" s="18">
        <v>0</v>
      </c>
      <c r="K29" s="19">
        <v>0</v>
      </c>
      <c r="L29" s="17" t="s">
        <v>40</v>
      </c>
    </row>
    <row r="30" ht="10.95" customHeight="true" customFormat="true" s="9">
      <c r="A30" s="16">
        <v>45412</v>
      </c>
      <c r="B30" s="17" t="s">
        <v>36</v>
      </c>
      <c r="C30" s="17" t="s">
        <v>37</v>
      </c>
      <c r="D30" s="17" t="s">
        <v>38</v>
      </c>
      <c r="E30" s="17" t="s">
        <v>39</v>
      </c>
      <c r="F30" s="17"/>
      <c r="G30" s="18">
        <v>167.0000</v>
      </c>
      <c r="H30" s="18">
        <v>0</v>
      </c>
      <c r="I30" s="18">
        <f ca="1">((I29 + G30) - H30)</f>
        <v>0</v>
      </c>
      <c r="J30" s="18">
        <v>0</v>
      </c>
      <c r="K30" s="19">
        <v>0</v>
      </c>
      <c r="L30" s="17" t="s">
        <v>40</v>
      </c>
    </row>
    <row r="31" ht="10.95" customHeight="true" customFormat="true" s="9">
      <c r="A31" s="16">
        <v>45412</v>
      </c>
      <c r="B31" s="17" t="s">
        <v>36</v>
      </c>
      <c r="C31" s="17" t="s">
        <v>37</v>
      </c>
      <c r="D31" s="17" t="s">
        <v>38</v>
      </c>
      <c r="E31" s="17" t="s">
        <v>39</v>
      </c>
      <c r="F31" s="17"/>
      <c r="G31" s="18">
        <v>30.0000</v>
      </c>
      <c r="H31" s="18">
        <v>0</v>
      </c>
      <c r="I31" s="18">
        <f ca="1">((I30 + G31) - H31)</f>
        <v>0</v>
      </c>
      <c r="J31" s="18">
        <v>0</v>
      </c>
      <c r="K31" s="19">
        <v>0</v>
      </c>
      <c r="L31" s="17" t="s">
        <v>40</v>
      </c>
    </row>
    <row r="32" ht="10.95" customHeight="true" customFormat="true" s="9">
      <c r="A32" s="16">
        <v>45412</v>
      </c>
      <c r="B32" s="17" t="s">
        <v>36</v>
      </c>
      <c r="C32" s="17" t="s">
        <v>37</v>
      </c>
      <c r="D32" s="17" t="s">
        <v>38</v>
      </c>
      <c r="E32" s="17" t="s">
        <v>39</v>
      </c>
      <c r="F32" s="17"/>
      <c r="G32" s="18">
        <v>30.0000</v>
      </c>
      <c r="H32" s="18">
        <v>0</v>
      </c>
      <c r="I32" s="18">
        <f ca="1">((I31 + G32) - H32)</f>
        <v>0</v>
      </c>
      <c r="J32" s="18">
        <v>0</v>
      </c>
      <c r="K32" s="19">
        <v>0</v>
      </c>
      <c r="L32" s="17" t="s">
        <v>40</v>
      </c>
    </row>
    <row r="33" ht="10.95" customHeight="true" customFormat="true" s="9">
      <c r="A33" s="16">
        <v>45443</v>
      </c>
      <c r="B33" s="17" t="s">
        <v>36</v>
      </c>
      <c r="C33" s="17" t="s">
        <v>37</v>
      </c>
      <c r="D33" s="17" t="s">
        <v>38</v>
      </c>
      <c r="E33" s="17" t="s">
        <v>39</v>
      </c>
      <c r="F33" s="17"/>
      <c r="G33" s="18">
        <v>167.0000</v>
      </c>
      <c r="H33" s="18">
        <v>0</v>
      </c>
      <c r="I33" s="18">
        <f ca="1">((I32 + G33) - H33)</f>
        <v>0</v>
      </c>
      <c r="J33" s="18">
        <v>0</v>
      </c>
      <c r="K33" s="19">
        <v>0</v>
      </c>
      <c r="L33" s="17" t="s">
        <v>40</v>
      </c>
    </row>
    <row r="34" ht="10.95" customHeight="true" customFormat="true" s="9">
      <c r="A34" s="16">
        <v>45443</v>
      </c>
      <c r="B34" s="17" t="s">
        <v>36</v>
      </c>
      <c r="C34" s="17" t="s">
        <v>37</v>
      </c>
      <c r="D34" s="17" t="s">
        <v>38</v>
      </c>
      <c r="E34" s="17" t="s">
        <v>41</v>
      </c>
      <c r="F34" s="17" t="s">
        <v>42</v>
      </c>
      <c r="G34" s="18">
        <v>30.0000</v>
      </c>
      <c r="H34" s="18">
        <v>0</v>
      </c>
      <c r="I34" s="18">
        <f ca="1">((I33 + G34) - H34)</f>
        <v>0</v>
      </c>
      <c r="J34" s="18">
        <v>0</v>
      </c>
      <c r="K34" s="19">
        <v>0</v>
      </c>
      <c r="L34" s="17" t="s">
        <v>40</v>
      </c>
    </row>
    <row r="35" ht="10.95" customHeight="true" customFormat="true" s="9">
      <c r="A35" s="16">
        <v>45443</v>
      </c>
      <c r="B35" s="17" t="s">
        <v>36</v>
      </c>
      <c r="C35" s="17" t="s">
        <v>37</v>
      </c>
      <c r="D35" s="17" t="s">
        <v>38</v>
      </c>
      <c r="E35" s="17" t="s">
        <v>41</v>
      </c>
      <c r="F35" s="17" t="s">
        <v>42</v>
      </c>
      <c r="G35" s="18">
        <v>30.0000</v>
      </c>
      <c r="H35" s="18">
        <v>0</v>
      </c>
      <c r="I35" s="18">
        <f ca="1">((I34 + G35) - H35)</f>
        <v>0</v>
      </c>
      <c r="J35" s="18">
        <v>0</v>
      </c>
      <c r="K35" s="19">
        <v>0</v>
      </c>
      <c r="L35" s="17" t="s">
        <v>40</v>
      </c>
    </row>
    <row r="36" ht="10.95" customHeight="true" customFormat="true" s="9">
      <c r="A36" s="16">
        <v>45471</v>
      </c>
      <c r="B36" s="17" t="s">
        <v>36</v>
      </c>
      <c r="C36" s="17" t="s">
        <v>37</v>
      </c>
      <c r="D36" s="17" t="s">
        <v>38</v>
      </c>
      <c r="E36" s="17" t="s">
        <v>39</v>
      </c>
      <c r="F36" s="17"/>
      <c r="G36" s="18">
        <v>30.0000</v>
      </c>
      <c r="H36" s="18">
        <v>0</v>
      </c>
      <c r="I36" s="18">
        <f ca="1">((I35 + G36) - H36)</f>
        <v>0</v>
      </c>
      <c r="J36" s="18">
        <v>0</v>
      </c>
      <c r="K36" s="19">
        <v>0</v>
      </c>
      <c r="L36" s="17" t="s">
        <v>40</v>
      </c>
    </row>
    <row r="37" ht="10.95" customHeight="true" customFormat="true" s="9">
      <c r="A37" s="16">
        <v>45471</v>
      </c>
      <c r="B37" s="17" t="s">
        <v>36</v>
      </c>
      <c r="C37" s="17" t="s">
        <v>37</v>
      </c>
      <c r="D37" s="17" t="s">
        <v>38</v>
      </c>
      <c r="E37" s="17" t="s">
        <v>39</v>
      </c>
      <c r="F37" s="17"/>
      <c r="G37" s="18">
        <v>30.0000</v>
      </c>
      <c r="H37" s="18">
        <v>0</v>
      </c>
      <c r="I37" s="18">
        <f ca="1">((I36 + G37) - H37)</f>
        <v>0</v>
      </c>
      <c r="J37" s="18">
        <v>0</v>
      </c>
      <c r="K37" s="19">
        <v>0</v>
      </c>
      <c r="L37" s="17" t="s">
        <v>40</v>
      </c>
    </row>
    <row r="38" ht="10.95" customHeight="true" customFormat="true" s="9">
      <c r="A38" s="16">
        <v>45471</v>
      </c>
      <c r="B38" s="17" t="s">
        <v>36</v>
      </c>
      <c r="C38" s="17" t="s">
        <v>37</v>
      </c>
      <c r="D38" s="17" t="s">
        <v>38</v>
      </c>
      <c r="E38" s="17" t="s">
        <v>43</v>
      </c>
      <c r="F38" s="17"/>
      <c r="G38" s="18">
        <v>167.0000</v>
      </c>
      <c r="H38" s="18">
        <v>0</v>
      </c>
      <c r="I38" s="18">
        <f ca="1">((I37 + G38) - H38)</f>
        <v>0</v>
      </c>
      <c r="J38" s="18">
        <v>0</v>
      </c>
      <c r="K38" s="19">
        <v>0</v>
      </c>
      <c r="L38" s="17" t="s">
        <v>40</v>
      </c>
    </row>
    <row r="39" ht="10.95" customHeight="true" customFormat="true" s="9">
      <c r="A39" s="20" t="s">
        <v>44</v>
      </c>
      <c r="B39" s="20"/>
      <c r="C39" s="20"/>
      <c r="D39" s="20"/>
      <c r="E39" s="20"/>
      <c r="F39" s="20"/>
      <c r="G39" s="21">
        <f ca="1">SUM(G24:G38)</f>
        <v>0</v>
      </c>
      <c r="H39" s="21">
        <f ca="1">SUM(H24:H38)</f>
        <v>0</v>
      </c>
      <c r="I39" s="21">
        <f ca="1">I38</f>
        <v>0</v>
      </c>
      <c r="J39" s="21">
        <f ca="1">SUM(J24:J38)</f>
        <v>0</v>
      </c>
      <c r="K39" s="20"/>
      <c r="L39" s="20"/>
    </row>
    <row r="40" ht="10.95" customHeight="true" customFormat="true" s="9">
      <c r="A40" s="20" t="s">
        <v>27</v>
      </c>
      <c r="B40" s="20"/>
      <c r="C40" s="20"/>
      <c r="D40" s="20"/>
      <c r="E40" s="20"/>
      <c r="F40" s="20"/>
      <c r="G40" s="21">
        <v>1135.0000</v>
      </c>
      <c r="H40" s="21">
        <v>0</v>
      </c>
      <c r="I40" s="21">
        <v>0</v>
      </c>
      <c r="J40" s="21">
        <v>0</v>
      </c>
      <c r="K40" s="20"/>
      <c r="L40" s="20"/>
    </row>
    <row r="41" ht="10.95" customHeight="true" customFormat="true" s="9">
      <c r="A41" s="10" t="s">
        <v>28</v>
      </c>
      <c r="B41" s="10"/>
      <c r="C41" s="10"/>
      <c r="D41" s="10"/>
      <c r="E41" s="10"/>
      <c r="F41" s="10"/>
      <c r="G41" s="11">
        <v>1135.0000</v>
      </c>
      <c r="H41" s="11">
        <v>0</v>
      </c>
      <c r="I41" s="11">
        <f ca="1">I38</f>
        <v>0</v>
      </c>
      <c r="J41" s="11">
        <v>0</v>
      </c>
      <c r="K41" s="10"/>
      <c r="L41" s="10"/>
    </row>
    <row r="42" ht="13.35" customHeight="true"/>
    <row r="43" ht="12.1" customHeight="true" customFormat="true" s="5">
      <c r="A43" s="8" t="s">
        <v>45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</row>
    <row r="44" ht="10.95" customHeight="true" customFormat="true" s="9">
      <c r="A44" s="10" t="s">
        <v>16</v>
      </c>
      <c r="B44" s="10"/>
      <c r="C44" s="10"/>
      <c r="D44" s="10"/>
      <c r="E44" s="10"/>
      <c r="F44" s="10"/>
      <c r="G44" s="11">
        <v>0</v>
      </c>
      <c r="H44" s="11">
        <v>0</v>
      </c>
      <c r="I44" s="11">
        <f ca="1">(G44 - H44)</f>
        <v>0</v>
      </c>
      <c r="J44" s="11">
        <v>0</v>
      </c>
      <c r="K44" s="10"/>
      <c r="L44" s="10"/>
    </row>
    <row r="45" ht="10.95" customHeight="true" customFormat="true" s="9">
      <c r="A45" s="12">
        <v>45473</v>
      </c>
      <c r="B45" s="13" t="s">
        <v>46</v>
      </c>
      <c r="C45" s="13" t="s">
        <v>37</v>
      </c>
      <c r="D45" s="13" t="s">
        <v>19</v>
      </c>
      <c r="E45" s="13" t="s">
        <v>47</v>
      </c>
      <c r="F45" s="13" t="s">
        <v>48</v>
      </c>
      <c r="G45" s="14">
        <v>670.6500</v>
      </c>
      <c r="H45" s="14">
        <v>0</v>
      </c>
      <c r="I45" s="14">
        <f ca="1">((I44 + G45) - H45)</f>
        <v>0</v>
      </c>
      <c r="J45" s="14">
        <v>0</v>
      </c>
      <c r="K45" s="15">
        <v>0</v>
      </c>
      <c r="L45" s="13" t="s">
        <v>25</v>
      </c>
    </row>
    <row r="46" ht="10.95" customHeight="true" customFormat="true" s="9">
      <c r="A46" s="20" t="s">
        <v>49</v>
      </c>
      <c r="B46" s="20"/>
      <c r="C46" s="20"/>
      <c r="D46" s="20"/>
      <c r="E46" s="20"/>
      <c r="F46" s="20"/>
      <c r="G46" s="21">
        <f ca="1">G45</f>
        <v>0</v>
      </c>
      <c r="H46" s="21">
        <f ca="1">H45</f>
        <v>0</v>
      </c>
      <c r="I46" s="21">
        <f ca="1">I45</f>
        <v>0</v>
      </c>
      <c r="J46" s="21">
        <f ca="1">J45</f>
        <v>0</v>
      </c>
      <c r="K46" s="20"/>
      <c r="L46" s="20"/>
    </row>
    <row r="47" ht="10.95" customHeight="true" customFormat="true" s="9">
      <c r="A47" s="20" t="s">
        <v>27</v>
      </c>
      <c r="B47" s="20"/>
      <c r="C47" s="20"/>
      <c r="D47" s="20"/>
      <c r="E47" s="20"/>
      <c r="F47" s="20"/>
      <c r="G47" s="21">
        <v>670.6500</v>
      </c>
      <c r="H47" s="21">
        <v>0</v>
      </c>
      <c r="I47" s="21">
        <v>0</v>
      </c>
      <c r="J47" s="21">
        <v>0</v>
      </c>
      <c r="K47" s="20"/>
      <c r="L47" s="20"/>
    </row>
    <row r="48" ht="10.95" customHeight="true" customFormat="true" s="9">
      <c r="A48" s="10" t="s">
        <v>28</v>
      </c>
      <c r="B48" s="10"/>
      <c r="C48" s="10"/>
      <c r="D48" s="10"/>
      <c r="E48" s="10"/>
      <c r="F48" s="10"/>
      <c r="G48" s="11">
        <v>670.6500</v>
      </c>
      <c r="H48" s="11">
        <v>0</v>
      </c>
      <c r="I48" s="11">
        <f ca="1">I45</f>
        <v>0</v>
      </c>
      <c r="J48" s="11">
        <v>0</v>
      </c>
      <c r="K48" s="10"/>
      <c r="L48" s="10"/>
    </row>
    <row r="49" ht="13.35" customHeight="true"/>
    <row r="50" ht="12.1" customHeight="true" customFormat="true" s="5">
      <c r="A50" s="8" t="s">
        <v>50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</row>
    <row r="51" ht="10.95" customHeight="true" customFormat="true" s="9">
      <c r="A51" s="10" t="s">
        <v>16</v>
      </c>
      <c r="B51" s="10"/>
      <c r="C51" s="10"/>
      <c r="D51" s="10"/>
      <c r="E51" s="10"/>
      <c r="F51" s="10"/>
      <c r="G51" s="11">
        <v>0</v>
      </c>
      <c r="H51" s="11">
        <v>0</v>
      </c>
      <c r="I51" s="11">
        <f ca="1">(G51 - H51)</f>
        <v>0</v>
      </c>
      <c r="J51" s="11">
        <v>0</v>
      </c>
      <c r="K51" s="10"/>
      <c r="L51" s="10"/>
    </row>
    <row r="52" ht="10.95" customHeight="true" customFormat="true" s="9">
      <c r="A52" s="12">
        <v>45334</v>
      </c>
      <c r="B52" s="13" t="s">
        <v>51</v>
      </c>
      <c r="C52" s="13" t="s">
        <v>37</v>
      </c>
      <c r="D52" s="13" t="s">
        <v>38</v>
      </c>
      <c r="E52" s="13" t="s">
        <v>52</v>
      </c>
      <c r="F52" s="13"/>
      <c r="G52" s="14">
        <v>604.5500</v>
      </c>
      <c r="H52" s="14">
        <v>0</v>
      </c>
      <c r="I52" s="14">
        <f ca="1">((I51 + G52) - H52)</f>
        <v>0</v>
      </c>
      <c r="J52" s="14">
        <v>60.4500</v>
      </c>
      <c r="K52" s="15">
        <v>10.0000</v>
      </c>
      <c r="L52" s="13" t="s">
        <v>53</v>
      </c>
    </row>
    <row r="53" ht="10.95" customHeight="true" customFormat="true" s="9">
      <c r="A53" s="16">
        <v>45471</v>
      </c>
      <c r="B53" s="17" t="s">
        <v>51</v>
      </c>
      <c r="C53" s="17" t="s">
        <v>37</v>
      </c>
      <c r="D53" s="17" t="s">
        <v>38</v>
      </c>
      <c r="E53" s="17" t="s">
        <v>52</v>
      </c>
      <c r="F53" s="17"/>
      <c r="G53" s="18">
        <v>700.0000</v>
      </c>
      <c r="H53" s="18">
        <v>0</v>
      </c>
      <c r="I53" s="18">
        <f ca="1">((I52 + G53) - H53)</f>
        <v>0</v>
      </c>
      <c r="J53" s="18">
        <v>70.0000</v>
      </c>
      <c r="K53" s="19">
        <v>10.0000</v>
      </c>
      <c r="L53" s="17" t="s">
        <v>53</v>
      </c>
    </row>
    <row r="54" ht="10.95" customHeight="true" customFormat="true" s="9">
      <c r="A54" s="16">
        <v>45473</v>
      </c>
      <c r="B54" s="17" t="s">
        <v>51</v>
      </c>
      <c r="C54" s="17" t="s">
        <v>37</v>
      </c>
      <c r="D54" s="17" t="s">
        <v>19</v>
      </c>
      <c r="E54" s="17" t="s">
        <v>54</v>
      </c>
      <c r="F54" s="17" t="s">
        <v>48</v>
      </c>
      <c r="G54" s="18">
        <v>0</v>
      </c>
      <c r="H54" s="18">
        <v>104.5500</v>
      </c>
      <c r="I54" s="18">
        <f ca="1">((I53 + G54) - H54)</f>
        <v>0</v>
      </c>
      <c r="J54" s="18">
        <v>0</v>
      </c>
      <c r="K54" s="19">
        <v>0</v>
      </c>
      <c r="L54" s="17" t="s">
        <v>25</v>
      </c>
    </row>
    <row r="55" ht="10.95" customHeight="true" customFormat="true" s="9">
      <c r="A55" s="20" t="s">
        <v>55</v>
      </c>
      <c r="B55" s="20"/>
      <c r="C55" s="20"/>
      <c r="D55" s="20"/>
      <c r="E55" s="20"/>
      <c r="F55" s="20"/>
      <c r="G55" s="21">
        <f ca="1">SUM(G52:G54)</f>
        <v>0</v>
      </c>
      <c r="H55" s="21">
        <f ca="1">SUM(H52:H54)</f>
        <v>0</v>
      </c>
      <c r="I55" s="21">
        <f ca="1">I54</f>
        <v>0</v>
      </c>
      <c r="J55" s="21">
        <f ca="1">SUM(J52:J54)</f>
        <v>0</v>
      </c>
      <c r="K55" s="20"/>
      <c r="L55" s="20"/>
    </row>
    <row r="56" ht="10.95" customHeight="true" customFormat="true" s="9">
      <c r="A56" s="20" t="s">
        <v>27</v>
      </c>
      <c r="B56" s="20"/>
      <c r="C56" s="20"/>
      <c r="D56" s="20"/>
      <c r="E56" s="20"/>
      <c r="F56" s="20"/>
      <c r="G56" s="21">
        <v>1200.0000</v>
      </c>
      <c r="H56" s="21">
        <v>0</v>
      </c>
      <c r="I56" s="21">
        <v>0</v>
      </c>
      <c r="J56" s="21">
        <v>0</v>
      </c>
      <c r="K56" s="20"/>
      <c r="L56" s="20"/>
    </row>
    <row r="57" ht="10.95" customHeight="true" customFormat="true" s="9">
      <c r="A57" s="10" t="s">
        <v>28</v>
      </c>
      <c r="B57" s="10"/>
      <c r="C57" s="10"/>
      <c r="D57" s="10"/>
      <c r="E57" s="10"/>
      <c r="F57" s="10"/>
      <c r="G57" s="11">
        <v>1200.0000</v>
      </c>
      <c r="H57" s="11">
        <v>0</v>
      </c>
      <c r="I57" s="11">
        <f ca="1">I54</f>
        <v>0</v>
      </c>
      <c r="J57" s="11">
        <v>0</v>
      </c>
      <c r="K57" s="10"/>
      <c r="L57" s="10"/>
    </row>
    <row r="58" ht="13.35" customHeight="true"/>
    <row r="59" ht="12.1" customHeight="true" customFormat="true" s="5">
      <c r="A59" s="8" t="s">
        <v>56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</row>
    <row r="60" ht="10.95" customHeight="true" customFormat="true" s="9">
      <c r="A60" s="10" t="s">
        <v>16</v>
      </c>
      <c r="B60" s="10"/>
      <c r="C60" s="10"/>
      <c r="D60" s="10"/>
      <c r="E60" s="10"/>
      <c r="F60" s="10"/>
      <c r="G60" s="11">
        <v>0</v>
      </c>
      <c r="H60" s="11">
        <v>0</v>
      </c>
      <c r="I60" s="11">
        <f ca="1">(G60 - H60)</f>
        <v>0</v>
      </c>
      <c r="J60" s="11">
        <v>0</v>
      </c>
      <c r="K60" s="10"/>
      <c r="L60" s="10"/>
    </row>
    <row r="61" ht="10.95" customHeight="true" customFormat="true" s="9">
      <c r="A61" s="12">
        <v>45473</v>
      </c>
      <c r="B61" s="13" t="s">
        <v>57</v>
      </c>
      <c r="C61" s="13" t="s">
        <v>37</v>
      </c>
      <c r="D61" s="13" t="s">
        <v>19</v>
      </c>
      <c r="E61" s="13" t="s">
        <v>47</v>
      </c>
      <c r="F61" s="13" t="s">
        <v>48</v>
      </c>
      <c r="G61" s="14">
        <v>218.1900</v>
      </c>
      <c r="H61" s="14">
        <v>0</v>
      </c>
      <c r="I61" s="14">
        <f ca="1">((I60 + G61) - H61)</f>
        <v>0</v>
      </c>
      <c r="J61" s="14">
        <v>0</v>
      </c>
      <c r="K61" s="15">
        <v>0</v>
      </c>
      <c r="L61" s="13" t="s">
        <v>25</v>
      </c>
    </row>
    <row r="62" ht="10.95" customHeight="true" customFormat="true" s="9">
      <c r="A62" s="20" t="s">
        <v>58</v>
      </c>
      <c r="B62" s="20"/>
      <c r="C62" s="20"/>
      <c r="D62" s="20"/>
      <c r="E62" s="20"/>
      <c r="F62" s="20"/>
      <c r="G62" s="21">
        <f ca="1">G61</f>
        <v>0</v>
      </c>
      <c r="H62" s="21">
        <f ca="1">H61</f>
        <v>0</v>
      </c>
      <c r="I62" s="21">
        <f ca="1">I61</f>
        <v>0</v>
      </c>
      <c r="J62" s="21">
        <f ca="1">J61</f>
        <v>0</v>
      </c>
      <c r="K62" s="20"/>
      <c r="L62" s="20"/>
    </row>
    <row r="63" ht="10.95" customHeight="true" customFormat="true" s="9">
      <c r="A63" s="20" t="s">
        <v>27</v>
      </c>
      <c r="B63" s="20"/>
      <c r="C63" s="20"/>
      <c r="D63" s="20"/>
      <c r="E63" s="20"/>
      <c r="F63" s="20"/>
      <c r="G63" s="21">
        <v>218.1900</v>
      </c>
      <c r="H63" s="21">
        <v>0</v>
      </c>
      <c r="I63" s="21">
        <v>0</v>
      </c>
      <c r="J63" s="21">
        <v>0</v>
      </c>
      <c r="K63" s="20"/>
      <c r="L63" s="20"/>
    </row>
    <row r="64" ht="10.95" customHeight="true" customFormat="true" s="9">
      <c r="A64" s="10" t="s">
        <v>28</v>
      </c>
      <c r="B64" s="10"/>
      <c r="C64" s="10"/>
      <c r="D64" s="10"/>
      <c r="E64" s="10"/>
      <c r="F64" s="10"/>
      <c r="G64" s="11">
        <v>218.1900</v>
      </c>
      <c r="H64" s="11">
        <v>0</v>
      </c>
      <c r="I64" s="11">
        <f ca="1">I61</f>
        <v>0</v>
      </c>
      <c r="J64" s="11">
        <v>0</v>
      </c>
      <c r="K64" s="10"/>
      <c r="L64" s="10"/>
    </row>
    <row r="65" ht="13.35" customHeight="true"/>
    <row r="66" ht="12.1" customHeight="true" customFormat="true" s="5">
      <c r="A66" s="8" t="s">
        <v>59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</row>
    <row r="67" ht="10.95" customHeight="true" customFormat="true" s="9">
      <c r="A67" s="10" t="s">
        <v>16</v>
      </c>
      <c r="B67" s="10"/>
      <c r="C67" s="10"/>
      <c r="D67" s="10"/>
      <c r="E67" s="10"/>
      <c r="F67" s="10"/>
      <c r="G67" s="11">
        <v>0</v>
      </c>
      <c r="H67" s="11">
        <v>0</v>
      </c>
      <c r="I67" s="11">
        <f ca="1">(G67 - H67)</f>
        <v>0</v>
      </c>
      <c r="J67" s="11">
        <v>0</v>
      </c>
      <c r="K67" s="10"/>
      <c r="L67" s="10"/>
    </row>
    <row r="68" ht="10.95" customHeight="true" customFormat="true" s="9">
      <c r="A68" s="12">
        <v>45342</v>
      </c>
      <c r="B68" s="13" t="s">
        <v>60</v>
      </c>
      <c r="C68" s="13" t="s">
        <v>37</v>
      </c>
      <c r="D68" s="13" t="s">
        <v>38</v>
      </c>
      <c r="E68" s="13" t="s">
        <v>61</v>
      </c>
      <c r="F68" s="13"/>
      <c r="G68" s="14">
        <v>2271.3800</v>
      </c>
      <c r="H68" s="14">
        <v>0</v>
      </c>
      <c r="I68" s="14">
        <f ca="1">((I67 + G68) - H68)</f>
        <v>0</v>
      </c>
      <c r="J68" s="14">
        <v>0</v>
      </c>
      <c r="K68" s="15">
        <v>0</v>
      </c>
      <c r="L68" s="13" t="s">
        <v>40</v>
      </c>
    </row>
    <row r="69" ht="10.95" customHeight="true" customFormat="true" s="9">
      <c r="A69" s="16">
        <v>45342</v>
      </c>
      <c r="B69" s="17" t="s">
        <v>60</v>
      </c>
      <c r="C69" s="17" t="s">
        <v>37</v>
      </c>
      <c r="D69" s="17" t="s">
        <v>38</v>
      </c>
      <c r="E69" s="17" t="s">
        <v>61</v>
      </c>
      <c r="F69" s="17"/>
      <c r="G69" s="18">
        <v>135.2000</v>
      </c>
      <c r="H69" s="18">
        <v>0</v>
      </c>
      <c r="I69" s="18">
        <f ca="1">((I68 + G69) - H69)</f>
        <v>0</v>
      </c>
      <c r="J69" s="18">
        <v>0</v>
      </c>
      <c r="K69" s="19">
        <v>0</v>
      </c>
      <c r="L69" s="17" t="s">
        <v>40</v>
      </c>
    </row>
    <row r="70" ht="10.95" customHeight="true" customFormat="true" s="9">
      <c r="A70" s="16">
        <v>45371</v>
      </c>
      <c r="B70" s="17" t="s">
        <v>60</v>
      </c>
      <c r="C70" s="17" t="s">
        <v>37</v>
      </c>
      <c r="D70" s="17" t="s">
        <v>38</v>
      </c>
      <c r="E70" s="17" t="s">
        <v>61</v>
      </c>
      <c r="F70" s="17"/>
      <c r="G70" s="18">
        <v>2060.1100</v>
      </c>
      <c r="H70" s="18">
        <v>0</v>
      </c>
      <c r="I70" s="18">
        <f ca="1">((I69 + G70) - H70)</f>
        <v>0</v>
      </c>
      <c r="J70" s="18">
        <v>0</v>
      </c>
      <c r="K70" s="19">
        <v>0</v>
      </c>
      <c r="L70" s="17" t="s">
        <v>40</v>
      </c>
    </row>
    <row r="71" ht="10.95" customHeight="true" customFormat="true" s="9">
      <c r="A71" s="16">
        <v>45371</v>
      </c>
      <c r="B71" s="17" t="s">
        <v>60</v>
      </c>
      <c r="C71" s="17" t="s">
        <v>37</v>
      </c>
      <c r="D71" s="17" t="s">
        <v>38</v>
      </c>
      <c r="E71" s="17" t="s">
        <v>61</v>
      </c>
      <c r="F71" s="17"/>
      <c r="G71" s="18">
        <v>122.9900</v>
      </c>
      <c r="H71" s="18">
        <v>0</v>
      </c>
      <c r="I71" s="18">
        <f ca="1">((I70 + G71) - H71)</f>
        <v>0</v>
      </c>
      <c r="J71" s="18">
        <v>0</v>
      </c>
      <c r="K71" s="19">
        <v>0</v>
      </c>
      <c r="L71" s="17" t="s">
        <v>40</v>
      </c>
    </row>
    <row r="72" ht="10.95" customHeight="true" customFormat="true" s="9">
      <c r="A72" s="16">
        <v>45404</v>
      </c>
      <c r="B72" s="17" t="s">
        <v>60</v>
      </c>
      <c r="C72" s="17" t="s">
        <v>37</v>
      </c>
      <c r="D72" s="17" t="s">
        <v>38</v>
      </c>
      <c r="E72" s="17" t="s">
        <v>62</v>
      </c>
      <c r="F72" s="17"/>
      <c r="G72" s="18">
        <v>2344.2600</v>
      </c>
      <c r="H72" s="18">
        <v>0</v>
      </c>
      <c r="I72" s="18">
        <f ca="1">((I71 + G72) - H72)</f>
        <v>0</v>
      </c>
      <c r="J72" s="18">
        <v>0</v>
      </c>
      <c r="K72" s="19">
        <v>0</v>
      </c>
      <c r="L72" s="17" t="s">
        <v>40</v>
      </c>
    </row>
    <row r="73" ht="10.95" customHeight="true" customFormat="true" s="9">
      <c r="A73" s="16">
        <v>45404</v>
      </c>
      <c r="B73" s="17" t="s">
        <v>60</v>
      </c>
      <c r="C73" s="17" t="s">
        <v>37</v>
      </c>
      <c r="D73" s="17" t="s">
        <v>38</v>
      </c>
      <c r="E73" s="17" t="s">
        <v>61</v>
      </c>
      <c r="F73" s="17"/>
      <c r="G73" s="18">
        <v>139.9500</v>
      </c>
      <c r="H73" s="18">
        <v>0</v>
      </c>
      <c r="I73" s="18">
        <f ca="1">((I72 + G73) - H73)</f>
        <v>0</v>
      </c>
      <c r="J73" s="18">
        <v>0</v>
      </c>
      <c r="K73" s="19">
        <v>0</v>
      </c>
      <c r="L73" s="17" t="s">
        <v>40</v>
      </c>
    </row>
    <row r="74" ht="10.95" customHeight="true" customFormat="true" s="9">
      <c r="A74" s="16">
        <v>45404</v>
      </c>
      <c r="B74" s="17" t="s">
        <v>60</v>
      </c>
      <c r="C74" s="17" t="s">
        <v>37</v>
      </c>
      <c r="D74" s="17" t="s">
        <v>38</v>
      </c>
      <c r="E74" s="17" t="s">
        <v>63</v>
      </c>
      <c r="F74" s="17"/>
      <c r="G74" s="18">
        <v>734.9400</v>
      </c>
      <c r="H74" s="18">
        <v>0</v>
      </c>
      <c r="I74" s="18">
        <f ca="1">((I73 + G74) - H74)</f>
        <v>0</v>
      </c>
      <c r="J74" s="18">
        <v>0</v>
      </c>
      <c r="K74" s="19">
        <v>0</v>
      </c>
      <c r="L74" s="17" t="s">
        <v>40</v>
      </c>
    </row>
    <row r="75" ht="10.95" customHeight="true" customFormat="true" s="9">
      <c r="A75" s="16">
        <v>45433</v>
      </c>
      <c r="B75" s="17" t="s">
        <v>60</v>
      </c>
      <c r="C75" s="17" t="s">
        <v>37</v>
      </c>
      <c r="D75" s="17" t="s">
        <v>38</v>
      </c>
      <c r="E75" s="17" t="s">
        <v>61</v>
      </c>
      <c r="F75" s="17"/>
      <c r="G75" s="18">
        <v>2060.1100</v>
      </c>
      <c r="H75" s="18">
        <v>0</v>
      </c>
      <c r="I75" s="18">
        <f ca="1">((I74 + G75) - H75)</f>
        <v>0</v>
      </c>
      <c r="J75" s="18">
        <v>0</v>
      </c>
      <c r="K75" s="19">
        <v>0</v>
      </c>
      <c r="L75" s="17" t="s">
        <v>40</v>
      </c>
    </row>
    <row r="76" ht="10.95" customHeight="true" customFormat="true" s="9">
      <c r="A76" s="16">
        <v>45433</v>
      </c>
      <c r="B76" s="17" t="s">
        <v>60</v>
      </c>
      <c r="C76" s="17" t="s">
        <v>37</v>
      </c>
      <c r="D76" s="17" t="s">
        <v>38</v>
      </c>
      <c r="E76" s="17" t="s">
        <v>61</v>
      </c>
      <c r="F76" s="17"/>
      <c r="G76" s="18">
        <v>122.9900</v>
      </c>
      <c r="H76" s="18">
        <v>0</v>
      </c>
      <c r="I76" s="18">
        <f ca="1">((I75 + G76) - H76)</f>
        <v>0</v>
      </c>
      <c r="J76" s="18">
        <v>0</v>
      </c>
      <c r="K76" s="19">
        <v>0</v>
      </c>
      <c r="L76" s="17" t="s">
        <v>40</v>
      </c>
    </row>
    <row r="77" ht="10.95" customHeight="true" customFormat="true" s="9">
      <c r="A77" s="16">
        <v>45463</v>
      </c>
      <c r="B77" s="17" t="s">
        <v>60</v>
      </c>
      <c r="C77" s="17" t="s">
        <v>37</v>
      </c>
      <c r="D77" s="17" t="s">
        <v>38</v>
      </c>
      <c r="E77" s="17" t="s">
        <v>64</v>
      </c>
      <c r="F77" s="17"/>
      <c r="G77" s="18">
        <v>127.2300</v>
      </c>
      <c r="H77" s="18">
        <v>0</v>
      </c>
      <c r="I77" s="18">
        <f ca="1">((I76 + G77) - H77)</f>
        <v>0</v>
      </c>
      <c r="J77" s="18">
        <v>0</v>
      </c>
      <c r="K77" s="19">
        <v>0</v>
      </c>
      <c r="L77" s="17" t="s">
        <v>40</v>
      </c>
    </row>
    <row r="78" ht="21.3" customHeight="true" customFormat="true" s="9">
      <c r="A78" s="16">
        <v>45463</v>
      </c>
      <c r="B78" s="17" t="s">
        <v>60</v>
      </c>
      <c r="C78" s="17" t="s">
        <v>37</v>
      </c>
      <c r="D78" s="17" t="s">
        <v>38</v>
      </c>
      <c r="E78" s="22" t="s">
        <v>65</v>
      </c>
      <c r="F78" s="17"/>
      <c r="G78" s="18">
        <v>2131.1500</v>
      </c>
      <c r="H78" s="18">
        <v>0</v>
      </c>
      <c r="I78" s="18">
        <f ca="1">((I77 + G78) - H78)</f>
        <v>0</v>
      </c>
      <c r="J78" s="18">
        <v>0</v>
      </c>
      <c r="K78" s="19">
        <v>0</v>
      </c>
      <c r="L78" s="17" t="s">
        <v>40</v>
      </c>
    </row>
    <row r="79" ht="10.95" customHeight="true" customFormat="true" s="9">
      <c r="A79" s="20" t="s">
        <v>66</v>
      </c>
      <c r="B79" s="20"/>
      <c r="C79" s="20"/>
      <c r="D79" s="20"/>
      <c r="E79" s="20"/>
      <c r="F79" s="20"/>
      <c r="G79" s="21">
        <f ca="1">SUM(G68:G78)</f>
        <v>0</v>
      </c>
      <c r="H79" s="21">
        <f ca="1">SUM(H68:H78)</f>
        <v>0</v>
      </c>
      <c r="I79" s="21">
        <f ca="1">I78</f>
        <v>0</v>
      </c>
      <c r="J79" s="21">
        <f ca="1">SUM(J68:J78)</f>
        <v>0</v>
      </c>
      <c r="K79" s="20"/>
      <c r="L79" s="20"/>
    </row>
    <row r="80" ht="10.95" customHeight="true" customFormat="true" s="9">
      <c r="A80" s="20" t="s">
        <v>27</v>
      </c>
      <c r="B80" s="20"/>
      <c r="C80" s="20"/>
      <c r="D80" s="20"/>
      <c r="E80" s="20"/>
      <c r="F80" s="20"/>
      <c r="G80" s="21">
        <v>12250.3100</v>
      </c>
      <c r="H80" s="21">
        <v>0</v>
      </c>
      <c r="I80" s="21">
        <v>0</v>
      </c>
      <c r="J80" s="21">
        <v>0</v>
      </c>
      <c r="K80" s="20"/>
      <c r="L80" s="20"/>
    </row>
    <row r="81" ht="10.95" customHeight="true" customFormat="true" s="9">
      <c r="A81" s="10" t="s">
        <v>28</v>
      </c>
      <c r="B81" s="10"/>
      <c r="C81" s="10"/>
      <c r="D81" s="10"/>
      <c r="E81" s="10"/>
      <c r="F81" s="10"/>
      <c r="G81" s="11">
        <v>12250.3100</v>
      </c>
      <c r="H81" s="11">
        <v>0</v>
      </c>
      <c r="I81" s="11">
        <f ca="1">I78</f>
        <v>0</v>
      </c>
      <c r="J81" s="11">
        <v>0</v>
      </c>
      <c r="K81" s="10"/>
      <c r="L81" s="10"/>
    </row>
    <row r="82" ht="13.35" customHeight="true"/>
    <row r="83" ht="12.1" customHeight="true" customFormat="true" s="5">
      <c r="A83" s="8" t="s">
        <v>67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</row>
    <row r="84" ht="10.95" customHeight="true" customFormat="true" s="9">
      <c r="A84" s="10" t="s">
        <v>16</v>
      </c>
      <c r="B84" s="10"/>
      <c r="C84" s="10"/>
      <c r="D84" s="10"/>
      <c r="E84" s="10"/>
      <c r="F84" s="10"/>
      <c r="G84" s="11">
        <v>0</v>
      </c>
      <c r="H84" s="11">
        <v>0</v>
      </c>
      <c r="I84" s="11">
        <f ca="1">(G84 - H84)</f>
        <v>0</v>
      </c>
      <c r="J84" s="11">
        <v>0</v>
      </c>
      <c r="K84" s="10"/>
      <c r="L84" s="10"/>
    </row>
    <row r="85" ht="10.95" customHeight="true" customFormat="true" s="9">
      <c r="A85" s="12">
        <v>45309</v>
      </c>
      <c r="B85" s="13" t="s">
        <v>68</v>
      </c>
      <c r="C85" s="13" t="s">
        <v>37</v>
      </c>
      <c r="D85" s="13" t="s">
        <v>19</v>
      </c>
      <c r="E85" s="13" t="s">
        <v>69</v>
      </c>
      <c r="F85" s="13" t="s">
        <v>70</v>
      </c>
      <c r="G85" s="14">
        <v>0</v>
      </c>
      <c r="H85" s="14">
        <v>286.2600</v>
      </c>
      <c r="I85" s="14">
        <f ca="1">((I84 + G85) - H85)</f>
        <v>0</v>
      </c>
      <c r="J85" s="14">
        <v>-28.6300</v>
      </c>
      <c r="K85" s="15">
        <v>10.0000</v>
      </c>
      <c r="L85" s="13" t="s">
        <v>53</v>
      </c>
    </row>
    <row r="86" ht="10.95" customHeight="true" customFormat="true" s="9">
      <c r="A86" s="16">
        <v>45432</v>
      </c>
      <c r="B86" s="17" t="s">
        <v>68</v>
      </c>
      <c r="C86" s="17" t="s">
        <v>37</v>
      </c>
      <c r="D86" s="17" t="s">
        <v>38</v>
      </c>
      <c r="E86" s="17" t="s">
        <v>71</v>
      </c>
      <c r="F86" s="17"/>
      <c r="G86" s="18">
        <v>2841.7200</v>
      </c>
      <c r="H86" s="18">
        <v>0</v>
      </c>
      <c r="I86" s="18">
        <f ca="1">((I85 + G86) - H86)</f>
        <v>0</v>
      </c>
      <c r="J86" s="18">
        <v>0</v>
      </c>
      <c r="K86" s="19">
        <v>0</v>
      </c>
      <c r="L86" s="17" t="s">
        <v>40</v>
      </c>
    </row>
    <row r="87" ht="10.95" customHeight="true" customFormat="true" s="9">
      <c r="A87" s="20" t="s">
        <v>72</v>
      </c>
      <c r="B87" s="20"/>
      <c r="C87" s="20"/>
      <c r="D87" s="20"/>
      <c r="E87" s="20"/>
      <c r="F87" s="20"/>
      <c r="G87" s="21">
        <f ca="1">SUM(G85:G86)</f>
        <v>0</v>
      </c>
      <c r="H87" s="21">
        <f ca="1">SUM(H85:H86)</f>
        <v>0</v>
      </c>
      <c r="I87" s="21">
        <f ca="1">I86</f>
        <v>0</v>
      </c>
      <c r="J87" s="21">
        <f ca="1">SUM(J85:J86)</f>
        <v>0</v>
      </c>
      <c r="K87" s="20"/>
      <c r="L87" s="20"/>
    </row>
    <row r="88" ht="10.95" customHeight="true" customFormat="true" s="9">
      <c r="A88" s="20" t="s">
        <v>27</v>
      </c>
      <c r="B88" s="20"/>
      <c r="C88" s="20"/>
      <c r="D88" s="20"/>
      <c r="E88" s="20"/>
      <c r="F88" s="20"/>
      <c r="G88" s="21">
        <v>2555.4600</v>
      </c>
      <c r="H88" s="21">
        <v>0</v>
      </c>
      <c r="I88" s="21">
        <v>0</v>
      </c>
      <c r="J88" s="21">
        <v>0</v>
      </c>
      <c r="K88" s="20"/>
      <c r="L88" s="20"/>
    </row>
    <row r="89" ht="10.95" customHeight="true" customFormat="true" s="9">
      <c r="A89" s="10" t="s">
        <v>28</v>
      </c>
      <c r="B89" s="10"/>
      <c r="C89" s="10"/>
      <c r="D89" s="10"/>
      <c r="E89" s="10"/>
      <c r="F89" s="10"/>
      <c r="G89" s="11">
        <v>2555.4600</v>
      </c>
      <c r="H89" s="11">
        <v>0</v>
      </c>
      <c r="I89" s="11">
        <f ca="1">I86</f>
        <v>0</v>
      </c>
      <c r="J89" s="11">
        <v>0</v>
      </c>
      <c r="K89" s="10"/>
      <c r="L89" s="10"/>
    </row>
    <row r="90" ht="13.35" customHeight="true"/>
    <row r="91" ht="12.1" customHeight="true" customFormat="true" s="5">
      <c r="A91" s="8" t="s">
        <v>73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</row>
    <row r="92" ht="10.95" customHeight="true" customFormat="true" s="9">
      <c r="A92" s="10" t="s">
        <v>16</v>
      </c>
      <c r="B92" s="10"/>
      <c r="C92" s="10"/>
      <c r="D92" s="10"/>
      <c r="E92" s="10"/>
      <c r="F92" s="10"/>
      <c r="G92" s="11">
        <v>0</v>
      </c>
      <c r="H92" s="11">
        <v>0</v>
      </c>
      <c r="I92" s="11">
        <f ca="1">(G92 - H92)</f>
        <v>0</v>
      </c>
      <c r="J92" s="11">
        <v>0</v>
      </c>
      <c r="K92" s="10"/>
      <c r="L92" s="10"/>
    </row>
    <row r="93" ht="10.95" customHeight="true" customFormat="true" s="9">
      <c r="A93" s="12">
        <v>45473</v>
      </c>
      <c r="B93" s="13" t="s">
        <v>74</v>
      </c>
      <c r="C93" s="13" t="s">
        <v>37</v>
      </c>
      <c r="D93" s="13" t="s">
        <v>19</v>
      </c>
      <c r="E93" s="13" t="s">
        <v>54</v>
      </c>
      <c r="F93" s="13" t="s">
        <v>48</v>
      </c>
      <c r="G93" s="14">
        <v>104.5500</v>
      </c>
      <c r="H93" s="14">
        <v>0</v>
      </c>
      <c r="I93" s="14">
        <f ca="1">((I92 + G93) - H93)</f>
        <v>0</v>
      </c>
      <c r="J93" s="14">
        <v>0</v>
      </c>
      <c r="K93" s="15">
        <v>0</v>
      </c>
      <c r="L93" s="13" t="s">
        <v>25</v>
      </c>
    </row>
    <row r="94" ht="10.95" customHeight="true" customFormat="true" s="9">
      <c r="A94" s="20" t="s">
        <v>75</v>
      </c>
      <c r="B94" s="20"/>
      <c r="C94" s="20"/>
      <c r="D94" s="20"/>
      <c r="E94" s="20"/>
      <c r="F94" s="20"/>
      <c r="G94" s="21">
        <f ca="1">G93</f>
        <v>0</v>
      </c>
      <c r="H94" s="21">
        <f ca="1">H93</f>
        <v>0</v>
      </c>
      <c r="I94" s="21">
        <f ca="1">I93</f>
        <v>0</v>
      </c>
      <c r="J94" s="21">
        <f ca="1">J93</f>
        <v>0</v>
      </c>
      <c r="K94" s="20"/>
      <c r="L94" s="20"/>
    </row>
    <row r="95" ht="10.95" customHeight="true" customFormat="true" s="9">
      <c r="A95" s="20" t="s">
        <v>27</v>
      </c>
      <c r="B95" s="20"/>
      <c r="C95" s="20"/>
      <c r="D95" s="20"/>
      <c r="E95" s="20"/>
      <c r="F95" s="20"/>
      <c r="G95" s="21">
        <v>104.5500</v>
      </c>
      <c r="H95" s="21">
        <v>0</v>
      </c>
      <c r="I95" s="21">
        <v>0</v>
      </c>
      <c r="J95" s="21">
        <v>0</v>
      </c>
      <c r="K95" s="20"/>
      <c r="L95" s="20"/>
    </row>
    <row r="96" ht="10.95" customHeight="true" customFormat="true" s="9">
      <c r="A96" s="10" t="s">
        <v>28</v>
      </c>
      <c r="B96" s="10"/>
      <c r="C96" s="10"/>
      <c r="D96" s="10"/>
      <c r="E96" s="10"/>
      <c r="F96" s="10"/>
      <c r="G96" s="11">
        <v>104.5500</v>
      </c>
      <c r="H96" s="11">
        <v>0</v>
      </c>
      <c r="I96" s="11">
        <f ca="1">I93</f>
        <v>0</v>
      </c>
      <c r="J96" s="11">
        <v>0</v>
      </c>
      <c r="K96" s="10"/>
      <c r="L96" s="10"/>
    </row>
    <row r="97" ht="13.35" customHeight="true"/>
    <row r="98" ht="12.1" customHeight="true" customFormat="true" s="5">
      <c r="A98" s="8" t="s">
        <v>76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</row>
    <row r="99" ht="10.95" customHeight="true" customFormat="true" s="9">
      <c r="A99" s="10" t="s">
        <v>16</v>
      </c>
      <c r="B99" s="10"/>
      <c r="C99" s="10"/>
      <c r="D99" s="10"/>
      <c r="E99" s="10"/>
      <c r="F99" s="10"/>
      <c r="G99" s="11">
        <v>0</v>
      </c>
      <c r="H99" s="11">
        <v>0</v>
      </c>
      <c r="I99" s="11">
        <f ca="1">(G99 - H99)</f>
        <v>0</v>
      </c>
      <c r="J99" s="11">
        <v>0</v>
      </c>
      <c r="K99" s="10"/>
      <c r="L99" s="10"/>
    </row>
    <row r="100" ht="10.95" customHeight="true" customFormat="true" s="9">
      <c r="A100" s="12">
        <v>45292</v>
      </c>
      <c r="B100" s="13" t="s">
        <v>77</v>
      </c>
      <c r="C100" s="13" t="s">
        <v>78</v>
      </c>
      <c r="D100" s="13" t="s">
        <v>19</v>
      </c>
      <c r="E100" s="13" t="s">
        <v>79</v>
      </c>
      <c r="F100" s="13" t="s">
        <v>80</v>
      </c>
      <c r="G100" s="14">
        <v>0</v>
      </c>
      <c r="H100" s="14">
        <v>2420.0000</v>
      </c>
      <c r="I100" s="14">
        <f ca="1">((I99 + G100) - H100)</f>
        <v>0</v>
      </c>
      <c r="J100" s="14">
        <v>0</v>
      </c>
      <c r="K100" s="15">
        <v>0</v>
      </c>
      <c r="L100" s="13" t="s">
        <v>25</v>
      </c>
    </row>
    <row r="101" ht="10.95" customHeight="true" customFormat="true" s="9">
      <c r="A101" s="16">
        <v>45308</v>
      </c>
      <c r="B101" s="17" t="s">
        <v>77</v>
      </c>
      <c r="C101" s="17" t="s">
        <v>78</v>
      </c>
      <c r="D101" s="17" t="s">
        <v>32</v>
      </c>
      <c r="E101" s="17" t="s">
        <v>81</v>
      </c>
      <c r="F101" s="17"/>
      <c r="G101" s="18">
        <v>0</v>
      </c>
      <c r="H101" s="18">
        <v>5.0000</v>
      </c>
      <c r="I101" s="18">
        <f ca="1">((I100 + G101) - H101)</f>
        <v>0</v>
      </c>
      <c r="J101" s="18">
        <v>0</v>
      </c>
      <c r="K101" s="19">
        <v>0</v>
      </c>
      <c r="L101" s="17" t="s">
        <v>25</v>
      </c>
    </row>
    <row r="102" ht="10.95" customHeight="true" customFormat="true" s="9">
      <c r="A102" s="16">
        <v>45309</v>
      </c>
      <c r="B102" s="17" t="s">
        <v>77</v>
      </c>
      <c r="C102" s="17" t="s">
        <v>78</v>
      </c>
      <c r="D102" s="17" t="s">
        <v>19</v>
      </c>
      <c r="E102" s="17" t="s">
        <v>82</v>
      </c>
      <c r="F102" s="17" t="s">
        <v>70</v>
      </c>
      <c r="G102" s="18">
        <v>0</v>
      </c>
      <c r="H102" s="18">
        <v>2000.0000</v>
      </c>
      <c r="I102" s="18">
        <f ca="1">((I101 + G102) - H102)</f>
        <v>0</v>
      </c>
      <c r="J102" s="18">
        <v>0</v>
      </c>
      <c r="K102" s="19">
        <v>0</v>
      </c>
      <c r="L102" s="17" t="s">
        <v>25</v>
      </c>
    </row>
    <row r="103" ht="10.95" customHeight="true" customFormat="true" s="9">
      <c r="A103" s="16">
        <v>45309</v>
      </c>
      <c r="B103" s="17" t="s">
        <v>77</v>
      </c>
      <c r="C103" s="17" t="s">
        <v>78</v>
      </c>
      <c r="D103" s="17" t="s">
        <v>19</v>
      </c>
      <c r="E103" s="17" t="s">
        <v>83</v>
      </c>
      <c r="F103" s="17" t="s">
        <v>70</v>
      </c>
      <c r="G103" s="18">
        <v>0</v>
      </c>
      <c r="H103" s="18">
        <v>33609.4700</v>
      </c>
      <c r="I103" s="18">
        <f ca="1">((I102 + G103) - H103)</f>
        <v>0</v>
      </c>
      <c r="J103" s="18">
        <v>0</v>
      </c>
      <c r="K103" s="19">
        <v>0</v>
      </c>
      <c r="L103" s="17" t="s">
        <v>25</v>
      </c>
    </row>
    <row r="104" ht="10.95" customHeight="true" customFormat="true" s="9">
      <c r="A104" s="16">
        <v>45310</v>
      </c>
      <c r="B104" s="17" t="s">
        <v>77</v>
      </c>
      <c r="C104" s="17" t="s">
        <v>78</v>
      </c>
      <c r="D104" s="17" t="s">
        <v>32</v>
      </c>
      <c r="E104" s="17" t="s">
        <v>84</v>
      </c>
      <c r="F104" s="17"/>
      <c r="G104" s="18">
        <v>0</v>
      </c>
      <c r="H104" s="18">
        <v>1977.9000</v>
      </c>
      <c r="I104" s="18">
        <f ca="1">((I103 + G104) - H104)</f>
        <v>0</v>
      </c>
      <c r="J104" s="18">
        <v>0</v>
      </c>
      <c r="K104" s="19">
        <v>0</v>
      </c>
      <c r="L104" s="17" t="s">
        <v>25</v>
      </c>
    </row>
    <row r="105" ht="10.95" customHeight="true" customFormat="true" s="9">
      <c r="A105" s="16">
        <v>45310</v>
      </c>
      <c r="B105" s="17" t="s">
        <v>77</v>
      </c>
      <c r="C105" s="17" t="s">
        <v>78</v>
      </c>
      <c r="D105" s="17" t="s">
        <v>38</v>
      </c>
      <c r="E105" s="17" t="s">
        <v>85</v>
      </c>
      <c r="F105" s="17"/>
      <c r="G105" s="18">
        <v>5.0000</v>
      </c>
      <c r="H105" s="18">
        <v>0</v>
      </c>
      <c r="I105" s="18">
        <f ca="1">((I104 + G105) - H105)</f>
        <v>0</v>
      </c>
      <c r="J105" s="18">
        <v>0</v>
      </c>
      <c r="K105" s="19">
        <v>0</v>
      </c>
      <c r="L105" s="17" t="s">
        <v>25</v>
      </c>
    </row>
    <row r="106" ht="10.95" customHeight="true" customFormat="true" s="9">
      <c r="A106" s="16">
        <v>45313</v>
      </c>
      <c r="B106" s="17" t="s">
        <v>77</v>
      </c>
      <c r="C106" s="17" t="s">
        <v>78</v>
      </c>
      <c r="D106" s="17" t="s">
        <v>32</v>
      </c>
      <c r="E106" s="17" t="s">
        <v>86</v>
      </c>
      <c r="F106" s="17"/>
      <c r="G106" s="18">
        <v>0</v>
      </c>
      <c r="H106" s="18">
        <v>600.0000</v>
      </c>
      <c r="I106" s="18">
        <f ca="1">((I105 + G106) - H106)</f>
        <v>0</v>
      </c>
      <c r="J106" s="18">
        <v>0</v>
      </c>
      <c r="K106" s="19">
        <v>0</v>
      </c>
      <c r="L106" s="17" t="s">
        <v>25</v>
      </c>
    </row>
    <row r="107" ht="10.95" customHeight="true" customFormat="true" s="9">
      <c r="A107" s="16">
        <v>45314</v>
      </c>
      <c r="B107" s="17" t="s">
        <v>77</v>
      </c>
      <c r="C107" s="17" t="s">
        <v>78</v>
      </c>
      <c r="D107" s="17" t="s">
        <v>32</v>
      </c>
      <c r="E107" s="17" t="s">
        <v>87</v>
      </c>
      <c r="F107" s="17"/>
      <c r="G107" s="18">
        <v>0</v>
      </c>
      <c r="H107" s="18">
        <v>1248.7000</v>
      </c>
      <c r="I107" s="18">
        <f ca="1">((I106 + G107) - H107)</f>
        <v>0</v>
      </c>
      <c r="J107" s="18">
        <v>0</v>
      </c>
      <c r="K107" s="19">
        <v>0</v>
      </c>
      <c r="L107" s="17" t="s">
        <v>25</v>
      </c>
    </row>
    <row r="108" ht="10.95" customHeight="true" customFormat="true" s="9">
      <c r="A108" s="16">
        <v>45314</v>
      </c>
      <c r="B108" s="17" t="s">
        <v>77</v>
      </c>
      <c r="C108" s="17" t="s">
        <v>78</v>
      </c>
      <c r="D108" s="17" t="s">
        <v>32</v>
      </c>
      <c r="E108" s="17" t="s">
        <v>88</v>
      </c>
      <c r="F108" s="17"/>
      <c r="G108" s="18">
        <v>0</v>
      </c>
      <c r="H108" s="18">
        <v>4538.1800</v>
      </c>
      <c r="I108" s="18">
        <f ca="1">((I107 + G108) - H108)</f>
        <v>0</v>
      </c>
      <c r="J108" s="18">
        <v>0</v>
      </c>
      <c r="K108" s="19">
        <v>0</v>
      </c>
      <c r="L108" s="17" t="s">
        <v>25</v>
      </c>
    </row>
    <row r="109" ht="10.95" customHeight="true" customFormat="true" s="9">
      <c r="A109" s="16">
        <v>45316</v>
      </c>
      <c r="B109" s="17" t="s">
        <v>77</v>
      </c>
      <c r="C109" s="17" t="s">
        <v>78</v>
      </c>
      <c r="D109" s="17" t="s">
        <v>32</v>
      </c>
      <c r="E109" s="17" t="s">
        <v>89</v>
      </c>
      <c r="F109" s="17"/>
      <c r="G109" s="18">
        <v>0</v>
      </c>
      <c r="H109" s="18">
        <v>1000.0000</v>
      </c>
      <c r="I109" s="18">
        <f ca="1">((I108 + G109) - H109)</f>
        <v>0</v>
      </c>
      <c r="J109" s="18">
        <v>0</v>
      </c>
      <c r="K109" s="19">
        <v>0</v>
      </c>
      <c r="L109" s="17" t="s">
        <v>25</v>
      </c>
    </row>
    <row r="110" ht="10.95" customHeight="true" customFormat="true" s="9">
      <c r="A110" s="16">
        <v>45330</v>
      </c>
      <c r="B110" s="17" t="s">
        <v>77</v>
      </c>
      <c r="C110" s="17" t="s">
        <v>78</v>
      </c>
      <c r="D110" s="17" t="s">
        <v>32</v>
      </c>
      <c r="E110" s="17" t="s">
        <v>90</v>
      </c>
      <c r="F110" s="17"/>
      <c r="G110" s="18">
        <v>0</v>
      </c>
      <c r="H110" s="18">
        <v>1000.0000</v>
      </c>
      <c r="I110" s="18">
        <f ca="1">((I109 + G110) - H110)</f>
        <v>0</v>
      </c>
      <c r="J110" s="18">
        <v>0</v>
      </c>
      <c r="K110" s="19">
        <v>0</v>
      </c>
      <c r="L110" s="17" t="s">
        <v>25</v>
      </c>
    </row>
    <row r="111" ht="10.95" customHeight="true" customFormat="true" s="9">
      <c r="A111" s="16">
        <v>45336</v>
      </c>
      <c r="B111" s="17" t="s">
        <v>77</v>
      </c>
      <c r="C111" s="17" t="s">
        <v>78</v>
      </c>
      <c r="D111" s="17" t="s">
        <v>32</v>
      </c>
      <c r="E111" s="17" t="s">
        <v>90</v>
      </c>
      <c r="F111" s="17"/>
      <c r="G111" s="18">
        <v>0</v>
      </c>
      <c r="H111" s="18">
        <v>200.0000</v>
      </c>
      <c r="I111" s="18">
        <f ca="1">((I110 + G111) - H111)</f>
        <v>0</v>
      </c>
      <c r="J111" s="18">
        <v>0</v>
      </c>
      <c r="K111" s="19">
        <v>0</v>
      </c>
      <c r="L111" s="17" t="s">
        <v>25</v>
      </c>
    </row>
    <row r="112" ht="10.95" customHeight="true" customFormat="true" s="9">
      <c r="A112" s="16">
        <v>45348</v>
      </c>
      <c r="B112" s="17" t="s">
        <v>77</v>
      </c>
      <c r="C112" s="17" t="s">
        <v>78</v>
      </c>
      <c r="D112" s="17" t="s">
        <v>32</v>
      </c>
      <c r="E112" s="17" t="s">
        <v>90</v>
      </c>
      <c r="F112" s="17"/>
      <c r="G112" s="18">
        <v>0</v>
      </c>
      <c r="H112" s="18">
        <v>900.0000</v>
      </c>
      <c r="I112" s="18">
        <f ca="1">((I111 + G112) - H112)</f>
        <v>0</v>
      </c>
      <c r="J112" s="18">
        <v>0</v>
      </c>
      <c r="K112" s="19">
        <v>0</v>
      </c>
      <c r="L112" s="17" t="s">
        <v>25</v>
      </c>
    </row>
    <row r="113" ht="10.95" customHeight="true" customFormat="true" s="9">
      <c r="A113" s="16">
        <v>45358</v>
      </c>
      <c r="B113" s="17" t="s">
        <v>77</v>
      </c>
      <c r="C113" s="17" t="s">
        <v>78</v>
      </c>
      <c r="D113" s="17" t="s">
        <v>32</v>
      </c>
      <c r="E113" s="17" t="s">
        <v>90</v>
      </c>
      <c r="F113" s="17"/>
      <c r="G113" s="18">
        <v>0</v>
      </c>
      <c r="H113" s="18">
        <v>1200.0000</v>
      </c>
      <c r="I113" s="18">
        <f ca="1">((I112 + G113) - H113)</f>
        <v>0</v>
      </c>
      <c r="J113" s="18">
        <v>0</v>
      </c>
      <c r="K113" s="19">
        <v>0</v>
      </c>
      <c r="L113" s="17" t="s">
        <v>25</v>
      </c>
    </row>
    <row r="114" ht="10.95" customHeight="true" customFormat="true" s="9">
      <c r="A114" s="16">
        <v>45372</v>
      </c>
      <c r="B114" s="17" t="s">
        <v>77</v>
      </c>
      <c r="C114" s="17" t="s">
        <v>78</v>
      </c>
      <c r="D114" s="17" t="s">
        <v>32</v>
      </c>
      <c r="E114" s="17" t="s">
        <v>90</v>
      </c>
      <c r="F114" s="17"/>
      <c r="G114" s="18">
        <v>0</v>
      </c>
      <c r="H114" s="18">
        <v>1000.0000</v>
      </c>
      <c r="I114" s="18">
        <f ca="1">((I113 + G114) - H114)</f>
        <v>0</v>
      </c>
      <c r="J114" s="18">
        <v>0</v>
      </c>
      <c r="K114" s="19">
        <v>0</v>
      </c>
      <c r="L114" s="17" t="s">
        <v>25</v>
      </c>
    </row>
    <row r="115" ht="10.95" customHeight="true" customFormat="true" s="9">
      <c r="A115" s="16">
        <v>45386</v>
      </c>
      <c r="B115" s="17" t="s">
        <v>77</v>
      </c>
      <c r="C115" s="17" t="s">
        <v>78</v>
      </c>
      <c r="D115" s="17" t="s">
        <v>32</v>
      </c>
      <c r="E115" s="17" t="s">
        <v>90</v>
      </c>
      <c r="F115" s="17"/>
      <c r="G115" s="18">
        <v>0</v>
      </c>
      <c r="H115" s="18">
        <v>1200.0000</v>
      </c>
      <c r="I115" s="18">
        <f ca="1">((I114 + G115) - H115)</f>
        <v>0</v>
      </c>
      <c r="J115" s="18">
        <v>0</v>
      </c>
      <c r="K115" s="19">
        <v>0</v>
      </c>
      <c r="L115" s="17" t="s">
        <v>25</v>
      </c>
    </row>
    <row r="116" ht="21.3" customHeight="true" customFormat="true" s="9">
      <c r="A116" s="16">
        <v>45390</v>
      </c>
      <c r="B116" s="17" t="s">
        <v>77</v>
      </c>
      <c r="C116" s="17" t="s">
        <v>78</v>
      </c>
      <c r="D116" s="17" t="s">
        <v>38</v>
      </c>
      <c r="E116" s="22" t="s">
        <v>91</v>
      </c>
      <c r="F116" s="17"/>
      <c r="G116" s="18">
        <v>5000.0000</v>
      </c>
      <c r="H116" s="18">
        <v>0</v>
      </c>
      <c r="I116" s="18">
        <f ca="1">((I115 + G116) - H116)</f>
        <v>0</v>
      </c>
      <c r="J116" s="18">
        <v>0</v>
      </c>
      <c r="K116" s="19">
        <v>0</v>
      </c>
      <c r="L116" s="17" t="s">
        <v>25</v>
      </c>
    </row>
    <row r="117" ht="10.95" customHeight="true" customFormat="true" s="9">
      <c r="A117" s="16">
        <v>45401</v>
      </c>
      <c r="B117" s="17" t="s">
        <v>77</v>
      </c>
      <c r="C117" s="17" t="s">
        <v>78</v>
      </c>
      <c r="D117" s="17" t="s">
        <v>32</v>
      </c>
      <c r="E117" s="17" t="s">
        <v>90</v>
      </c>
      <c r="F117" s="17"/>
      <c r="G117" s="18">
        <v>0</v>
      </c>
      <c r="H117" s="18">
        <v>1000.0000</v>
      </c>
      <c r="I117" s="18">
        <f ca="1">((I116 + G117) - H117)</f>
        <v>0</v>
      </c>
      <c r="J117" s="18">
        <v>0</v>
      </c>
      <c r="K117" s="19">
        <v>0</v>
      </c>
      <c r="L117" s="17" t="s">
        <v>25</v>
      </c>
    </row>
    <row r="118" ht="10.95" customHeight="true" customFormat="true" s="9">
      <c r="A118" s="16">
        <v>45414</v>
      </c>
      <c r="B118" s="17" t="s">
        <v>77</v>
      </c>
      <c r="C118" s="17" t="s">
        <v>78</v>
      </c>
      <c r="D118" s="17" t="s">
        <v>32</v>
      </c>
      <c r="E118" s="17" t="s">
        <v>90</v>
      </c>
      <c r="F118" s="17"/>
      <c r="G118" s="18">
        <v>0</v>
      </c>
      <c r="H118" s="18">
        <v>1200.0000</v>
      </c>
      <c r="I118" s="18">
        <f ca="1">((I117 + G118) - H118)</f>
        <v>0</v>
      </c>
      <c r="J118" s="18">
        <v>0</v>
      </c>
      <c r="K118" s="19">
        <v>0</v>
      </c>
      <c r="L118" s="17" t="s">
        <v>25</v>
      </c>
    </row>
    <row r="119" ht="10.95" customHeight="true" customFormat="true" s="9">
      <c r="A119" s="16">
        <v>45428</v>
      </c>
      <c r="B119" s="17" t="s">
        <v>77</v>
      </c>
      <c r="C119" s="17" t="s">
        <v>78</v>
      </c>
      <c r="D119" s="17" t="s">
        <v>32</v>
      </c>
      <c r="E119" s="17" t="s">
        <v>90</v>
      </c>
      <c r="F119" s="17"/>
      <c r="G119" s="18">
        <v>0</v>
      </c>
      <c r="H119" s="18">
        <v>1200.0000</v>
      </c>
      <c r="I119" s="18">
        <f ca="1">((I118 + G119) - H119)</f>
        <v>0</v>
      </c>
      <c r="J119" s="18">
        <v>0</v>
      </c>
      <c r="K119" s="19">
        <v>0</v>
      </c>
      <c r="L119" s="17" t="s">
        <v>25</v>
      </c>
    </row>
    <row r="120" ht="10.95" customHeight="true" customFormat="true" s="9">
      <c r="A120" s="16">
        <v>45456</v>
      </c>
      <c r="B120" s="17" t="s">
        <v>77</v>
      </c>
      <c r="C120" s="17" t="s">
        <v>78</v>
      </c>
      <c r="D120" s="17" t="s">
        <v>32</v>
      </c>
      <c r="E120" s="17" t="s">
        <v>92</v>
      </c>
      <c r="F120" s="17"/>
      <c r="G120" s="18">
        <v>0</v>
      </c>
      <c r="H120" s="18">
        <v>1200.0000</v>
      </c>
      <c r="I120" s="18">
        <f ca="1">((I119 + G120) - H120)</f>
        <v>0</v>
      </c>
      <c r="J120" s="18">
        <v>0</v>
      </c>
      <c r="K120" s="19">
        <v>0</v>
      </c>
      <c r="L120" s="17" t="s">
        <v>25</v>
      </c>
    </row>
    <row r="121" ht="10.95" customHeight="true" customFormat="true" s="9">
      <c r="A121" s="16">
        <v>45470</v>
      </c>
      <c r="B121" s="17" t="s">
        <v>77</v>
      </c>
      <c r="C121" s="17" t="s">
        <v>78</v>
      </c>
      <c r="D121" s="17" t="s">
        <v>32</v>
      </c>
      <c r="E121" s="17" t="s">
        <v>92</v>
      </c>
      <c r="F121" s="17"/>
      <c r="G121" s="18">
        <v>0</v>
      </c>
      <c r="H121" s="18">
        <v>1200.0000</v>
      </c>
      <c r="I121" s="18">
        <f ca="1">((I120 + G121) - H121)</f>
        <v>0</v>
      </c>
      <c r="J121" s="18">
        <v>0</v>
      </c>
      <c r="K121" s="19">
        <v>0</v>
      </c>
      <c r="L121" s="17" t="s">
        <v>25</v>
      </c>
    </row>
    <row r="122" ht="10.95" customHeight="true" customFormat="true" s="9">
      <c r="A122" s="16">
        <v>45471</v>
      </c>
      <c r="B122" s="17" t="s">
        <v>77</v>
      </c>
      <c r="C122" s="17" t="s">
        <v>78</v>
      </c>
      <c r="D122" s="17" t="s">
        <v>32</v>
      </c>
      <c r="E122" s="17" t="s">
        <v>93</v>
      </c>
      <c r="F122" s="17"/>
      <c r="G122" s="18">
        <v>0</v>
      </c>
      <c r="H122" s="18">
        <v>770.0000</v>
      </c>
      <c r="I122" s="18">
        <f ca="1">((I121 + G122) - H122)</f>
        <v>0</v>
      </c>
      <c r="J122" s="18">
        <v>0</v>
      </c>
      <c r="K122" s="19">
        <v>0</v>
      </c>
      <c r="L122" s="17" t="s">
        <v>25</v>
      </c>
    </row>
    <row r="123" ht="10.95" customHeight="true" customFormat="true" s="9">
      <c r="A123" s="16">
        <v>45473</v>
      </c>
      <c r="B123" s="17" t="s">
        <v>77</v>
      </c>
      <c r="C123" s="17" t="s">
        <v>78</v>
      </c>
      <c r="D123" s="17" t="s">
        <v>19</v>
      </c>
      <c r="E123" s="17" t="s">
        <v>20</v>
      </c>
      <c r="F123" s="17" t="s">
        <v>21</v>
      </c>
      <c r="G123" s="18">
        <v>13200.0000</v>
      </c>
      <c r="H123" s="18">
        <v>0</v>
      </c>
      <c r="I123" s="18">
        <f ca="1">((I122 + G123) - H123)</f>
        <v>0</v>
      </c>
      <c r="J123" s="18">
        <v>0</v>
      </c>
      <c r="K123" s="19">
        <v>0</v>
      </c>
      <c r="L123" s="17" t="s">
        <v>25</v>
      </c>
    </row>
    <row r="124" ht="10.95" customHeight="true" customFormat="true" s="9">
      <c r="A124" s="16">
        <v>45473</v>
      </c>
      <c r="B124" s="17" t="s">
        <v>77</v>
      </c>
      <c r="C124" s="17" t="s">
        <v>78</v>
      </c>
      <c r="D124" s="17" t="s">
        <v>19</v>
      </c>
      <c r="E124" s="17" t="s">
        <v>94</v>
      </c>
      <c r="F124" s="17" t="s">
        <v>95</v>
      </c>
      <c r="G124" s="18">
        <v>0</v>
      </c>
      <c r="H124" s="18">
        <v>20000.0000</v>
      </c>
      <c r="I124" s="18">
        <f ca="1">((I123 + G124) - H124)</f>
        <v>0</v>
      </c>
      <c r="J124" s="18">
        <v>0</v>
      </c>
      <c r="K124" s="19">
        <v>0</v>
      </c>
      <c r="L124" s="17" t="s">
        <v>25</v>
      </c>
    </row>
    <row r="125" ht="10.95" customHeight="true" customFormat="true" s="9">
      <c r="A125" s="16">
        <v>45473</v>
      </c>
      <c r="B125" s="17" t="s">
        <v>77</v>
      </c>
      <c r="C125" s="17" t="s">
        <v>78</v>
      </c>
      <c r="D125" s="17" t="s">
        <v>19</v>
      </c>
      <c r="E125" s="17" t="s">
        <v>23</v>
      </c>
      <c r="F125" s="17" t="s">
        <v>24</v>
      </c>
      <c r="G125" s="18">
        <v>6600.0000</v>
      </c>
      <c r="H125" s="18">
        <v>0</v>
      </c>
      <c r="I125" s="18">
        <f ca="1">((I124 + G125) - H125)</f>
        <v>0</v>
      </c>
      <c r="J125" s="18">
        <v>0</v>
      </c>
      <c r="K125" s="19">
        <v>0</v>
      </c>
      <c r="L125" s="17" t="s">
        <v>25</v>
      </c>
    </row>
    <row r="126" ht="10.95" customHeight="true" customFormat="true" s="9">
      <c r="A126" s="20" t="s">
        <v>96</v>
      </c>
      <c r="B126" s="20"/>
      <c r="C126" s="20"/>
      <c r="D126" s="20"/>
      <c r="E126" s="20"/>
      <c r="F126" s="20"/>
      <c r="G126" s="21">
        <f ca="1">SUM(G100:G125)</f>
        <v>0</v>
      </c>
      <c r="H126" s="21">
        <f ca="1">SUM(H100:H125)</f>
        <v>0</v>
      </c>
      <c r="I126" s="21">
        <f ca="1">I125</f>
        <v>0</v>
      </c>
      <c r="J126" s="21">
        <f ca="1">SUM(J100:J125)</f>
        <v>0</v>
      </c>
      <c r="K126" s="20"/>
      <c r="L126" s="20"/>
    </row>
    <row r="127" ht="10.95" customHeight="true" customFormat="true" s="9">
      <c r="A127" s="20" t="s">
        <v>27</v>
      </c>
      <c r="B127" s="20"/>
      <c r="C127" s="20"/>
      <c r="D127" s="20"/>
      <c r="E127" s="20"/>
      <c r="F127" s="20"/>
      <c r="G127" s="21">
        <v>0</v>
      </c>
      <c r="H127" s="21">
        <v>54664.2500</v>
      </c>
      <c r="I127" s="21">
        <v>0</v>
      </c>
      <c r="J127" s="21">
        <v>0</v>
      </c>
      <c r="K127" s="20"/>
      <c r="L127" s="20"/>
    </row>
    <row r="128" ht="10.95" customHeight="true" customFormat="true" s="9">
      <c r="A128" s="10" t="s">
        <v>28</v>
      </c>
      <c r="B128" s="10"/>
      <c r="C128" s="10"/>
      <c r="D128" s="10"/>
      <c r="E128" s="10"/>
      <c r="F128" s="10"/>
      <c r="G128" s="11">
        <v>0</v>
      </c>
      <c r="H128" s="11">
        <v>54664.2500</v>
      </c>
      <c r="I128" s="11">
        <f ca="1">I125</f>
        <v>0</v>
      </c>
      <c r="J128" s="11">
        <v>0</v>
      </c>
      <c r="K128" s="10"/>
      <c r="L128" s="10"/>
    </row>
    <row r="129" ht="13.35" customHeight="true"/>
    <row r="130" ht="12.1" customHeight="true" customFormat="true" s="5">
      <c r="A130" s="8" t="s">
        <v>97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</row>
    <row r="131" ht="10.95" customHeight="true" customFormat="true" s="9">
      <c r="A131" s="10" t="s">
        <v>16</v>
      </c>
      <c r="B131" s="10"/>
      <c r="C131" s="10"/>
      <c r="D131" s="10"/>
      <c r="E131" s="10"/>
      <c r="F131" s="10"/>
      <c r="G131" s="11">
        <v>0</v>
      </c>
      <c r="H131" s="11">
        <v>0</v>
      </c>
      <c r="I131" s="11">
        <f ca="1">(G131 - H131)</f>
        <v>0</v>
      </c>
      <c r="J131" s="11">
        <v>0</v>
      </c>
      <c r="K131" s="10"/>
      <c r="L131" s="10"/>
    </row>
    <row r="132" ht="10.95" customHeight="true" customFormat="true" s="9">
      <c r="A132" s="12">
        <v>45308</v>
      </c>
      <c r="B132" s="13" t="s">
        <v>98</v>
      </c>
      <c r="C132" s="13" t="s">
        <v>99</v>
      </c>
      <c r="D132" s="13" t="s">
        <v>32</v>
      </c>
      <c r="E132" s="13" t="s">
        <v>100</v>
      </c>
      <c r="F132" s="13"/>
      <c r="G132" s="14">
        <v>5.0000</v>
      </c>
      <c r="H132" s="14">
        <v>0</v>
      </c>
      <c r="I132" s="14">
        <f ca="1">((I131 + G132) - H132)</f>
        <v>0</v>
      </c>
      <c r="J132" s="14">
        <v>0</v>
      </c>
      <c r="K132" s="15">
        <v>0</v>
      </c>
      <c r="L132" s="13"/>
    </row>
    <row r="133" ht="10.95" customHeight="true" customFormat="true" s="9">
      <c r="A133" s="16">
        <v>45310</v>
      </c>
      <c r="B133" s="17" t="s">
        <v>98</v>
      </c>
      <c r="C133" s="17" t="s">
        <v>99</v>
      </c>
      <c r="D133" s="17" t="s">
        <v>38</v>
      </c>
      <c r="E133" s="17" t="s">
        <v>39</v>
      </c>
      <c r="F133" s="17"/>
      <c r="G133" s="18">
        <v>0</v>
      </c>
      <c r="H133" s="18">
        <v>1625.0000</v>
      </c>
      <c r="I133" s="18">
        <f ca="1">((I132 + G133) - H133)</f>
        <v>0</v>
      </c>
      <c r="J133" s="18">
        <v>0</v>
      </c>
      <c r="K133" s="19">
        <v>0</v>
      </c>
      <c r="L133" s="17"/>
    </row>
    <row r="134" ht="10.95" customHeight="true" customFormat="true" s="9">
      <c r="A134" s="16">
        <v>45310</v>
      </c>
      <c r="B134" s="17" t="s">
        <v>98</v>
      </c>
      <c r="C134" s="17" t="s">
        <v>99</v>
      </c>
      <c r="D134" s="17" t="s">
        <v>38</v>
      </c>
      <c r="E134" s="17" t="s">
        <v>101</v>
      </c>
      <c r="F134" s="17"/>
      <c r="G134" s="18">
        <v>0</v>
      </c>
      <c r="H134" s="18">
        <v>1977.9000</v>
      </c>
      <c r="I134" s="18">
        <f ca="1">((I133 + G134) - H134)</f>
        <v>0</v>
      </c>
      <c r="J134" s="18">
        <v>0</v>
      </c>
      <c r="K134" s="19">
        <v>0</v>
      </c>
      <c r="L134" s="17"/>
    </row>
    <row r="135" ht="10.95" customHeight="true" customFormat="true" s="9">
      <c r="A135" s="16">
        <v>45310</v>
      </c>
      <c r="B135" s="17" t="s">
        <v>98</v>
      </c>
      <c r="C135" s="17" t="s">
        <v>99</v>
      </c>
      <c r="D135" s="17" t="s">
        <v>32</v>
      </c>
      <c r="E135" s="17" t="s">
        <v>100</v>
      </c>
      <c r="F135" s="17"/>
      <c r="G135" s="18">
        <v>1977.9000</v>
      </c>
      <c r="H135" s="18">
        <v>0</v>
      </c>
      <c r="I135" s="18">
        <f ca="1">((I134 + G135) - H135)</f>
        <v>0</v>
      </c>
      <c r="J135" s="18">
        <v>0</v>
      </c>
      <c r="K135" s="19">
        <v>0</v>
      </c>
      <c r="L135" s="17"/>
    </row>
    <row r="136" ht="10.95" customHeight="true" customFormat="true" s="9">
      <c r="A136" s="16">
        <v>45310</v>
      </c>
      <c r="B136" s="17" t="s">
        <v>98</v>
      </c>
      <c r="C136" s="17" t="s">
        <v>99</v>
      </c>
      <c r="D136" s="17" t="s">
        <v>38</v>
      </c>
      <c r="E136" s="17" t="s">
        <v>100</v>
      </c>
      <c r="F136" s="17"/>
      <c r="G136" s="18">
        <v>0</v>
      </c>
      <c r="H136" s="18">
        <v>5.0000</v>
      </c>
      <c r="I136" s="18">
        <f ca="1">((I135 + G136) - H136)</f>
        <v>0</v>
      </c>
      <c r="J136" s="18">
        <v>0</v>
      </c>
      <c r="K136" s="19">
        <v>0</v>
      </c>
      <c r="L136" s="17"/>
    </row>
    <row r="137" ht="10.95" customHeight="true" customFormat="true" s="9">
      <c r="A137" s="16">
        <v>45310</v>
      </c>
      <c r="B137" s="17" t="s">
        <v>98</v>
      </c>
      <c r="C137" s="17" t="s">
        <v>99</v>
      </c>
      <c r="D137" s="17" t="s">
        <v>32</v>
      </c>
      <c r="E137" s="17" t="s">
        <v>100</v>
      </c>
      <c r="F137" s="17"/>
      <c r="G137" s="18">
        <v>1625.0000</v>
      </c>
      <c r="H137" s="18">
        <v>0</v>
      </c>
      <c r="I137" s="18">
        <f ca="1">((I136 + G137) - H137)</f>
        <v>0</v>
      </c>
      <c r="J137" s="18">
        <v>0</v>
      </c>
      <c r="K137" s="19">
        <v>0</v>
      </c>
      <c r="L137" s="17"/>
    </row>
    <row r="138" ht="10.95" customHeight="true" customFormat="true" s="9">
      <c r="A138" s="16">
        <v>45313</v>
      </c>
      <c r="B138" s="17" t="s">
        <v>98</v>
      </c>
      <c r="C138" s="17" t="s">
        <v>99</v>
      </c>
      <c r="D138" s="17" t="s">
        <v>32</v>
      </c>
      <c r="E138" s="17" t="s">
        <v>100</v>
      </c>
      <c r="F138" s="17"/>
      <c r="G138" s="18">
        <v>600.0000</v>
      </c>
      <c r="H138" s="18">
        <v>0</v>
      </c>
      <c r="I138" s="18">
        <f ca="1">((I137 + G138) - H138)</f>
        <v>0</v>
      </c>
      <c r="J138" s="18">
        <v>0</v>
      </c>
      <c r="K138" s="19">
        <v>0</v>
      </c>
      <c r="L138" s="17"/>
    </row>
    <row r="139" ht="10.95" customHeight="true" customFormat="true" s="9">
      <c r="A139" s="16">
        <v>45314</v>
      </c>
      <c r="B139" s="17" t="s">
        <v>98</v>
      </c>
      <c r="C139" s="17" t="s">
        <v>99</v>
      </c>
      <c r="D139" s="17" t="s">
        <v>32</v>
      </c>
      <c r="E139" s="17" t="s">
        <v>100</v>
      </c>
      <c r="F139" s="17"/>
      <c r="G139" s="18">
        <v>1248.7000</v>
      </c>
      <c r="H139" s="18">
        <v>0</v>
      </c>
      <c r="I139" s="18">
        <f ca="1">((I138 + G139) - H139)</f>
        <v>0</v>
      </c>
      <c r="J139" s="18">
        <v>0</v>
      </c>
      <c r="K139" s="19">
        <v>0</v>
      </c>
      <c r="L139" s="17"/>
    </row>
    <row r="140" ht="10.95" customHeight="true" customFormat="true" s="9">
      <c r="A140" s="16">
        <v>45314</v>
      </c>
      <c r="B140" s="17" t="s">
        <v>98</v>
      </c>
      <c r="C140" s="17" t="s">
        <v>99</v>
      </c>
      <c r="D140" s="17" t="s">
        <v>32</v>
      </c>
      <c r="E140" s="17" t="s">
        <v>100</v>
      </c>
      <c r="F140" s="17"/>
      <c r="G140" s="18">
        <v>4538.1800</v>
      </c>
      <c r="H140" s="18">
        <v>0</v>
      </c>
      <c r="I140" s="18">
        <f ca="1">((I139 + G140) - H140)</f>
        <v>0</v>
      </c>
      <c r="J140" s="18">
        <v>0</v>
      </c>
      <c r="K140" s="19">
        <v>0</v>
      </c>
      <c r="L140" s="17"/>
    </row>
    <row r="141" ht="10.95" customHeight="true" customFormat="true" s="9">
      <c r="A141" s="16">
        <v>45314</v>
      </c>
      <c r="B141" s="17" t="s">
        <v>98</v>
      </c>
      <c r="C141" s="17" t="s">
        <v>99</v>
      </c>
      <c r="D141" s="17" t="s">
        <v>38</v>
      </c>
      <c r="E141" s="17" t="s">
        <v>102</v>
      </c>
      <c r="F141" s="17"/>
      <c r="G141" s="18">
        <v>0</v>
      </c>
      <c r="H141" s="18">
        <v>4538.1800</v>
      </c>
      <c r="I141" s="18">
        <f ca="1">((I140 + G141) - H141)</f>
        <v>0</v>
      </c>
      <c r="J141" s="18">
        <v>0</v>
      </c>
      <c r="K141" s="19">
        <v>0</v>
      </c>
      <c r="L141" s="17"/>
    </row>
    <row r="142" ht="10.95" customHeight="true" customFormat="true" s="9">
      <c r="A142" s="16">
        <v>45314</v>
      </c>
      <c r="B142" s="17" t="s">
        <v>98</v>
      </c>
      <c r="C142" s="17" t="s">
        <v>99</v>
      </c>
      <c r="D142" s="17" t="s">
        <v>38</v>
      </c>
      <c r="E142" s="17" t="s">
        <v>103</v>
      </c>
      <c r="F142" s="17"/>
      <c r="G142" s="18">
        <v>0</v>
      </c>
      <c r="H142" s="18">
        <v>1248.7000</v>
      </c>
      <c r="I142" s="18">
        <f ca="1">((I141 + G142) - H142)</f>
        <v>0</v>
      </c>
      <c r="J142" s="18">
        <v>0</v>
      </c>
      <c r="K142" s="19">
        <v>0</v>
      </c>
      <c r="L142" s="17"/>
    </row>
    <row r="143" ht="10.95" customHeight="true" customFormat="true" s="9">
      <c r="A143" s="16">
        <v>45315</v>
      </c>
      <c r="B143" s="17" t="s">
        <v>98</v>
      </c>
      <c r="C143" s="17" t="s">
        <v>99</v>
      </c>
      <c r="D143" s="17" t="s">
        <v>38</v>
      </c>
      <c r="E143" s="17" t="s">
        <v>39</v>
      </c>
      <c r="F143" s="17"/>
      <c r="G143" s="18">
        <v>0</v>
      </c>
      <c r="H143" s="18">
        <v>126.3900</v>
      </c>
      <c r="I143" s="18">
        <f ca="1">((I142 + G143) - H143)</f>
        <v>0</v>
      </c>
      <c r="J143" s="18">
        <v>0</v>
      </c>
      <c r="K143" s="19">
        <v>0</v>
      </c>
      <c r="L143" s="17"/>
    </row>
    <row r="144" ht="10.95" customHeight="true" customFormat="true" s="9">
      <c r="A144" s="16">
        <v>45316</v>
      </c>
      <c r="B144" s="17" t="s">
        <v>98</v>
      </c>
      <c r="C144" s="17" t="s">
        <v>99</v>
      </c>
      <c r="D144" s="17" t="s">
        <v>32</v>
      </c>
      <c r="E144" s="17" t="s">
        <v>100</v>
      </c>
      <c r="F144" s="17"/>
      <c r="G144" s="18">
        <v>1000.0000</v>
      </c>
      <c r="H144" s="18">
        <v>0</v>
      </c>
      <c r="I144" s="18">
        <f ca="1">((I143 + G144) - H144)</f>
        <v>0</v>
      </c>
      <c r="J144" s="18">
        <v>0</v>
      </c>
      <c r="K144" s="19">
        <v>0</v>
      </c>
      <c r="L144" s="17"/>
    </row>
    <row r="145" ht="10.95" customHeight="true" customFormat="true" s="9">
      <c r="A145" s="16">
        <v>45330</v>
      </c>
      <c r="B145" s="17" t="s">
        <v>98</v>
      </c>
      <c r="C145" s="17" t="s">
        <v>99</v>
      </c>
      <c r="D145" s="17" t="s">
        <v>32</v>
      </c>
      <c r="E145" s="17" t="s">
        <v>90</v>
      </c>
      <c r="F145" s="17"/>
      <c r="G145" s="18">
        <v>1000.0000</v>
      </c>
      <c r="H145" s="18">
        <v>0</v>
      </c>
      <c r="I145" s="18">
        <f ca="1">((I144 + G145) - H145)</f>
        <v>0</v>
      </c>
      <c r="J145" s="18">
        <v>0</v>
      </c>
      <c r="K145" s="19">
        <v>0</v>
      </c>
      <c r="L145" s="17"/>
    </row>
    <row r="146" ht="10.95" customHeight="true" customFormat="true" s="9">
      <c r="A146" s="16">
        <v>45334</v>
      </c>
      <c r="B146" s="17" t="s">
        <v>98</v>
      </c>
      <c r="C146" s="17" t="s">
        <v>99</v>
      </c>
      <c r="D146" s="17" t="s">
        <v>38</v>
      </c>
      <c r="E146" s="17" t="s">
        <v>52</v>
      </c>
      <c r="F146" s="17"/>
      <c r="G146" s="18">
        <v>0</v>
      </c>
      <c r="H146" s="18">
        <v>665.0000</v>
      </c>
      <c r="I146" s="18">
        <f ca="1">((I145 + G146) - H146)</f>
        <v>0</v>
      </c>
      <c r="J146" s="18">
        <v>0</v>
      </c>
      <c r="K146" s="19">
        <v>0</v>
      </c>
      <c r="L146" s="17"/>
    </row>
    <row r="147" ht="10.95" customHeight="true" customFormat="true" s="9">
      <c r="A147" s="16">
        <v>45334</v>
      </c>
      <c r="B147" s="17" t="s">
        <v>98</v>
      </c>
      <c r="C147" s="17" t="s">
        <v>99</v>
      </c>
      <c r="D147" s="17" t="s">
        <v>32</v>
      </c>
      <c r="E147" s="17" t="s">
        <v>104</v>
      </c>
      <c r="F147" s="17"/>
      <c r="G147" s="18">
        <v>33984.0000</v>
      </c>
      <c r="H147" s="18">
        <v>0</v>
      </c>
      <c r="I147" s="18">
        <f ca="1">((I146 + G147) - H147)</f>
        <v>0</v>
      </c>
      <c r="J147" s="18">
        <v>0</v>
      </c>
      <c r="K147" s="19">
        <v>0</v>
      </c>
      <c r="L147" s="17"/>
    </row>
    <row r="148" ht="10.95" customHeight="true" customFormat="true" s="9">
      <c r="A148" s="16">
        <v>45336</v>
      </c>
      <c r="B148" s="17" t="s">
        <v>98</v>
      </c>
      <c r="C148" s="17" t="s">
        <v>99</v>
      </c>
      <c r="D148" s="17" t="s">
        <v>32</v>
      </c>
      <c r="E148" s="17" t="s">
        <v>90</v>
      </c>
      <c r="F148" s="17"/>
      <c r="G148" s="18">
        <v>200.0000</v>
      </c>
      <c r="H148" s="18">
        <v>0</v>
      </c>
      <c r="I148" s="18">
        <f ca="1">((I147 + G148) - H148)</f>
        <v>0</v>
      </c>
      <c r="J148" s="18">
        <v>0</v>
      </c>
      <c r="K148" s="19">
        <v>0</v>
      </c>
      <c r="L148" s="17"/>
    </row>
    <row r="149" ht="10.95" customHeight="true" customFormat="true" s="9">
      <c r="A149" s="16">
        <v>45342</v>
      </c>
      <c r="B149" s="17" t="s">
        <v>98</v>
      </c>
      <c r="C149" s="17" t="s">
        <v>99</v>
      </c>
      <c r="D149" s="17" t="s">
        <v>38</v>
      </c>
      <c r="E149" s="17" t="s">
        <v>105</v>
      </c>
      <c r="F149" s="17"/>
      <c r="G149" s="18">
        <v>0</v>
      </c>
      <c r="H149" s="18">
        <v>135.2000</v>
      </c>
      <c r="I149" s="18">
        <f ca="1">((I148 + G149) - H149)</f>
        <v>0</v>
      </c>
      <c r="J149" s="18">
        <v>0</v>
      </c>
      <c r="K149" s="19">
        <v>0</v>
      </c>
      <c r="L149" s="17"/>
    </row>
    <row r="150" ht="10.95" customHeight="true" customFormat="true" s="9">
      <c r="A150" s="16">
        <v>45342</v>
      </c>
      <c r="B150" s="17" t="s">
        <v>98</v>
      </c>
      <c r="C150" s="17" t="s">
        <v>99</v>
      </c>
      <c r="D150" s="17" t="s">
        <v>32</v>
      </c>
      <c r="E150" s="17" t="s">
        <v>106</v>
      </c>
      <c r="F150" s="17"/>
      <c r="G150" s="18">
        <v>12486.9600</v>
      </c>
      <c r="H150" s="18">
        <v>0</v>
      </c>
      <c r="I150" s="18">
        <f ca="1">((I149 + G150) - H150)</f>
        <v>0</v>
      </c>
      <c r="J150" s="18">
        <v>0</v>
      </c>
      <c r="K150" s="19">
        <v>0</v>
      </c>
      <c r="L150" s="17"/>
    </row>
    <row r="151" ht="10.95" customHeight="true" customFormat="true" s="9">
      <c r="A151" s="16">
        <v>45342</v>
      </c>
      <c r="B151" s="17" t="s">
        <v>98</v>
      </c>
      <c r="C151" s="17" t="s">
        <v>99</v>
      </c>
      <c r="D151" s="17" t="s">
        <v>38</v>
      </c>
      <c r="E151" s="17" t="s">
        <v>105</v>
      </c>
      <c r="F151" s="17"/>
      <c r="G151" s="18">
        <v>0</v>
      </c>
      <c r="H151" s="18">
        <v>2271.3800</v>
      </c>
      <c r="I151" s="18">
        <f ca="1">((I150 + G151) - H151)</f>
        <v>0</v>
      </c>
      <c r="J151" s="18">
        <v>0</v>
      </c>
      <c r="K151" s="19">
        <v>0</v>
      </c>
      <c r="L151" s="17"/>
    </row>
    <row r="152" ht="10.95" customHeight="true" customFormat="true" s="9">
      <c r="A152" s="16">
        <v>45343</v>
      </c>
      <c r="B152" s="17" t="s">
        <v>98</v>
      </c>
      <c r="C152" s="17" t="s">
        <v>99</v>
      </c>
      <c r="D152" s="17" t="s">
        <v>38</v>
      </c>
      <c r="E152" s="17" t="s">
        <v>103</v>
      </c>
      <c r="F152" s="17"/>
      <c r="G152" s="18">
        <v>0</v>
      </c>
      <c r="H152" s="18">
        <v>12486.9600</v>
      </c>
      <c r="I152" s="18">
        <f ca="1">((I151 + G152) - H152)</f>
        <v>0</v>
      </c>
      <c r="J152" s="18">
        <v>0</v>
      </c>
      <c r="K152" s="19">
        <v>0</v>
      </c>
      <c r="L152" s="17"/>
    </row>
    <row r="153" ht="10.95" customHeight="true" customFormat="true" s="9">
      <c r="A153" s="16">
        <v>45348</v>
      </c>
      <c r="B153" s="17" t="s">
        <v>98</v>
      </c>
      <c r="C153" s="17" t="s">
        <v>99</v>
      </c>
      <c r="D153" s="17" t="s">
        <v>32</v>
      </c>
      <c r="E153" s="17" t="s">
        <v>90</v>
      </c>
      <c r="F153" s="17"/>
      <c r="G153" s="18">
        <v>900.0000</v>
      </c>
      <c r="H153" s="18">
        <v>0</v>
      </c>
      <c r="I153" s="18">
        <f ca="1">((I152 + G153) - H153)</f>
        <v>0</v>
      </c>
      <c r="J153" s="18">
        <v>0</v>
      </c>
      <c r="K153" s="19">
        <v>0</v>
      </c>
      <c r="L153" s="17"/>
    </row>
    <row r="154" ht="10.95" customHeight="true" customFormat="true" s="9">
      <c r="A154" s="16">
        <v>45351</v>
      </c>
      <c r="B154" s="17" t="s">
        <v>98</v>
      </c>
      <c r="C154" s="17" t="s">
        <v>99</v>
      </c>
      <c r="D154" s="17" t="s">
        <v>38</v>
      </c>
      <c r="E154" s="17" t="s">
        <v>39</v>
      </c>
      <c r="F154" s="17"/>
      <c r="G154" s="18">
        <v>0</v>
      </c>
      <c r="H154" s="18">
        <v>167.0000</v>
      </c>
      <c r="I154" s="18">
        <f ca="1">((I153 + G154) - H154)</f>
        <v>0</v>
      </c>
      <c r="J154" s="18">
        <v>0</v>
      </c>
      <c r="K154" s="19">
        <v>0</v>
      </c>
      <c r="L154" s="17"/>
    </row>
    <row r="155" ht="10.95" customHeight="true" customFormat="true" s="9">
      <c r="A155" s="16">
        <v>45351</v>
      </c>
      <c r="B155" s="17" t="s">
        <v>98</v>
      </c>
      <c r="C155" s="17" t="s">
        <v>99</v>
      </c>
      <c r="D155" s="17" t="s">
        <v>38</v>
      </c>
      <c r="E155" s="17" t="s">
        <v>39</v>
      </c>
      <c r="F155" s="17"/>
      <c r="G155" s="18">
        <v>0</v>
      </c>
      <c r="H155" s="18">
        <v>30.0000</v>
      </c>
      <c r="I155" s="18">
        <f ca="1">((I154 + G155) - H155)</f>
        <v>0</v>
      </c>
      <c r="J155" s="18">
        <v>0</v>
      </c>
      <c r="K155" s="19">
        <v>0</v>
      </c>
      <c r="L155" s="17"/>
    </row>
    <row r="156" ht="10.95" customHeight="true" customFormat="true" s="9">
      <c r="A156" s="16">
        <v>45351</v>
      </c>
      <c r="B156" s="17" t="s">
        <v>98</v>
      </c>
      <c r="C156" s="17" t="s">
        <v>99</v>
      </c>
      <c r="D156" s="17" t="s">
        <v>38</v>
      </c>
      <c r="E156" s="17" t="s">
        <v>39</v>
      </c>
      <c r="F156" s="17"/>
      <c r="G156" s="18">
        <v>0</v>
      </c>
      <c r="H156" s="18">
        <v>30.0000</v>
      </c>
      <c r="I156" s="18">
        <f ca="1">((I155 + G156) - H156)</f>
        <v>0</v>
      </c>
      <c r="J156" s="18">
        <v>0</v>
      </c>
      <c r="K156" s="19">
        <v>0</v>
      </c>
      <c r="L156" s="17"/>
    </row>
    <row r="157" ht="10.95" customHeight="true" customFormat="true" s="9">
      <c r="A157" s="16">
        <v>45358</v>
      </c>
      <c r="B157" s="17" t="s">
        <v>98</v>
      </c>
      <c r="C157" s="17" t="s">
        <v>99</v>
      </c>
      <c r="D157" s="17" t="s">
        <v>32</v>
      </c>
      <c r="E157" s="17" t="s">
        <v>90</v>
      </c>
      <c r="F157" s="17"/>
      <c r="G157" s="18">
        <v>1200.0000</v>
      </c>
      <c r="H157" s="18">
        <v>0</v>
      </c>
      <c r="I157" s="18">
        <f ca="1">((I156 + G157) - H157)</f>
        <v>0</v>
      </c>
      <c r="J157" s="18">
        <v>0</v>
      </c>
      <c r="K157" s="19">
        <v>0</v>
      </c>
      <c r="L157" s="17"/>
    </row>
    <row r="158" ht="10.95" customHeight="true" customFormat="true" s="9">
      <c r="A158" s="16">
        <v>45363</v>
      </c>
      <c r="B158" s="17" t="s">
        <v>98</v>
      </c>
      <c r="C158" s="17" t="s">
        <v>99</v>
      </c>
      <c r="D158" s="17" t="s">
        <v>38</v>
      </c>
      <c r="E158" s="17" t="s">
        <v>107</v>
      </c>
      <c r="F158" s="17"/>
      <c r="G158" s="18">
        <v>0</v>
      </c>
      <c r="H158" s="18">
        <v>2915.0000</v>
      </c>
      <c r="I158" s="18">
        <f ca="1">((I157 + G158) - H158)</f>
        <v>0</v>
      </c>
      <c r="J158" s="18">
        <v>0</v>
      </c>
      <c r="K158" s="19">
        <v>0</v>
      </c>
      <c r="L158" s="17"/>
    </row>
    <row r="159" ht="10.95" customHeight="true" customFormat="true" s="9">
      <c r="A159" s="16">
        <v>45371</v>
      </c>
      <c r="B159" s="17" t="s">
        <v>98</v>
      </c>
      <c r="C159" s="17" t="s">
        <v>99</v>
      </c>
      <c r="D159" s="17" t="s">
        <v>38</v>
      </c>
      <c r="E159" s="17" t="s">
        <v>105</v>
      </c>
      <c r="F159" s="17"/>
      <c r="G159" s="18">
        <v>0</v>
      </c>
      <c r="H159" s="18">
        <v>2060.1100</v>
      </c>
      <c r="I159" s="18">
        <f ca="1">((I158 + G159) - H159)</f>
        <v>0</v>
      </c>
      <c r="J159" s="18">
        <v>0</v>
      </c>
      <c r="K159" s="19">
        <v>0</v>
      </c>
      <c r="L159" s="17"/>
    </row>
    <row r="160" ht="10.95" customHeight="true" customFormat="true" s="9">
      <c r="A160" s="16">
        <v>45371</v>
      </c>
      <c r="B160" s="17" t="s">
        <v>98</v>
      </c>
      <c r="C160" s="17" t="s">
        <v>99</v>
      </c>
      <c r="D160" s="17" t="s">
        <v>38</v>
      </c>
      <c r="E160" s="17" t="s">
        <v>105</v>
      </c>
      <c r="F160" s="17"/>
      <c r="G160" s="18">
        <v>0</v>
      </c>
      <c r="H160" s="18">
        <v>122.9900</v>
      </c>
      <c r="I160" s="18">
        <f ca="1">((I159 + G160) - H160)</f>
        <v>0</v>
      </c>
      <c r="J160" s="18">
        <v>0</v>
      </c>
      <c r="K160" s="19">
        <v>0</v>
      </c>
      <c r="L160" s="17"/>
    </row>
    <row r="161" ht="10.95" customHeight="true" customFormat="true" s="9">
      <c r="A161" s="16">
        <v>45372</v>
      </c>
      <c r="B161" s="17" t="s">
        <v>98</v>
      </c>
      <c r="C161" s="17" t="s">
        <v>99</v>
      </c>
      <c r="D161" s="17" t="s">
        <v>32</v>
      </c>
      <c r="E161" s="17" t="s">
        <v>90</v>
      </c>
      <c r="F161" s="17"/>
      <c r="G161" s="18">
        <v>1000.0000</v>
      </c>
      <c r="H161" s="18">
        <v>0</v>
      </c>
      <c r="I161" s="18">
        <f ca="1">((I160 + G161) - H161)</f>
        <v>0</v>
      </c>
      <c r="J161" s="18">
        <v>0</v>
      </c>
      <c r="K161" s="19">
        <v>0</v>
      </c>
      <c r="L161" s="17"/>
    </row>
    <row r="162" ht="10.95" customHeight="true" customFormat="true" s="9">
      <c r="A162" s="16">
        <v>45378</v>
      </c>
      <c r="B162" s="17" t="s">
        <v>98</v>
      </c>
      <c r="C162" s="17" t="s">
        <v>99</v>
      </c>
      <c r="D162" s="17" t="s">
        <v>32</v>
      </c>
      <c r="E162" s="17" t="s">
        <v>33</v>
      </c>
      <c r="F162" s="17"/>
      <c r="G162" s="18">
        <v>500.0000</v>
      </c>
      <c r="H162" s="18">
        <v>0</v>
      </c>
      <c r="I162" s="18">
        <f ca="1">((I161 + G162) - H162)</f>
        <v>0</v>
      </c>
      <c r="J162" s="18">
        <v>0</v>
      </c>
      <c r="K162" s="19">
        <v>0</v>
      </c>
      <c r="L162" s="17"/>
    </row>
    <row r="163" ht="10.95" customHeight="true" customFormat="true" s="9">
      <c r="A163" s="16">
        <v>45379</v>
      </c>
      <c r="B163" s="17" t="s">
        <v>98</v>
      </c>
      <c r="C163" s="17" t="s">
        <v>99</v>
      </c>
      <c r="D163" s="17" t="s">
        <v>38</v>
      </c>
      <c r="E163" s="17" t="s">
        <v>39</v>
      </c>
      <c r="F163" s="17"/>
      <c r="G163" s="18">
        <v>0</v>
      </c>
      <c r="H163" s="18">
        <v>167.0000</v>
      </c>
      <c r="I163" s="18">
        <f ca="1">((I162 + G163) - H163)</f>
        <v>0</v>
      </c>
      <c r="J163" s="18">
        <v>0</v>
      </c>
      <c r="K163" s="19">
        <v>0</v>
      </c>
      <c r="L163" s="17"/>
    </row>
    <row r="164" ht="10.95" customHeight="true" customFormat="true" s="9">
      <c r="A164" s="16">
        <v>45379</v>
      </c>
      <c r="B164" s="17" t="s">
        <v>98</v>
      </c>
      <c r="C164" s="17" t="s">
        <v>99</v>
      </c>
      <c r="D164" s="17" t="s">
        <v>38</v>
      </c>
      <c r="E164" s="17" t="s">
        <v>39</v>
      </c>
      <c r="F164" s="17"/>
      <c r="G164" s="18">
        <v>0</v>
      </c>
      <c r="H164" s="18">
        <v>30.0000</v>
      </c>
      <c r="I164" s="18">
        <f ca="1">((I163 + G164) - H164)</f>
        <v>0</v>
      </c>
      <c r="J164" s="18">
        <v>0</v>
      </c>
      <c r="K164" s="19">
        <v>0</v>
      </c>
      <c r="L164" s="17"/>
    </row>
    <row r="165" ht="10.95" customHeight="true" customFormat="true" s="9">
      <c r="A165" s="16">
        <v>45379</v>
      </c>
      <c r="B165" s="17" t="s">
        <v>98</v>
      </c>
      <c r="C165" s="17" t="s">
        <v>99</v>
      </c>
      <c r="D165" s="17" t="s">
        <v>38</v>
      </c>
      <c r="E165" s="17" t="s">
        <v>39</v>
      </c>
      <c r="F165" s="17"/>
      <c r="G165" s="18">
        <v>0</v>
      </c>
      <c r="H165" s="18">
        <v>30.0000</v>
      </c>
      <c r="I165" s="18">
        <f ca="1">((I164 + G165) - H165)</f>
        <v>0</v>
      </c>
      <c r="J165" s="18">
        <v>0</v>
      </c>
      <c r="K165" s="19">
        <v>0</v>
      </c>
      <c r="L165" s="17"/>
    </row>
    <row r="166" ht="10.95" customHeight="true" customFormat="true" s="9">
      <c r="A166" s="16">
        <v>45386</v>
      </c>
      <c r="B166" s="17" t="s">
        <v>98</v>
      </c>
      <c r="C166" s="17" t="s">
        <v>99</v>
      </c>
      <c r="D166" s="17" t="s">
        <v>32</v>
      </c>
      <c r="E166" s="17" t="s">
        <v>90</v>
      </c>
      <c r="F166" s="17"/>
      <c r="G166" s="18">
        <v>1200.0000</v>
      </c>
      <c r="H166" s="18">
        <v>0</v>
      </c>
      <c r="I166" s="18">
        <f ca="1">((I165 + G166) - H166)</f>
        <v>0</v>
      </c>
      <c r="J166" s="18">
        <v>0</v>
      </c>
      <c r="K166" s="19">
        <v>0</v>
      </c>
      <c r="L166" s="17"/>
    </row>
    <row r="167" ht="10.95" customHeight="true" customFormat="true" s="9">
      <c r="A167" s="16">
        <v>45390</v>
      </c>
      <c r="B167" s="17" t="s">
        <v>98</v>
      </c>
      <c r="C167" s="17" t="s">
        <v>99</v>
      </c>
      <c r="D167" s="17" t="s">
        <v>32</v>
      </c>
      <c r="E167" s="17" t="s">
        <v>104</v>
      </c>
      <c r="F167" s="17"/>
      <c r="G167" s="18">
        <v>5733.0000</v>
      </c>
      <c r="H167" s="18">
        <v>0</v>
      </c>
      <c r="I167" s="18">
        <f ca="1">((I166 + G167) - H167)</f>
        <v>0</v>
      </c>
      <c r="J167" s="18">
        <v>0</v>
      </c>
      <c r="K167" s="19">
        <v>0</v>
      </c>
      <c r="L167" s="17"/>
    </row>
    <row r="168" ht="10.95" customHeight="true" customFormat="true" s="9">
      <c r="A168" s="16">
        <v>45390</v>
      </c>
      <c r="B168" s="17" t="s">
        <v>98</v>
      </c>
      <c r="C168" s="17" t="s">
        <v>99</v>
      </c>
      <c r="D168" s="17" t="s">
        <v>38</v>
      </c>
      <c r="E168" s="17" t="s">
        <v>100</v>
      </c>
      <c r="F168" s="17"/>
      <c r="G168" s="18">
        <v>0</v>
      </c>
      <c r="H168" s="18">
        <v>5000.0000</v>
      </c>
      <c r="I168" s="18">
        <f ca="1">((I167 + G168) - H168)</f>
        <v>0</v>
      </c>
      <c r="J168" s="18">
        <v>0</v>
      </c>
      <c r="K168" s="19">
        <v>0</v>
      </c>
      <c r="L168" s="17"/>
    </row>
    <row r="169" ht="10.95" customHeight="true" customFormat="true" s="9">
      <c r="A169" s="16">
        <v>45401</v>
      </c>
      <c r="B169" s="17" t="s">
        <v>98</v>
      </c>
      <c r="C169" s="17" t="s">
        <v>99</v>
      </c>
      <c r="D169" s="17" t="s">
        <v>32</v>
      </c>
      <c r="E169" s="17" t="s">
        <v>90</v>
      </c>
      <c r="F169" s="17"/>
      <c r="G169" s="18">
        <v>1000.0000</v>
      </c>
      <c r="H169" s="18">
        <v>0</v>
      </c>
      <c r="I169" s="18">
        <f ca="1">((I168 + G169) - H169)</f>
        <v>0</v>
      </c>
      <c r="J169" s="18">
        <v>0</v>
      </c>
      <c r="K169" s="19">
        <v>0</v>
      </c>
      <c r="L169" s="17"/>
    </row>
    <row r="170" ht="10.95" customHeight="true" customFormat="true" s="9">
      <c r="A170" s="16">
        <v>45404</v>
      </c>
      <c r="B170" s="17" t="s">
        <v>98</v>
      </c>
      <c r="C170" s="17" t="s">
        <v>99</v>
      </c>
      <c r="D170" s="17" t="s">
        <v>38</v>
      </c>
      <c r="E170" s="17" t="s">
        <v>105</v>
      </c>
      <c r="F170" s="17"/>
      <c r="G170" s="18">
        <v>0</v>
      </c>
      <c r="H170" s="18">
        <v>2344.2600</v>
      </c>
      <c r="I170" s="18">
        <f ca="1">((I169 + G170) - H170)</f>
        <v>0</v>
      </c>
      <c r="J170" s="18">
        <v>0</v>
      </c>
      <c r="K170" s="19">
        <v>0</v>
      </c>
      <c r="L170" s="17"/>
    </row>
    <row r="171" ht="10.95" customHeight="true" customFormat="true" s="9">
      <c r="A171" s="16">
        <v>45404</v>
      </c>
      <c r="B171" s="17" t="s">
        <v>98</v>
      </c>
      <c r="C171" s="17" t="s">
        <v>99</v>
      </c>
      <c r="D171" s="17" t="s">
        <v>38</v>
      </c>
      <c r="E171" s="17" t="s">
        <v>105</v>
      </c>
      <c r="F171" s="17"/>
      <c r="G171" s="18">
        <v>0</v>
      </c>
      <c r="H171" s="18">
        <v>139.9500</v>
      </c>
      <c r="I171" s="18">
        <f ca="1">((I170 + G171) - H171)</f>
        <v>0</v>
      </c>
      <c r="J171" s="18">
        <v>0</v>
      </c>
      <c r="K171" s="19">
        <v>0</v>
      </c>
      <c r="L171" s="17"/>
    </row>
    <row r="172" ht="10.95" customHeight="true" customFormat="true" s="9">
      <c r="A172" s="16">
        <v>45404</v>
      </c>
      <c r="B172" s="17" t="s">
        <v>98</v>
      </c>
      <c r="C172" s="17" t="s">
        <v>99</v>
      </c>
      <c r="D172" s="17" t="s">
        <v>38</v>
      </c>
      <c r="E172" s="17" t="s">
        <v>105</v>
      </c>
      <c r="F172" s="17"/>
      <c r="G172" s="18">
        <v>0</v>
      </c>
      <c r="H172" s="18">
        <v>734.9400</v>
      </c>
      <c r="I172" s="18">
        <f ca="1">((I171 + G172) - H172)</f>
        <v>0</v>
      </c>
      <c r="J172" s="18">
        <v>0</v>
      </c>
      <c r="K172" s="19">
        <v>0</v>
      </c>
      <c r="L172" s="17"/>
    </row>
    <row r="173" ht="10.95" customHeight="true" customFormat="true" s="9">
      <c r="A173" s="16">
        <v>45411</v>
      </c>
      <c r="B173" s="17" t="s">
        <v>98</v>
      </c>
      <c r="C173" s="17" t="s">
        <v>99</v>
      </c>
      <c r="D173" s="17" t="s">
        <v>38</v>
      </c>
      <c r="E173" s="17" t="s">
        <v>102</v>
      </c>
      <c r="F173" s="17"/>
      <c r="G173" s="18">
        <v>0</v>
      </c>
      <c r="H173" s="18">
        <v>3025.4500</v>
      </c>
      <c r="I173" s="18">
        <f ca="1">((I172 + G173) - H173)</f>
        <v>0</v>
      </c>
      <c r="J173" s="18">
        <v>0</v>
      </c>
      <c r="K173" s="19">
        <v>0</v>
      </c>
      <c r="L173" s="17"/>
    </row>
    <row r="174" ht="10.95" customHeight="true" customFormat="true" s="9">
      <c r="A174" s="16">
        <v>45412</v>
      </c>
      <c r="B174" s="17" t="s">
        <v>98</v>
      </c>
      <c r="C174" s="17" t="s">
        <v>99</v>
      </c>
      <c r="D174" s="17" t="s">
        <v>38</v>
      </c>
      <c r="E174" s="17" t="s">
        <v>39</v>
      </c>
      <c r="F174" s="17"/>
      <c r="G174" s="18">
        <v>0</v>
      </c>
      <c r="H174" s="18">
        <v>167.0000</v>
      </c>
      <c r="I174" s="18">
        <f ca="1">((I173 + G174) - H174)</f>
        <v>0</v>
      </c>
      <c r="J174" s="18">
        <v>0</v>
      </c>
      <c r="K174" s="19">
        <v>0</v>
      </c>
      <c r="L174" s="17"/>
    </row>
    <row r="175" ht="10.95" customHeight="true" customFormat="true" s="9">
      <c r="A175" s="16">
        <v>45412</v>
      </c>
      <c r="B175" s="17" t="s">
        <v>98</v>
      </c>
      <c r="C175" s="17" t="s">
        <v>99</v>
      </c>
      <c r="D175" s="17" t="s">
        <v>38</v>
      </c>
      <c r="E175" s="17" t="s">
        <v>39</v>
      </c>
      <c r="F175" s="17"/>
      <c r="G175" s="18">
        <v>0</v>
      </c>
      <c r="H175" s="18">
        <v>30.0000</v>
      </c>
      <c r="I175" s="18">
        <f ca="1">((I174 + G175) - H175)</f>
        <v>0</v>
      </c>
      <c r="J175" s="18">
        <v>0</v>
      </c>
      <c r="K175" s="19">
        <v>0</v>
      </c>
      <c r="L175" s="17"/>
    </row>
    <row r="176" ht="10.95" customHeight="true" customFormat="true" s="9">
      <c r="A176" s="16">
        <v>45412</v>
      </c>
      <c r="B176" s="17" t="s">
        <v>98</v>
      </c>
      <c r="C176" s="17" t="s">
        <v>99</v>
      </c>
      <c r="D176" s="17" t="s">
        <v>38</v>
      </c>
      <c r="E176" s="17" t="s">
        <v>39</v>
      </c>
      <c r="F176" s="17"/>
      <c r="G176" s="18">
        <v>0</v>
      </c>
      <c r="H176" s="18">
        <v>30.0000</v>
      </c>
      <c r="I176" s="18">
        <f ca="1">((I175 + G176) - H176)</f>
        <v>0</v>
      </c>
      <c r="J176" s="18">
        <v>0</v>
      </c>
      <c r="K176" s="19">
        <v>0</v>
      </c>
      <c r="L176" s="17"/>
    </row>
    <row r="177" ht="10.95" customHeight="true" customFormat="true" s="9">
      <c r="A177" s="16">
        <v>45413</v>
      </c>
      <c r="B177" s="17" t="s">
        <v>98</v>
      </c>
      <c r="C177" s="17" t="s">
        <v>99</v>
      </c>
      <c r="D177" s="17" t="s">
        <v>38</v>
      </c>
      <c r="E177" s="17" t="s">
        <v>103</v>
      </c>
      <c r="F177" s="17"/>
      <c r="G177" s="18">
        <v>0</v>
      </c>
      <c r="H177" s="18">
        <v>3121.7400</v>
      </c>
      <c r="I177" s="18">
        <f ca="1">((I176 + G177) - H177)</f>
        <v>0</v>
      </c>
      <c r="J177" s="18">
        <v>0</v>
      </c>
      <c r="K177" s="19">
        <v>0</v>
      </c>
      <c r="L177" s="17"/>
    </row>
    <row r="178" ht="10.95" customHeight="true" customFormat="true" s="9">
      <c r="A178" s="16">
        <v>45414</v>
      </c>
      <c r="B178" s="17" t="s">
        <v>98</v>
      </c>
      <c r="C178" s="17" t="s">
        <v>99</v>
      </c>
      <c r="D178" s="17" t="s">
        <v>32</v>
      </c>
      <c r="E178" s="17" t="s">
        <v>90</v>
      </c>
      <c r="F178" s="17"/>
      <c r="G178" s="18">
        <v>1200.0000</v>
      </c>
      <c r="H178" s="18">
        <v>0</v>
      </c>
      <c r="I178" s="18">
        <f ca="1">((I177 + G178) - H178)</f>
        <v>0</v>
      </c>
      <c r="J178" s="18">
        <v>0</v>
      </c>
      <c r="K178" s="19">
        <v>0</v>
      </c>
      <c r="L178" s="17"/>
    </row>
    <row r="179" ht="10.95" customHeight="true" customFormat="true" s="9">
      <c r="A179" s="16">
        <v>45428</v>
      </c>
      <c r="B179" s="17" t="s">
        <v>98</v>
      </c>
      <c r="C179" s="17" t="s">
        <v>99</v>
      </c>
      <c r="D179" s="17" t="s">
        <v>32</v>
      </c>
      <c r="E179" s="17" t="s">
        <v>106</v>
      </c>
      <c r="F179" s="17"/>
      <c r="G179" s="18">
        <v>31217.4100</v>
      </c>
      <c r="H179" s="18">
        <v>0</v>
      </c>
      <c r="I179" s="18">
        <f ca="1">((I178 + G179) - H179)</f>
        <v>0</v>
      </c>
      <c r="J179" s="18">
        <v>0</v>
      </c>
      <c r="K179" s="19">
        <v>0</v>
      </c>
      <c r="L179" s="17"/>
    </row>
    <row r="180" ht="10.95" customHeight="true" customFormat="true" s="9">
      <c r="A180" s="16">
        <v>45428</v>
      </c>
      <c r="B180" s="17" t="s">
        <v>98</v>
      </c>
      <c r="C180" s="17" t="s">
        <v>99</v>
      </c>
      <c r="D180" s="17" t="s">
        <v>32</v>
      </c>
      <c r="E180" s="17" t="s">
        <v>90</v>
      </c>
      <c r="F180" s="17"/>
      <c r="G180" s="18">
        <v>1200.0000</v>
      </c>
      <c r="H180" s="18">
        <v>0</v>
      </c>
      <c r="I180" s="18">
        <f ca="1">((I179 + G180) - H180)</f>
        <v>0</v>
      </c>
      <c r="J180" s="18">
        <v>0</v>
      </c>
      <c r="K180" s="19">
        <v>0</v>
      </c>
      <c r="L180" s="17"/>
    </row>
    <row r="181" ht="10.95" customHeight="true" customFormat="true" s="9">
      <c r="A181" s="16">
        <v>45428</v>
      </c>
      <c r="B181" s="17" t="s">
        <v>98</v>
      </c>
      <c r="C181" s="17" t="s">
        <v>99</v>
      </c>
      <c r="D181" s="17" t="s">
        <v>38</v>
      </c>
      <c r="E181" s="17" t="s">
        <v>103</v>
      </c>
      <c r="F181" s="17"/>
      <c r="G181" s="18">
        <v>0</v>
      </c>
      <c r="H181" s="18">
        <v>31217.4100</v>
      </c>
      <c r="I181" s="18">
        <f ca="1">((I180 + G181) - H181)</f>
        <v>0</v>
      </c>
      <c r="J181" s="18">
        <v>0</v>
      </c>
      <c r="K181" s="19">
        <v>0</v>
      </c>
      <c r="L181" s="17"/>
    </row>
    <row r="182" ht="10.95" customHeight="true" customFormat="true" s="9">
      <c r="A182" s="16">
        <v>45428</v>
      </c>
      <c r="B182" s="17" t="s">
        <v>98</v>
      </c>
      <c r="C182" s="17" t="s">
        <v>99</v>
      </c>
      <c r="D182" s="17" t="s">
        <v>38</v>
      </c>
      <c r="E182" s="17" t="s">
        <v>108</v>
      </c>
      <c r="F182" s="17"/>
      <c r="G182" s="18">
        <v>0</v>
      </c>
      <c r="H182" s="18">
        <v>500.0000</v>
      </c>
      <c r="I182" s="18">
        <f ca="1">((I181 + G182) - H182)</f>
        <v>0</v>
      </c>
      <c r="J182" s="18">
        <v>0</v>
      </c>
      <c r="K182" s="19">
        <v>0</v>
      </c>
      <c r="L182" s="17"/>
    </row>
    <row r="183" ht="10.95" customHeight="true" customFormat="true" s="9">
      <c r="A183" s="16">
        <v>45432</v>
      </c>
      <c r="B183" s="17" t="s">
        <v>98</v>
      </c>
      <c r="C183" s="17" t="s">
        <v>99</v>
      </c>
      <c r="D183" s="17" t="s">
        <v>38</v>
      </c>
      <c r="E183" s="17" t="s">
        <v>71</v>
      </c>
      <c r="F183" s="17"/>
      <c r="G183" s="18">
        <v>0</v>
      </c>
      <c r="H183" s="18">
        <v>2841.7200</v>
      </c>
      <c r="I183" s="18">
        <f ca="1">((I182 + G183) - H183)</f>
        <v>0</v>
      </c>
      <c r="J183" s="18">
        <v>0</v>
      </c>
      <c r="K183" s="19">
        <v>0</v>
      </c>
      <c r="L183" s="17"/>
    </row>
    <row r="184" ht="10.95" customHeight="true" customFormat="true" s="9">
      <c r="A184" s="16">
        <v>45433</v>
      </c>
      <c r="B184" s="17" t="s">
        <v>98</v>
      </c>
      <c r="C184" s="17" t="s">
        <v>99</v>
      </c>
      <c r="D184" s="17" t="s">
        <v>38</v>
      </c>
      <c r="E184" s="17" t="s">
        <v>105</v>
      </c>
      <c r="F184" s="17"/>
      <c r="G184" s="18">
        <v>0</v>
      </c>
      <c r="H184" s="18">
        <v>2060.1100</v>
      </c>
      <c r="I184" s="18">
        <f ca="1">((I183 + G184) - H184)</f>
        <v>0</v>
      </c>
      <c r="J184" s="18">
        <v>0</v>
      </c>
      <c r="K184" s="19">
        <v>0</v>
      </c>
      <c r="L184" s="17"/>
    </row>
    <row r="185" ht="10.95" customHeight="true" customFormat="true" s="9">
      <c r="A185" s="16">
        <v>45433</v>
      </c>
      <c r="B185" s="17" t="s">
        <v>98</v>
      </c>
      <c r="C185" s="17" t="s">
        <v>99</v>
      </c>
      <c r="D185" s="17" t="s">
        <v>38</v>
      </c>
      <c r="E185" s="17" t="s">
        <v>105</v>
      </c>
      <c r="F185" s="17"/>
      <c r="G185" s="18">
        <v>0</v>
      </c>
      <c r="H185" s="18">
        <v>122.9900</v>
      </c>
      <c r="I185" s="18">
        <f ca="1">((I184 + G185) - H185)</f>
        <v>0</v>
      </c>
      <c r="J185" s="18">
        <v>0</v>
      </c>
      <c r="K185" s="19">
        <v>0</v>
      </c>
      <c r="L185" s="17"/>
    </row>
    <row r="186" ht="10.95" customHeight="true" customFormat="true" s="9">
      <c r="A186" s="16">
        <v>45442</v>
      </c>
      <c r="B186" s="17" t="s">
        <v>98</v>
      </c>
      <c r="C186" s="17" t="s">
        <v>99</v>
      </c>
      <c r="D186" s="17" t="s">
        <v>32</v>
      </c>
      <c r="E186" s="17" t="s">
        <v>104</v>
      </c>
      <c r="F186" s="17"/>
      <c r="G186" s="18">
        <v>265.0000</v>
      </c>
      <c r="H186" s="18">
        <v>0</v>
      </c>
      <c r="I186" s="18">
        <f ca="1">((I185 + G186) - H186)</f>
        <v>0</v>
      </c>
      <c r="J186" s="18">
        <v>0</v>
      </c>
      <c r="K186" s="19">
        <v>0</v>
      </c>
      <c r="L186" s="17"/>
    </row>
    <row r="187" ht="10.95" customHeight="true" customFormat="true" s="9">
      <c r="A187" s="16">
        <v>45443</v>
      </c>
      <c r="B187" s="17" t="s">
        <v>98</v>
      </c>
      <c r="C187" s="17" t="s">
        <v>99</v>
      </c>
      <c r="D187" s="17" t="s">
        <v>38</v>
      </c>
      <c r="E187" s="17" t="s">
        <v>39</v>
      </c>
      <c r="F187" s="17"/>
      <c r="G187" s="18">
        <v>0</v>
      </c>
      <c r="H187" s="18">
        <v>167.0000</v>
      </c>
      <c r="I187" s="18">
        <f ca="1">((I186 + G187) - H187)</f>
        <v>0</v>
      </c>
      <c r="J187" s="18">
        <v>0</v>
      </c>
      <c r="K187" s="19">
        <v>0</v>
      </c>
      <c r="L187" s="17"/>
    </row>
    <row r="188" ht="10.95" customHeight="true" customFormat="true" s="9">
      <c r="A188" s="16">
        <v>45443</v>
      </c>
      <c r="B188" s="17" t="s">
        <v>98</v>
      </c>
      <c r="C188" s="17" t="s">
        <v>99</v>
      </c>
      <c r="D188" s="17" t="s">
        <v>38</v>
      </c>
      <c r="E188" s="17" t="s">
        <v>39</v>
      </c>
      <c r="F188" s="17" t="s">
        <v>42</v>
      </c>
      <c r="G188" s="18">
        <v>0</v>
      </c>
      <c r="H188" s="18">
        <v>30.0000</v>
      </c>
      <c r="I188" s="18">
        <f ca="1">((I187 + G188) - H188)</f>
        <v>0</v>
      </c>
      <c r="J188" s="18">
        <v>0</v>
      </c>
      <c r="K188" s="19">
        <v>0</v>
      </c>
      <c r="L188" s="17"/>
    </row>
    <row r="189" ht="10.95" customHeight="true" customFormat="true" s="9">
      <c r="A189" s="16">
        <v>45443</v>
      </c>
      <c r="B189" s="17" t="s">
        <v>98</v>
      </c>
      <c r="C189" s="17" t="s">
        <v>99</v>
      </c>
      <c r="D189" s="17" t="s">
        <v>38</v>
      </c>
      <c r="E189" s="17" t="s">
        <v>39</v>
      </c>
      <c r="F189" s="17" t="s">
        <v>42</v>
      </c>
      <c r="G189" s="18">
        <v>0</v>
      </c>
      <c r="H189" s="18">
        <v>30.0000</v>
      </c>
      <c r="I189" s="18">
        <f ca="1">((I188 + G189) - H189)</f>
        <v>0</v>
      </c>
      <c r="J189" s="18">
        <v>0</v>
      </c>
      <c r="K189" s="19">
        <v>0</v>
      </c>
      <c r="L189" s="17"/>
    </row>
    <row r="190" ht="10.95" customHeight="true" customFormat="true" s="9">
      <c r="A190" s="16">
        <v>45455</v>
      </c>
      <c r="B190" s="17" t="s">
        <v>98</v>
      </c>
      <c r="C190" s="17" t="s">
        <v>99</v>
      </c>
      <c r="D190" s="17" t="s">
        <v>38</v>
      </c>
      <c r="E190" s="17" t="s">
        <v>103</v>
      </c>
      <c r="F190" s="17"/>
      <c r="G190" s="18">
        <v>0</v>
      </c>
      <c r="H190" s="18">
        <v>3746.0900</v>
      </c>
      <c r="I190" s="18">
        <f ca="1">((I189 + G190) - H190)</f>
        <v>0</v>
      </c>
      <c r="J190" s="18">
        <v>0</v>
      </c>
      <c r="K190" s="19">
        <v>0</v>
      </c>
      <c r="L190" s="17"/>
    </row>
    <row r="191" ht="10.95" customHeight="true" customFormat="true" s="9">
      <c r="A191" s="16">
        <v>45456</v>
      </c>
      <c r="B191" s="17" t="s">
        <v>98</v>
      </c>
      <c r="C191" s="17" t="s">
        <v>99</v>
      </c>
      <c r="D191" s="17" t="s">
        <v>32</v>
      </c>
      <c r="E191" s="17" t="s">
        <v>90</v>
      </c>
      <c r="F191" s="17"/>
      <c r="G191" s="18">
        <v>1200.0000</v>
      </c>
      <c r="H191" s="18">
        <v>0</v>
      </c>
      <c r="I191" s="18">
        <f ca="1">((I190 + G191) - H191)</f>
        <v>0</v>
      </c>
      <c r="J191" s="18">
        <v>0</v>
      </c>
      <c r="K191" s="19">
        <v>0</v>
      </c>
      <c r="L191" s="17"/>
    </row>
    <row r="192" ht="10.95" customHeight="true" customFormat="true" s="9">
      <c r="A192" s="16">
        <v>45463</v>
      </c>
      <c r="B192" s="17" t="s">
        <v>98</v>
      </c>
      <c r="C192" s="17" t="s">
        <v>99</v>
      </c>
      <c r="D192" s="17" t="s">
        <v>38</v>
      </c>
      <c r="E192" s="17" t="s">
        <v>39</v>
      </c>
      <c r="F192" s="17"/>
      <c r="G192" s="18">
        <v>0</v>
      </c>
      <c r="H192" s="18">
        <v>127.2300</v>
      </c>
      <c r="I192" s="18">
        <f ca="1">((I191 + G192) - H192)</f>
        <v>0</v>
      </c>
      <c r="J192" s="18">
        <v>0</v>
      </c>
      <c r="K192" s="19">
        <v>0</v>
      </c>
      <c r="L192" s="17"/>
    </row>
    <row r="193" ht="10.95" customHeight="true" customFormat="true" s="9">
      <c r="A193" s="16">
        <v>45463</v>
      </c>
      <c r="B193" s="17" t="s">
        <v>98</v>
      </c>
      <c r="C193" s="17" t="s">
        <v>99</v>
      </c>
      <c r="D193" s="17" t="s">
        <v>38</v>
      </c>
      <c r="E193" s="17" t="s">
        <v>39</v>
      </c>
      <c r="F193" s="17"/>
      <c r="G193" s="18">
        <v>0</v>
      </c>
      <c r="H193" s="18">
        <v>2131.1500</v>
      </c>
      <c r="I193" s="18">
        <f ca="1">((I192 + G193) - H193)</f>
        <v>0</v>
      </c>
      <c r="J193" s="18">
        <v>0</v>
      </c>
      <c r="K193" s="19">
        <v>0</v>
      </c>
      <c r="L193" s="17"/>
    </row>
    <row r="194" ht="10.95" customHeight="true" customFormat="true" s="9">
      <c r="A194" s="16">
        <v>45469</v>
      </c>
      <c r="B194" s="17" t="s">
        <v>98</v>
      </c>
      <c r="C194" s="17" t="s">
        <v>99</v>
      </c>
      <c r="D194" s="17" t="s">
        <v>32</v>
      </c>
      <c r="E194" s="17" t="s">
        <v>106</v>
      </c>
      <c r="F194" s="17"/>
      <c r="G194" s="18">
        <v>37460.8900</v>
      </c>
      <c r="H194" s="18">
        <v>0</v>
      </c>
      <c r="I194" s="18">
        <f ca="1">((I193 + G194) - H194)</f>
        <v>0</v>
      </c>
      <c r="J194" s="18">
        <v>0</v>
      </c>
      <c r="K194" s="19">
        <v>0</v>
      </c>
      <c r="L194" s="17"/>
    </row>
    <row r="195" ht="10.95" customHeight="true" customFormat="true" s="9">
      <c r="A195" s="16">
        <v>45469</v>
      </c>
      <c r="B195" s="17" t="s">
        <v>98</v>
      </c>
      <c r="C195" s="17" t="s">
        <v>99</v>
      </c>
      <c r="D195" s="17" t="s">
        <v>38</v>
      </c>
      <c r="E195" s="17" t="s">
        <v>103</v>
      </c>
      <c r="F195" s="17"/>
      <c r="G195" s="18">
        <v>0</v>
      </c>
      <c r="H195" s="18">
        <v>37460.8900</v>
      </c>
      <c r="I195" s="18">
        <f ca="1">((I194 + G195) - H195)</f>
        <v>0</v>
      </c>
      <c r="J195" s="18">
        <v>0</v>
      </c>
      <c r="K195" s="19">
        <v>0</v>
      </c>
      <c r="L195" s="17"/>
    </row>
    <row r="196" ht="10.95" customHeight="true" customFormat="true" s="9">
      <c r="A196" s="16">
        <v>45470</v>
      </c>
      <c r="B196" s="17" t="s">
        <v>98</v>
      </c>
      <c r="C196" s="17" t="s">
        <v>99</v>
      </c>
      <c r="D196" s="17" t="s">
        <v>32</v>
      </c>
      <c r="E196" s="17" t="s">
        <v>90</v>
      </c>
      <c r="F196" s="17"/>
      <c r="G196" s="18">
        <v>1200.0000</v>
      </c>
      <c r="H196" s="18">
        <v>0</v>
      </c>
      <c r="I196" s="18">
        <f ca="1">((I195 + G196) - H196)</f>
        <v>0</v>
      </c>
      <c r="J196" s="18">
        <v>0</v>
      </c>
      <c r="K196" s="19">
        <v>0</v>
      </c>
      <c r="L196" s="17"/>
    </row>
    <row r="197" ht="10.95" customHeight="true" customFormat="true" s="9">
      <c r="A197" s="16">
        <v>45471</v>
      </c>
      <c r="B197" s="17" t="s">
        <v>98</v>
      </c>
      <c r="C197" s="17" t="s">
        <v>99</v>
      </c>
      <c r="D197" s="17" t="s">
        <v>38</v>
      </c>
      <c r="E197" s="17" t="s">
        <v>52</v>
      </c>
      <c r="F197" s="17"/>
      <c r="G197" s="18">
        <v>0</v>
      </c>
      <c r="H197" s="18">
        <v>770.0000</v>
      </c>
      <c r="I197" s="18">
        <f ca="1">((I196 + G197) - H197)</f>
        <v>0</v>
      </c>
      <c r="J197" s="18">
        <v>0</v>
      </c>
      <c r="K197" s="19">
        <v>0</v>
      </c>
      <c r="L197" s="17"/>
    </row>
    <row r="198" ht="10.95" customHeight="true" customFormat="true" s="9">
      <c r="A198" s="16">
        <v>45471</v>
      </c>
      <c r="B198" s="17" t="s">
        <v>98</v>
      </c>
      <c r="C198" s="17" t="s">
        <v>99</v>
      </c>
      <c r="D198" s="17" t="s">
        <v>38</v>
      </c>
      <c r="E198" s="17" t="s">
        <v>39</v>
      </c>
      <c r="F198" s="17"/>
      <c r="G198" s="18">
        <v>0</v>
      </c>
      <c r="H198" s="18">
        <v>30.0000</v>
      </c>
      <c r="I198" s="18">
        <f ca="1">((I197 + G198) - H198)</f>
        <v>0</v>
      </c>
      <c r="J198" s="18">
        <v>0</v>
      </c>
      <c r="K198" s="19">
        <v>0</v>
      </c>
      <c r="L198" s="17"/>
    </row>
    <row r="199" ht="10.95" customHeight="true" customFormat="true" s="9">
      <c r="A199" s="16">
        <v>45471</v>
      </c>
      <c r="B199" s="17" t="s">
        <v>98</v>
      </c>
      <c r="C199" s="17" t="s">
        <v>99</v>
      </c>
      <c r="D199" s="17" t="s">
        <v>38</v>
      </c>
      <c r="E199" s="17" t="s">
        <v>39</v>
      </c>
      <c r="F199" s="17"/>
      <c r="G199" s="18">
        <v>0</v>
      </c>
      <c r="H199" s="18">
        <v>30.0000</v>
      </c>
      <c r="I199" s="18">
        <f ca="1">((I198 + G199) - H199)</f>
        <v>0</v>
      </c>
      <c r="J199" s="18">
        <v>0</v>
      </c>
      <c r="K199" s="19">
        <v>0</v>
      </c>
      <c r="L199" s="17"/>
    </row>
    <row r="200" ht="10.95" customHeight="true" customFormat="true" s="9">
      <c r="A200" s="16">
        <v>45471</v>
      </c>
      <c r="B200" s="17" t="s">
        <v>98</v>
      </c>
      <c r="C200" s="17" t="s">
        <v>99</v>
      </c>
      <c r="D200" s="17" t="s">
        <v>38</v>
      </c>
      <c r="E200" s="17" t="s">
        <v>39</v>
      </c>
      <c r="F200" s="17"/>
      <c r="G200" s="18">
        <v>0</v>
      </c>
      <c r="H200" s="18">
        <v>167.0000</v>
      </c>
      <c r="I200" s="18">
        <f ca="1">((I199 + G200) - H200)</f>
        <v>0</v>
      </c>
      <c r="J200" s="18">
        <v>0</v>
      </c>
      <c r="K200" s="19">
        <v>0</v>
      </c>
      <c r="L200" s="17"/>
    </row>
    <row r="201" ht="10.95" customHeight="true" customFormat="true" s="9">
      <c r="A201" s="16">
        <v>45471</v>
      </c>
      <c r="B201" s="17" t="s">
        <v>98</v>
      </c>
      <c r="C201" s="17" t="s">
        <v>99</v>
      </c>
      <c r="D201" s="17" t="s">
        <v>32</v>
      </c>
      <c r="E201" s="17" t="s">
        <v>100</v>
      </c>
      <c r="F201" s="17"/>
      <c r="G201" s="18">
        <v>770.0000</v>
      </c>
      <c r="H201" s="18">
        <v>0</v>
      </c>
      <c r="I201" s="18">
        <f ca="1">((I200 + G201) - H201)</f>
        <v>0</v>
      </c>
      <c r="J201" s="18">
        <v>0</v>
      </c>
      <c r="K201" s="19">
        <v>0</v>
      </c>
      <c r="L201" s="17"/>
    </row>
    <row r="202" ht="10.95" customHeight="true" customFormat="true" s="9">
      <c r="A202" s="20" t="s">
        <v>109</v>
      </c>
      <c r="B202" s="20"/>
      <c r="C202" s="20"/>
      <c r="D202" s="20"/>
      <c r="E202" s="20"/>
      <c r="F202" s="20"/>
      <c r="G202" s="21">
        <f ca="1">SUM(G132:G201)</f>
        <v>0</v>
      </c>
      <c r="H202" s="21">
        <f ca="1">SUM(H132:H201)</f>
        <v>0</v>
      </c>
      <c r="I202" s="21">
        <f ca="1">I201</f>
        <v>0</v>
      </c>
      <c r="J202" s="21">
        <f ca="1">SUM(J132:J201)</f>
        <v>0</v>
      </c>
      <c r="K202" s="20"/>
      <c r="L202" s="20"/>
    </row>
    <row r="203" ht="10.95" customHeight="true" customFormat="true" s="9">
      <c r="A203" s="20" t="s">
        <v>27</v>
      </c>
      <c r="B203" s="20"/>
      <c r="C203" s="20"/>
      <c r="D203" s="20"/>
      <c r="E203" s="20"/>
      <c r="F203" s="20"/>
      <c r="G203" s="21">
        <v>18055.3000</v>
      </c>
      <c r="H203" s="21">
        <v>0</v>
      </c>
      <c r="I203" s="21">
        <v>0</v>
      </c>
      <c r="J203" s="21">
        <v>0</v>
      </c>
      <c r="K203" s="20"/>
      <c r="L203" s="20"/>
    </row>
    <row r="204" ht="10.95" customHeight="true" customFormat="true" s="9">
      <c r="A204" s="10" t="s">
        <v>28</v>
      </c>
      <c r="B204" s="10"/>
      <c r="C204" s="10"/>
      <c r="D204" s="10"/>
      <c r="E204" s="10"/>
      <c r="F204" s="10"/>
      <c r="G204" s="11">
        <v>18055.3000</v>
      </c>
      <c r="H204" s="11">
        <v>0</v>
      </c>
      <c r="I204" s="11">
        <f ca="1">I201</f>
        <v>0</v>
      </c>
      <c r="J204" s="11">
        <v>0</v>
      </c>
      <c r="K204" s="10"/>
      <c r="L204" s="10"/>
    </row>
    <row r="205" ht="13.35" customHeight="true"/>
    <row r="206" ht="12.1" customHeight="true" customFormat="true" s="5">
      <c r="A206" s="8" t="s">
        <v>110</v>
      </c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</row>
    <row r="207" ht="10.95" customHeight="true" customFormat="true" s="9">
      <c r="A207" s="10" t="s">
        <v>16</v>
      </c>
      <c r="B207" s="10"/>
      <c r="C207" s="10"/>
      <c r="D207" s="10"/>
      <c r="E207" s="10"/>
      <c r="F207" s="10"/>
      <c r="G207" s="11">
        <v>0</v>
      </c>
      <c r="H207" s="11">
        <v>0</v>
      </c>
      <c r="I207" s="11">
        <f ca="1">(G207 - H207)</f>
        <v>0</v>
      </c>
      <c r="J207" s="11">
        <v>0</v>
      </c>
      <c r="K207" s="10"/>
      <c r="L207" s="10"/>
    </row>
    <row r="208" ht="10.95" customHeight="true" customFormat="true" s="9">
      <c r="A208" s="12">
        <v>45473</v>
      </c>
      <c r="B208" s="13" t="s">
        <v>111</v>
      </c>
      <c r="C208" s="13" t="s">
        <v>112</v>
      </c>
      <c r="D208" s="13" t="s">
        <v>19</v>
      </c>
      <c r="E208" s="13" t="s">
        <v>113</v>
      </c>
      <c r="F208" s="13" t="s">
        <v>48</v>
      </c>
      <c r="G208" s="14">
        <v>10.0000</v>
      </c>
      <c r="H208" s="14">
        <v>0</v>
      </c>
      <c r="I208" s="14">
        <f ca="1">((I207 + G208) - H208)</f>
        <v>0</v>
      </c>
      <c r="J208" s="14">
        <v>0</v>
      </c>
      <c r="K208" s="15">
        <v>0</v>
      </c>
      <c r="L208" s="13" t="s">
        <v>25</v>
      </c>
    </row>
    <row r="209" ht="10.95" customHeight="true" customFormat="true" s="9">
      <c r="A209" s="20" t="s">
        <v>114</v>
      </c>
      <c r="B209" s="20"/>
      <c r="C209" s="20"/>
      <c r="D209" s="20"/>
      <c r="E209" s="20"/>
      <c r="F209" s="20"/>
      <c r="G209" s="21">
        <f ca="1">G208</f>
        <v>0</v>
      </c>
      <c r="H209" s="21">
        <f ca="1">H208</f>
        <v>0</v>
      </c>
      <c r="I209" s="21">
        <f ca="1">I208</f>
        <v>0</v>
      </c>
      <c r="J209" s="21">
        <f ca="1">J208</f>
        <v>0</v>
      </c>
      <c r="K209" s="20"/>
      <c r="L209" s="20"/>
    </row>
    <row r="210" ht="10.95" customHeight="true" customFormat="true" s="9">
      <c r="A210" s="20" t="s">
        <v>27</v>
      </c>
      <c r="B210" s="20"/>
      <c r="C210" s="20"/>
      <c r="D210" s="20"/>
      <c r="E210" s="20"/>
      <c r="F210" s="20"/>
      <c r="G210" s="21">
        <v>10.0000</v>
      </c>
      <c r="H210" s="21">
        <v>0</v>
      </c>
      <c r="I210" s="21">
        <v>0</v>
      </c>
      <c r="J210" s="21">
        <v>0</v>
      </c>
      <c r="K210" s="20"/>
      <c r="L210" s="20"/>
    </row>
    <row r="211" ht="10.95" customHeight="true" customFormat="true" s="9">
      <c r="A211" s="10" t="s">
        <v>28</v>
      </c>
      <c r="B211" s="10"/>
      <c r="C211" s="10"/>
      <c r="D211" s="10"/>
      <c r="E211" s="10"/>
      <c r="F211" s="10"/>
      <c r="G211" s="11">
        <v>10.0000</v>
      </c>
      <c r="H211" s="11">
        <v>0</v>
      </c>
      <c r="I211" s="11">
        <f ca="1">I208</f>
        <v>0</v>
      </c>
      <c r="J211" s="11">
        <v>0</v>
      </c>
      <c r="K211" s="10"/>
      <c r="L211" s="10"/>
    </row>
    <row r="212" ht="13.35" customHeight="true"/>
    <row r="213" ht="12.1" customHeight="true" customFormat="true" s="5">
      <c r="A213" s="8" t="s">
        <v>115</v>
      </c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</row>
    <row r="214" ht="10.95" customHeight="true" customFormat="true" s="9">
      <c r="A214" s="10" t="s">
        <v>16</v>
      </c>
      <c r="B214" s="10"/>
      <c r="C214" s="10"/>
      <c r="D214" s="10"/>
      <c r="E214" s="10"/>
      <c r="F214" s="10"/>
      <c r="G214" s="11">
        <v>0</v>
      </c>
      <c r="H214" s="11">
        <v>0</v>
      </c>
      <c r="I214" s="11">
        <f ca="1">(G214 - H214)</f>
        <v>0</v>
      </c>
      <c r="J214" s="11">
        <v>0</v>
      </c>
      <c r="K214" s="10"/>
      <c r="L214" s="10"/>
    </row>
    <row r="215" ht="10.95" customHeight="true" customFormat="true" s="9">
      <c r="A215" s="12">
        <v>45309</v>
      </c>
      <c r="B215" s="13" t="s">
        <v>116</v>
      </c>
      <c r="C215" s="13" t="s">
        <v>112</v>
      </c>
      <c r="D215" s="13" t="s">
        <v>19</v>
      </c>
      <c r="E215" s="13" t="s">
        <v>117</v>
      </c>
      <c r="F215" s="13" t="s">
        <v>70</v>
      </c>
      <c r="G215" s="14">
        <v>5157.4200</v>
      </c>
      <c r="H215" s="14">
        <v>0</v>
      </c>
      <c r="I215" s="14">
        <f ca="1">((I214 + G215) - H215)</f>
        <v>0</v>
      </c>
      <c r="J215" s="14">
        <v>0</v>
      </c>
      <c r="K215" s="15">
        <v>0</v>
      </c>
      <c r="L215" s="13" t="s">
        <v>25</v>
      </c>
    </row>
    <row r="216" ht="10.95" customHeight="true" customFormat="true" s="9">
      <c r="A216" s="16">
        <v>45309</v>
      </c>
      <c r="B216" s="17" t="s">
        <v>116</v>
      </c>
      <c r="C216" s="17" t="s">
        <v>112</v>
      </c>
      <c r="D216" s="17" t="s">
        <v>19</v>
      </c>
      <c r="E216" s="17" t="s">
        <v>117</v>
      </c>
      <c r="F216" s="17" t="s">
        <v>70</v>
      </c>
      <c r="G216" s="18">
        <v>600.0000</v>
      </c>
      <c r="H216" s="18">
        <v>0</v>
      </c>
      <c r="I216" s="18">
        <f ca="1">((I215 + G216) - H216)</f>
        <v>0</v>
      </c>
      <c r="J216" s="18">
        <v>0</v>
      </c>
      <c r="K216" s="19">
        <v>0</v>
      </c>
      <c r="L216" s="17" t="s">
        <v>25</v>
      </c>
    </row>
    <row r="217" ht="10.95" customHeight="true" customFormat="true" s="9">
      <c r="A217" s="16">
        <v>45310</v>
      </c>
      <c r="B217" s="17" t="s">
        <v>116</v>
      </c>
      <c r="C217" s="17" t="s">
        <v>112</v>
      </c>
      <c r="D217" s="17" t="s">
        <v>38</v>
      </c>
      <c r="E217" s="17" t="s">
        <v>118</v>
      </c>
      <c r="F217" s="17"/>
      <c r="G217" s="18">
        <v>1625.0000</v>
      </c>
      <c r="H217" s="18">
        <v>0</v>
      </c>
      <c r="I217" s="18">
        <f ca="1">((I216 + G217) - H217)</f>
        <v>0</v>
      </c>
      <c r="J217" s="18">
        <v>0</v>
      </c>
      <c r="K217" s="19">
        <v>0</v>
      </c>
      <c r="L217" s="17" t="s">
        <v>25</v>
      </c>
    </row>
    <row r="218" ht="10.95" customHeight="true" customFormat="true" s="9">
      <c r="A218" s="16">
        <v>45315</v>
      </c>
      <c r="B218" s="17" t="s">
        <v>116</v>
      </c>
      <c r="C218" s="17" t="s">
        <v>112</v>
      </c>
      <c r="D218" s="17" t="s">
        <v>38</v>
      </c>
      <c r="E218" s="17" t="s">
        <v>119</v>
      </c>
      <c r="F218" s="17"/>
      <c r="G218" s="18">
        <v>126.3900</v>
      </c>
      <c r="H218" s="18">
        <v>0</v>
      </c>
      <c r="I218" s="18">
        <f ca="1">((I217 + G218) - H218)</f>
        <v>0</v>
      </c>
      <c r="J218" s="18">
        <v>0</v>
      </c>
      <c r="K218" s="19">
        <v>0</v>
      </c>
      <c r="L218" s="17" t="s">
        <v>25</v>
      </c>
    </row>
    <row r="219" ht="10.95" customHeight="true" customFormat="true" s="9">
      <c r="A219" s="16">
        <v>45473</v>
      </c>
      <c r="B219" s="17" t="s">
        <v>116</v>
      </c>
      <c r="C219" s="17" t="s">
        <v>112</v>
      </c>
      <c r="D219" s="17" t="s">
        <v>19</v>
      </c>
      <c r="E219" s="17" t="s">
        <v>47</v>
      </c>
      <c r="F219" s="17" t="s">
        <v>48</v>
      </c>
      <c r="G219" s="18">
        <v>0</v>
      </c>
      <c r="H219" s="18">
        <v>670.6500</v>
      </c>
      <c r="I219" s="18">
        <f ca="1">((I218 + G219) - H219)</f>
        <v>0</v>
      </c>
      <c r="J219" s="18">
        <v>0</v>
      </c>
      <c r="K219" s="19">
        <v>0</v>
      </c>
      <c r="L219" s="17" t="s">
        <v>25</v>
      </c>
    </row>
    <row r="220" ht="10.95" customHeight="true" customFormat="true" s="9">
      <c r="A220" s="20" t="s">
        <v>120</v>
      </c>
      <c r="B220" s="20"/>
      <c r="C220" s="20"/>
      <c r="D220" s="20"/>
      <c r="E220" s="20"/>
      <c r="F220" s="20"/>
      <c r="G220" s="21">
        <f ca="1">SUM(G215:G219)</f>
        <v>0</v>
      </c>
      <c r="H220" s="21">
        <f ca="1">SUM(H215:H219)</f>
        <v>0</v>
      </c>
      <c r="I220" s="21">
        <f ca="1">I219</f>
        <v>0</v>
      </c>
      <c r="J220" s="21">
        <f ca="1">SUM(J215:J219)</f>
        <v>0</v>
      </c>
      <c r="K220" s="20"/>
      <c r="L220" s="20"/>
    </row>
    <row r="221" ht="10.95" customHeight="true" customFormat="true" s="9">
      <c r="A221" s="20" t="s">
        <v>27</v>
      </c>
      <c r="B221" s="20"/>
      <c r="C221" s="20"/>
      <c r="D221" s="20"/>
      <c r="E221" s="20"/>
      <c r="F221" s="20"/>
      <c r="G221" s="21">
        <v>6838.1600</v>
      </c>
      <c r="H221" s="21">
        <v>0</v>
      </c>
      <c r="I221" s="21">
        <v>0</v>
      </c>
      <c r="J221" s="21">
        <v>0</v>
      </c>
      <c r="K221" s="20"/>
      <c r="L221" s="20"/>
    </row>
    <row r="222" ht="10.95" customHeight="true" customFormat="true" s="9">
      <c r="A222" s="10" t="s">
        <v>28</v>
      </c>
      <c r="B222" s="10"/>
      <c r="C222" s="10"/>
      <c r="D222" s="10"/>
      <c r="E222" s="10"/>
      <c r="F222" s="10"/>
      <c r="G222" s="11">
        <v>6838.1600</v>
      </c>
      <c r="H222" s="11">
        <v>0</v>
      </c>
      <c r="I222" s="11">
        <f ca="1">I219</f>
        <v>0</v>
      </c>
      <c r="J222" s="11">
        <v>0</v>
      </c>
      <c r="K222" s="10"/>
      <c r="L222" s="10"/>
    </row>
    <row r="223" ht="13.35" customHeight="true"/>
    <row r="224" ht="12.1" customHeight="true" customFormat="true" s="5">
      <c r="A224" s="8" t="s">
        <v>121</v>
      </c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</row>
    <row r="225" ht="10.95" customHeight="true" customFormat="true" s="9">
      <c r="A225" s="10" t="s">
        <v>16</v>
      </c>
      <c r="B225" s="10"/>
      <c r="C225" s="10"/>
      <c r="D225" s="10"/>
      <c r="E225" s="10"/>
      <c r="F225" s="10"/>
      <c r="G225" s="11">
        <v>0</v>
      </c>
      <c r="H225" s="11">
        <v>0</v>
      </c>
      <c r="I225" s="11">
        <f ca="1">(G225 - H225)</f>
        <v>0</v>
      </c>
      <c r="J225" s="11">
        <v>0</v>
      </c>
      <c r="K225" s="10"/>
      <c r="L225" s="10"/>
    </row>
    <row r="226" ht="10.95" customHeight="true" customFormat="true" s="9">
      <c r="A226" s="12">
        <v>45292</v>
      </c>
      <c r="B226" s="13" t="s">
        <v>122</v>
      </c>
      <c r="C226" s="13" t="s">
        <v>112</v>
      </c>
      <c r="D226" s="13" t="s">
        <v>19</v>
      </c>
      <c r="E226" s="13" t="s">
        <v>79</v>
      </c>
      <c r="F226" s="13" t="s">
        <v>80</v>
      </c>
      <c r="G226" s="14">
        <v>2200.0000</v>
      </c>
      <c r="H226" s="14">
        <v>0</v>
      </c>
      <c r="I226" s="14">
        <f ca="1">((I225 + G226) - H226)</f>
        <v>0</v>
      </c>
      <c r="J226" s="14">
        <v>220.0000</v>
      </c>
      <c r="K226" s="15">
        <v>10.0000</v>
      </c>
      <c r="L226" s="13" t="s">
        <v>53</v>
      </c>
    </row>
    <row r="227" ht="10.95" customHeight="true" customFormat="true" s="9">
      <c r="A227" s="16">
        <v>45473</v>
      </c>
      <c r="B227" s="17" t="s">
        <v>122</v>
      </c>
      <c r="C227" s="17" t="s">
        <v>112</v>
      </c>
      <c r="D227" s="17" t="s">
        <v>19</v>
      </c>
      <c r="E227" s="17" t="s">
        <v>47</v>
      </c>
      <c r="F227" s="17" t="s">
        <v>48</v>
      </c>
      <c r="G227" s="18">
        <v>0</v>
      </c>
      <c r="H227" s="18">
        <v>218.1900</v>
      </c>
      <c r="I227" s="18">
        <f ca="1">((I226 + G227) - H227)</f>
        <v>0</v>
      </c>
      <c r="J227" s="18">
        <v>0</v>
      </c>
      <c r="K227" s="19">
        <v>0</v>
      </c>
      <c r="L227" s="17" t="s">
        <v>25</v>
      </c>
    </row>
    <row r="228" ht="10.95" customHeight="true" customFormat="true" s="9">
      <c r="A228" s="20" t="s">
        <v>123</v>
      </c>
      <c r="B228" s="20"/>
      <c r="C228" s="20"/>
      <c r="D228" s="20"/>
      <c r="E228" s="20"/>
      <c r="F228" s="20"/>
      <c r="G228" s="21">
        <f ca="1">SUM(G226:G227)</f>
        <v>0</v>
      </c>
      <c r="H228" s="21">
        <f ca="1">SUM(H226:H227)</f>
        <v>0</v>
      </c>
      <c r="I228" s="21">
        <f ca="1">I227</f>
        <v>0</v>
      </c>
      <c r="J228" s="21">
        <f ca="1">SUM(J226:J227)</f>
        <v>0</v>
      </c>
      <c r="K228" s="20"/>
      <c r="L228" s="20"/>
    </row>
    <row r="229" ht="10.95" customHeight="true" customFormat="true" s="9">
      <c r="A229" s="20" t="s">
        <v>27</v>
      </c>
      <c r="B229" s="20"/>
      <c r="C229" s="20"/>
      <c r="D229" s="20"/>
      <c r="E229" s="20"/>
      <c r="F229" s="20"/>
      <c r="G229" s="21">
        <v>1981.8100</v>
      </c>
      <c r="H229" s="21">
        <v>0</v>
      </c>
      <c r="I229" s="21">
        <v>0</v>
      </c>
      <c r="J229" s="21">
        <v>0</v>
      </c>
      <c r="K229" s="20"/>
      <c r="L229" s="20"/>
    </row>
    <row r="230" ht="10.95" customHeight="true" customFormat="true" s="9">
      <c r="A230" s="10" t="s">
        <v>28</v>
      </c>
      <c r="B230" s="10"/>
      <c r="C230" s="10"/>
      <c r="D230" s="10"/>
      <c r="E230" s="10"/>
      <c r="F230" s="10"/>
      <c r="G230" s="11">
        <v>1981.8100</v>
      </c>
      <c r="H230" s="11">
        <v>0</v>
      </c>
      <c r="I230" s="11">
        <f ca="1">I227</f>
        <v>0</v>
      </c>
      <c r="J230" s="11">
        <v>0</v>
      </c>
      <c r="K230" s="10"/>
      <c r="L230" s="10"/>
    </row>
    <row r="231" ht="13.35" customHeight="true"/>
    <row r="232" ht="12.1" customHeight="true" customFormat="true" s="5">
      <c r="A232" s="8" t="s">
        <v>124</v>
      </c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</row>
    <row r="233" ht="10.95" customHeight="true" customFormat="true" s="9">
      <c r="A233" s="10" t="s">
        <v>16</v>
      </c>
      <c r="B233" s="10"/>
      <c r="C233" s="10"/>
      <c r="D233" s="10"/>
      <c r="E233" s="10"/>
      <c r="F233" s="10"/>
      <c r="G233" s="11">
        <v>0</v>
      </c>
      <c r="H233" s="11">
        <v>0</v>
      </c>
      <c r="I233" s="11">
        <f ca="1">(G233 - H233)</f>
        <v>0</v>
      </c>
      <c r="J233" s="11">
        <v>0</v>
      </c>
      <c r="K233" s="10"/>
      <c r="L233" s="10"/>
    </row>
    <row r="234" ht="10.95" customHeight="true" customFormat="true" s="9">
      <c r="A234" s="12">
        <v>45309</v>
      </c>
      <c r="B234" s="13" t="s">
        <v>125</v>
      </c>
      <c r="C234" s="13" t="s">
        <v>126</v>
      </c>
      <c r="D234" s="13" t="s">
        <v>19</v>
      </c>
      <c r="E234" s="13" t="s">
        <v>127</v>
      </c>
      <c r="F234" s="13" t="s">
        <v>70</v>
      </c>
      <c r="G234" s="14">
        <v>335000.0000</v>
      </c>
      <c r="H234" s="14">
        <v>0</v>
      </c>
      <c r="I234" s="14">
        <f ca="1">((I233 + G234) - H234)</f>
        <v>0</v>
      </c>
      <c r="J234" s="14">
        <v>33500.0000</v>
      </c>
      <c r="K234" s="15">
        <v>10.0000</v>
      </c>
      <c r="L234" s="13" t="s">
        <v>53</v>
      </c>
    </row>
    <row r="235" ht="10.95" customHeight="true" customFormat="true" s="9">
      <c r="A235" s="16">
        <v>45309</v>
      </c>
      <c r="B235" s="17" t="s">
        <v>125</v>
      </c>
      <c r="C235" s="17" t="s">
        <v>126</v>
      </c>
      <c r="D235" s="17" t="s">
        <v>19</v>
      </c>
      <c r="E235" s="17" t="s">
        <v>128</v>
      </c>
      <c r="F235" s="17" t="s">
        <v>70</v>
      </c>
      <c r="G235" s="18">
        <v>2125.1500</v>
      </c>
      <c r="H235" s="18">
        <v>0</v>
      </c>
      <c r="I235" s="18">
        <f ca="1">((I234 + G235) - H235)</f>
        <v>0</v>
      </c>
      <c r="J235" s="18">
        <v>212.5200</v>
      </c>
      <c r="K235" s="19">
        <v>10.0000</v>
      </c>
      <c r="L235" s="17" t="s">
        <v>53</v>
      </c>
    </row>
    <row r="236" ht="10.95" customHeight="true" customFormat="true" s="9">
      <c r="A236" s="16">
        <v>45309</v>
      </c>
      <c r="B236" s="17" t="s">
        <v>125</v>
      </c>
      <c r="C236" s="17" t="s">
        <v>126</v>
      </c>
      <c r="D236" s="17" t="s">
        <v>19</v>
      </c>
      <c r="E236" s="17" t="s">
        <v>129</v>
      </c>
      <c r="F236" s="17" t="s">
        <v>70</v>
      </c>
      <c r="G236" s="18">
        <v>132.6600</v>
      </c>
      <c r="H236" s="18">
        <v>0</v>
      </c>
      <c r="I236" s="18">
        <f ca="1">((I235 + G236) - H236)</f>
        <v>0</v>
      </c>
      <c r="J236" s="18">
        <v>0</v>
      </c>
      <c r="K236" s="19">
        <v>0</v>
      </c>
      <c r="L236" s="17" t="s">
        <v>40</v>
      </c>
    </row>
    <row r="237" ht="10.95" customHeight="true" customFormat="true" s="9">
      <c r="A237" s="16">
        <v>45309</v>
      </c>
      <c r="B237" s="17" t="s">
        <v>125</v>
      </c>
      <c r="C237" s="17" t="s">
        <v>126</v>
      </c>
      <c r="D237" s="17" t="s">
        <v>19</v>
      </c>
      <c r="E237" s="17" t="s">
        <v>130</v>
      </c>
      <c r="F237" s="17" t="s">
        <v>70</v>
      </c>
      <c r="G237" s="18">
        <v>1249.1100</v>
      </c>
      <c r="H237" s="18">
        <v>0</v>
      </c>
      <c r="I237" s="18">
        <f ca="1">((I236 + G237) - H237)</f>
        <v>0</v>
      </c>
      <c r="J237" s="18">
        <v>0</v>
      </c>
      <c r="K237" s="19">
        <v>0</v>
      </c>
      <c r="L237" s="17" t="s">
        <v>40</v>
      </c>
    </row>
    <row r="238" ht="10.95" customHeight="true" customFormat="true" s="9">
      <c r="A238" s="16">
        <v>45309</v>
      </c>
      <c r="B238" s="17" t="s">
        <v>125</v>
      </c>
      <c r="C238" s="17" t="s">
        <v>126</v>
      </c>
      <c r="D238" s="17" t="s">
        <v>19</v>
      </c>
      <c r="E238" s="17" t="s">
        <v>131</v>
      </c>
      <c r="F238" s="17" t="s">
        <v>70</v>
      </c>
      <c r="G238" s="18">
        <v>11322.5000</v>
      </c>
      <c r="H238" s="18">
        <v>0</v>
      </c>
      <c r="I238" s="18">
        <f ca="1">((I237 + G238) - H238)</f>
        <v>0</v>
      </c>
      <c r="J238" s="18">
        <v>0</v>
      </c>
      <c r="K238" s="19">
        <v>0</v>
      </c>
      <c r="L238" s="17" t="s">
        <v>40</v>
      </c>
    </row>
    <row r="239" ht="10.95" customHeight="true" customFormat="true" s="9">
      <c r="A239" s="16">
        <v>45310</v>
      </c>
      <c r="B239" s="17" t="s">
        <v>125</v>
      </c>
      <c r="C239" s="17" t="s">
        <v>126</v>
      </c>
      <c r="D239" s="17" t="s">
        <v>38</v>
      </c>
      <c r="E239" s="17" t="s">
        <v>132</v>
      </c>
      <c r="F239" s="17"/>
      <c r="G239" s="18">
        <v>1798.0900</v>
      </c>
      <c r="H239" s="18">
        <v>0</v>
      </c>
      <c r="I239" s="18">
        <f ca="1">((I238 + G239) - H239)</f>
        <v>0</v>
      </c>
      <c r="J239" s="18">
        <v>179.8100</v>
      </c>
      <c r="K239" s="19">
        <v>10.0000</v>
      </c>
      <c r="L239" s="17" t="s">
        <v>53</v>
      </c>
    </row>
    <row r="240" ht="10.95" customHeight="true" customFormat="true" s="9">
      <c r="A240" s="20" t="s">
        <v>133</v>
      </c>
      <c r="B240" s="20"/>
      <c r="C240" s="20"/>
      <c r="D240" s="20"/>
      <c r="E240" s="20"/>
      <c r="F240" s="20"/>
      <c r="G240" s="21">
        <f ca="1">SUM(G234:G239)</f>
        <v>0</v>
      </c>
      <c r="H240" s="21">
        <f ca="1">SUM(H234:H239)</f>
        <v>0</v>
      </c>
      <c r="I240" s="21">
        <f ca="1">I239</f>
        <v>0</v>
      </c>
      <c r="J240" s="21">
        <f ca="1">SUM(J234:J239)</f>
        <v>0</v>
      </c>
      <c r="K240" s="20"/>
      <c r="L240" s="20"/>
    </row>
    <row r="241" ht="10.95" customHeight="true" customFormat="true" s="9">
      <c r="A241" s="20" t="s">
        <v>27</v>
      </c>
      <c r="B241" s="20"/>
      <c r="C241" s="20"/>
      <c r="D241" s="20"/>
      <c r="E241" s="20"/>
      <c r="F241" s="20"/>
      <c r="G241" s="21">
        <v>351627.5100</v>
      </c>
      <c r="H241" s="21">
        <v>0</v>
      </c>
      <c r="I241" s="21">
        <v>0</v>
      </c>
      <c r="J241" s="21">
        <v>0</v>
      </c>
      <c r="K241" s="20"/>
      <c r="L241" s="20"/>
    </row>
    <row r="242" ht="10.95" customHeight="true" customFormat="true" s="9">
      <c r="A242" s="10" t="s">
        <v>28</v>
      </c>
      <c r="B242" s="10"/>
      <c r="C242" s="10"/>
      <c r="D242" s="10"/>
      <c r="E242" s="10"/>
      <c r="F242" s="10"/>
      <c r="G242" s="11">
        <v>351627.5100</v>
      </c>
      <c r="H242" s="11">
        <v>0</v>
      </c>
      <c r="I242" s="11">
        <f ca="1">I239</f>
        <v>0</v>
      </c>
      <c r="J242" s="11">
        <v>0</v>
      </c>
      <c r="K242" s="10"/>
      <c r="L242" s="10"/>
    </row>
    <row r="243" ht="13.35" customHeight="true"/>
    <row r="244" ht="12.1" customHeight="true" customFormat="true" s="5">
      <c r="A244" s="8" t="s">
        <v>134</v>
      </c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</row>
    <row r="245" ht="10.95" customHeight="true" customFormat="true" s="9">
      <c r="A245" s="10" t="s">
        <v>16</v>
      </c>
      <c r="B245" s="10"/>
      <c r="C245" s="10"/>
      <c r="D245" s="10"/>
      <c r="E245" s="10"/>
      <c r="F245" s="10"/>
      <c r="G245" s="11">
        <v>0</v>
      </c>
      <c r="H245" s="11">
        <v>0</v>
      </c>
      <c r="I245" s="11">
        <f ca="1">(G245 - H245)</f>
        <v>0</v>
      </c>
      <c r="J245" s="11">
        <v>0</v>
      </c>
      <c r="K245" s="10"/>
      <c r="L245" s="10"/>
    </row>
    <row r="246" ht="10.95" customHeight="true" customFormat="true" s="9">
      <c r="A246" s="12">
        <v>45314</v>
      </c>
      <c r="B246" s="13" t="s">
        <v>135</v>
      </c>
      <c r="C246" s="13" t="s">
        <v>126</v>
      </c>
      <c r="D246" s="13" t="s">
        <v>38</v>
      </c>
      <c r="E246" s="13" t="s">
        <v>136</v>
      </c>
      <c r="F246" s="13"/>
      <c r="G246" s="14">
        <v>4538.1800</v>
      </c>
      <c r="H246" s="14">
        <v>0</v>
      </c>
      <c r="I246" s="14">
        <f ca="1">((I245 + G246) - H246)</f>
        <v>0</v>
      </c>
      <c r="J246" s="14">
        <v>0</v>
      </c>
      <c r="K246" s="15">
        <v>0</v>
      </c>
      <c r="L246" s="13" t="s">
        <v>25</v>
      </c>
    </row>
    <row r="247" ht="10.95" customHeight="true" customFormat="true" s="9">
      <c r="A247" s="16">
        <v>45314</v>
      </c>
      <c r="B247" s="17" t="s">
        <v>135</v>
      </c>
      <c r="C247" s="17" t="s">
        <v>126</v>
      </c>
      <c r="D247" s="17" t="s">
        <v>38</v>
      </c>
      <c r="E247" s="17" t="s">
        <v>137</v>
      </c>
      <c r="F247" s="17"/>
      <c r="G247" s="18">
        <v>1248.7000</v>
      </c>
      <c r="H247" s="18">
        <v>0</v>
      </c>
      <c r="I247" s="18">
        <f ca="1">((I246 + G247) - H247)</f>
        <v>0</v>
      </c>
      <c r="J247" s="18">
        <v>0</v>
      </c>
      <c r="K247" s="19">
        <v>0</v>
      </c>
      <c r="L247" s="17" t="s">
        <v>25</v>
      </c>
    </row>
    <row r="248" ht="10.95" customHeight="true" customFormat="true" s="9">
      <c r="A248" s="16">
        <v>45338</v>
      </c>
      <c r="B248" s="17" t="s">
        <v>135</v>
      </c>
      <c r="C248" s="17" t="s">
        <v>126</v>
      </c>
      <c r="D248" s="17" t="s">
        <v>19</v>
      </c>
      <c r="E248" s="17" t="s">
        <v>138</v>
      </c>
      <c r="F248" s="17" t="s">
        <v>139</v>
      </c>
      <c r="G248" s="18">
        <v>45381.8200</v>
      </c>
      <c r="H248" s="18">
        <v>0</v>
      </c>
      <c r="I248" s="18">
        <f ca="1">((I247 + G248) - H248)</f>
        <v>0</v>
      </c>
      <c r="J248" s="18">
        <v>4538.1800</v>
      </c>
      <c r="K248" s="19">
        <v>10.0000</v>
      </c>
      <c r="L248" s="17" t="s">
        <v>53</v>
      </c>
    </row>
    <row r="249" ht="10.95" customHeight="true" customFormat="true" s="9">
      <c r="A249" s="16">
        <v>45338</v>
      </c>
      <c r="B249" s="17" t="s">
        <v>135</v>
      </c>
      <c r="C249" s="17" t="s">
        <v>126</v>
      </c>
      <c r="D249" s="17" t="s">
        <v>19</v>
      </c>
      <c r="E249" s="17" t="s">
        <v>140</v>
      </c>
      <c r="F249" s="17" t="s">
        <v>139</v>
      </c>
      <c r="G249" s="18">
        <v>0</v>
      </c>
      <c r="H249" s="18">
        <v>4538.1800</v>
      </c>
      <c r="I249" s="18">
        <f ca="1">((I248 + G249) - H249)</f>
        <v>0</v>
      </c>
      <c r="J249" s="18">
        <v>0</v>
      </c>
      <c r="K249" s="19">
        <v>0</v>
      </c>
      <c r="L249" s="17" t="s">
        <v>25</v>
      </c>
    </row>
    <row r="250" ht="10.95" customHeight="true" customFormat="true" s="9">
      <c r="A250" s="16">
        <v>45343</v>
      </c>
      <c r="B250" s="17" t="s">
        <v>135</v>
      </c>
      <c r="C250" s="17" t="s">
        <v>126</v>
      </c>
      <c r="D250" s="17" t="s">
        <v>38</v>
      </c>
      <c r="E250" s="17" t="s">
        <v>141</v>
      </c>
      <c r="F250" s="17"/>
      <c r="G250" s="18">
        <v>12486.9600</v>
      </c>
      <c r="H250" s="18">
        <v>0</v>
      </c>
      <c r="I250" s="18">
        <f ca="1">((I249 + G250) - H250)</f>
        <v>0</v>
      </c>
      <c r="J250" s="18">
        <v>1248.7000</v>
      </c>
      <c r="K250" s="19">
        <v>10.0000</v>
      </c>
      <c r="L250" s="17" t="s">
        <v>53</v>
      </c>
    </row>
    <row r="251" ht="10.95" customHeight="true" customFormat="true" s="9">
      <c r="A251" s="16">
        <v>45343</v>
      </c>
      <c r="B251" s="17" t="s">
        <v>135</v>
      </c>
      <c r="C251" s="17" t="s">
        <v>126</v>
      </c>
      <c r="D251" s="17" t="s">
        <v>38</v>
      </c>
      <c r="E251" s="17" t="s">
        <v>142</v>
      </c>
      <c r="F251" s="17"/>
      <c r="G251" s="18">
        <v>0</v>
      </c>
      <c r="H251" s="18">
        <v>1248.7000</v>
      </c>
      <c r="I251" s="18">
        <f ca="1">((I250 + G251) - H251)</f>
        <v>0</v>
      </c>
      <c r="J251" s="18">
        <v>0</v>
      </c>
      <c r="K251" s="19">
        <v>0</v>
      </c>
      <c r="L251" s="17" t="s">
        <v>25</v>
      </c>
    </row>
    <row r="252" ht="10.95" customHeight="true" customFormat="true" s="9">
      <c r="A252" s="16">
        <v>45363</v>
      </c>
      <c r="B252" s="17" t="s">
        <v>135</v>
      </c>
      <c r="C252" s="17" t="s">
        <v>126</v>
      </c>
      <c r="D252" s="17" t="s">
        <v>38</v>
      </c>
      <c r="E252" s="17" t="s">
        <v>143</v>
      </c>
      <c r="F252" s="17"/>
      <c r="G252" s="18">
        <v>2650.0000</v>
      </c>
      <c r="H252" s="18">
        <v>0</v>
      </c>
      <c r="I252" s="18">
        <f ca="1">((I251 + G252) - H252)</f>
        <v>0</v>
      </c>
      <c r="J252" s="18">
        <v>265.0000</v>
      </c>
      <c r="K252" s="19">
        <v>10.0000</v>
      </c>
      <c r="L252" s="17" t="s">
        <v>53</v>
      </c>
    </row>
    <row r="253" ht="10.95" customHeight="true" customFormat="true" s="9">
      <c r="A253" s="16">
        <v>45411</v>
      </c>
      <c r="B253" s="17" t="s">
        <v>135</v>
      </c>
      <c r="C253" s="17" t="s">
        <v>126</v>
      </c>
      <c r="D253" s="17" t="s">
        <v>38</v>
      </c>
      <c r="E253" s="17" t="s">
        <v>102</v>
      </c>
      <c r="F253" s="17"/>
      <c r="G253" s="18">
        <v>3025.4500</v>
      </c>
      <c r="H253" s="18">
        <v>0</v>
      </c>
      <c r="I253" s="18">
        <f ca="1">((I252 + G253) - H253)</f>
        <v>0</v>
      </c>
      <c r="J253" s="18">
        <v>0</v>
      </c>
      <c r="K253" s="19">
        <v>0</v>
      </c>
      <c r="L253" s="17" t="s">
        <v>25</v>
      </c>
    </row>
    <row r="254" ht="10.95" customHeight="true" customFormat="true" s="9">
      <c r="A254" s="16">
        <v>45413</v>
      </c>
      <c r="B254" s="17" t="s">
        <v>135</v>
      </c>
      <c r="C254" s="17" t="s">
        <v>126</v>
      </c>
      <c r="D254" s="17" t="s">
        <v>38</v>
      </c>
      <c r="E254" s="17" t="s">
        <v>144</v>
      </c>
      <c r="F254" s="17"/>
      <c r="G254" s="18">
        <v>2837.9500</v>
      </c>
      <c r="H254" s="18">
        <v>0</v>
      </c>
      <c r="I254" s="18">
        <f ca="1">((I253 + G254) - H254)</f>
        <v>0</v>
      </c>
      <c r="J254" s="18">
        <v>283.7900</v>
      </c>
      <c r="K254" s="19">
        <v>10.0000</v>
      </c>
      <c r="L254" s="17" t="s">
        <v>53</v>
      </c>
    </row>
    <row r="255" ht="10.95" customHeight="true" customFormat="true" s="9">
      <c r="A255" s="16">
        <v>45427</v>
      </c>
      <c r="B255" s="17" t="s">
        <v>135</v>
      </c>
      <c r="C255" s="17" t="s">
        <v>126</v>
      </c>
      <c r="D255" s="17" t="s">
        <v>19</v>
      </c>
      <c r="E255" s="17" t="s">
        <v>145</v>
      </c>
      <c r="F255" s="17" t="s">
        <v>146</v>
      </c>
      <c r="G255" s="18">
        <v>30254.5500</v>
      </c>
      <c r="H255" s="18">
        <v>0</v>
      </c>
      <c r="I255" s="18">
        <f ca="1">((I254 + G255) - H255)</f>
        <v>0</v>
      </c>
      <c r="J255" s="18">
        <v>3025.4500</v>
      </c>
      <c r="K255" s="19">
        <v>10.0000</v>
      </c>
      <c r="L255" s="17" t="s">
        <v>53</v>
      </c>
    </row>
    <row r="256" ht="10.95" customHeight="true" customFormat="true" s="9">
      <c r="A256" s="16">
        <v>45427</v>
      </c>
      <c r="B256" s="17" t="s">
        <v>135</v>
      </c>
      <c r="C256" s="17" t="s">
        <v>126</v>
      </c>
      <c r="D256" s="17" t="s">
        <v>19</v>
      </c>
      <c r="E256" s="17" t="s">
        <v>147</v>
      </c>
      <c r="F256" s="17" t="s">
        <v>146</v>
      </c>
      <c r="G256" s="18">
        <v>0</v>
      </c>
      <c r="H256" s="18">
        <v>3025.4500</v>
      </c>
      <c r="I256" s="18">
        <f ca="1">((I255 + G256) - H256)</f>
        <v>0</v>
      </c>
      <c r="J256" s="18">
        <v>0</v>
      </c>
      <c r="K256" s="19">
        <v>0</v>
      </c>
      <c r="L256" s="17" t="s">
        <v>25</v>
      </c>
    </row>
    <row r="257" ht="10.95" customHeight="true" customFormat="true" s="9">
      <c r="A257" s="16">
        <v>45428</v>
      </c>
      <c r="B257" s="17" t="s">
        <v>135</v>
      </c>
      <c r="C257" s="17" t="s">
        <v>126</v>
      </c>
      <c r="D257" s="17" t="s">
        <v>38</v>
      </c>
      <c r="E257" s="17" t="s">
        <v>148</v>
      </c>
      <c r="F257" s="17"/>
      <c r="G257" s="18">
        <v>28379.4600</v>
      </c>
      <c r="H257" s="18">
        <v>0</v>
      </c>
      <c r="I257" s="18">
        <f ca="1">((I256 + G257) - H257)</f>
        <v>0</v>
      </c>
      <c r="J257" s="18">
        <v>2837.9500</v>
      </c>
      <c r="K257" s="19">
        <v>10.0000</v>
      </c>
      <c r="L257" s="17" t="s">
        <v>53</v>
      </c>
    </row>
    <row r="258" ht="10.95" customHeight="true" customFormat="true" s="9">
      <c r="A258" s="16">
        <v>45428</v>
      </c>
      <c r="B258" s="17" t="s">
        <v>135</v>
      </c>
      <c r="C258" s="17" t="s">
        <v>126</v>
      </c>
      <c r="D258" s="17" t="s">
        <v>38</v>
      </c>
      <c r="E258" s="17" t="s">
        <v>149</v>
      </c>
      <c r="F258" s="17"/>
      <c r="G258" s="18">
        <v>454.5500</v>
      </c>
      <c r="H258" s="18">
        <v>0</v>
      </c>
      <c r="I258" s="18">
        <f ca="1">((I257 + G258) - H258)</f>
        <v>0</v>
      </c>
      <c r="J258" s="18">
        <v>45.4500</v>
      </c>
      <c r="K258" s="19">
        <v>10.0000</v>
      </c>
      <c r="L258" s="17" t="s">
        <v>53</v>
      </c>
    </row>
    <row r="259" ht="10.95" customHeight="true" customFormat="true" s="9">
      <c r="A259" s="16">
        <v>45455</v>
      </c>
      <c r="B259" s="17" t="s">
        <v>135</v>
      </c>
      <c r="C259" s="17" t="s">
        <v>126</v>
      </c>
      <c r="D259" s="17" t="s">
        <v>38</v>
      </c>
      <c r="E259" s="17" t="s">
        <v>150</v>
      </c>
      <c r="F259" s="17"/>
      <c r="G259" s="18">
        <v>3405.5400</v>
      </c>
      <c r="H259" s="18">
        <v>0</v>
      </c>
      <c r="I259" s="18">
        <f ca="1">((I258 + G259) - H259)</f>
        <v>0</v>
      </c>
      <c r="J259" s="18">
        <v>340.5500</v>
      </c>
      <c r="K259" s="19">
        <v>10.0000</v>
      </c>
      <c r="L259" s="17" t="s">
        <v>53</v>
      </c>
    </row>
    <row r="260" ht="10.95" customHeight="true" customFormat="true" s="9">
      <c r="A260" s="16">
        <v>45469</v>
      </c>
      <c r="B260" s="17" t="s">
        <v>135</v>
      </c>
      <c r="C260" s="17" t="s">
        <v>126</v>
      </c>
      <c r="D260" s="17" t="s">
        <v>38</v>
      </c>
      <c r="E260" s="17" t="s">
        <v>148</v>
      </c>
      <c r="F260" s="17"/>
      <c r="G260" s="18">
        <v>34055.3500</v>
      </c>
      <c r="H260" s="18">
        <v>0</v>
      </c>
      <c r="I260" s="18">
        <f ca="1">((I259 + G260) - H260)</f>
        <v>0</v>
      </c>
      <c r="J260" s="18">
        <v>3405.5400</v>
      </c>
      <c r="K260" s="19">
        <v>10.0000</v>
      </c>
      <c r="L260" s="17" t="s">
        <v>53</v>
      </c>
    </row>
    <row r="261" ht="10.95" customHeight="true" customFormat="true" s="9">
      <c r="A261" s="20" t="s">
        <v>151</v>
      </c>
      <c r="B261" s="20"/>
      <c r="C261" s="20"/>
      <c r="D261" s="20"/>
      <c r="E261" s="20"/>
      <c r="F261" s="20"/>
      <c r="G261" s="21">
        <f ca="1">SUM(G246:G260)</f>
        <v>0</v>
      </c>
      <c r="H261" s="21">
        <f ca="1">SUM(H246:H260)</f>
        <v>0</v>
      </c>
      <c r="I261" s="21">
        <f ca="1">I260</f>
        <v>0</v>
      </c>
      <c r="J261" s="21">
        <f ca="1">SUM(J246:J260)</f>
        <v>0</v>
      </c>
      <c r="K261" s="20"/>
      <c r="L261" s="20"/>
    </row>
    <row r="262" ht="10.95" customHeight="true" customFormat="true" s="9">
      <c r="A262" s="20" t="s">
        <v>27</v>
      </c>
      <c r="B262" s="20"/>
      <c r="C262" s="20"/>
      <c r="D262" s="20"/>
      <c r="E262" s="20"/>
      <c r="F262" s="20"/>
      <c r="G262" s="21">
        <v>159906.1800</v>
      </c>
      <c r="H262" s="21">
        <v>0</v>
      </c>
      <c r="I262" s="21">
        <v>0</v>
      </c>
      <c r="J262" s="21">
        <v>0</v>
      </c>
      <c r="K262" s="20"/>
      <c r="L262" s="20"/>
    </row>
    <row r="263" ht="10.95" customHeight="true" customFormat="true" s="9">
      <c r="A263" s="10" t="s">
        <v>28</v>
      </c>
      <c r="B263" s="10"/>
      <c r="C263" s="10"/>
      <c r="D263" s="10"/>
      <c r="E263" s="10"/>
      <c r="F263" s="10"/>
      <c r="G263" s="11">
        <v>159906.1800</v>
      </c>
      <c r="H263" s="11">
        <v>0</v>
      </c>
      <c r="I263" s="11">
        <f ca="1">I260</f>
        <v>0</v>
      </c>
      <c r="J263" s="11">
        <v>0</v>
      </c>
      <c r="K263" s="10"/>
      <c r="L263" s="10"/>
    </row>
    <row r="264" ht="13.35" customHeight="true"/>
    <row r="265" ht="12.1" customHeight="true" customFormat="true" s="5">
      <c r="A265" s="8" t="s">
        <v>152</v>
      </c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</row>
    <row r="266" ht="10.95" customHeight="true" customFormat="true" s="9">
      <c r="A266" s="10" t="s">
        <v>16</v>
      </c>
      <c r="B266" s="10"/>
      <c r="C266" s="10"/>
      <c r="D266" s="10"/>
      <c r="E266" s="10"/>
      <c r="F266" s="10"/>
      <c r="G266" s="11">
        <v>0</v>
      </c>
      <c r="H266" s="11">
        <v>0</v>
      </c>
      <c r="I266" s="11">
        <f ca="1">(G266 - H266)</f>
        <v>0</v>
      </c>
      <c r="J266" s="11">
        <v>0</v>
      </c>
      <c r="K266" s="10"/>
      <c r="L266" s="10"/>
    </row>
    <row r="267" ht="10.95" customHeight="true" customFormat="true" s="9">
      <c r="A267" s="12">
        <v>45292</v>
      </c>
      <c r="B267" s="13" t="s">
        <v>153</v>
      </c>
      <c r="C267" s="13" t="s">
        <v>154</v>
      </c>
      <c r="D267" s="13" t="s">
        <v>19</v>
      </c>
      <c r="E267" s="13" t="s">
        <v>155</v>
      </c>
      <c r="F267" s="13" t="s">
        <v>80</v>
      </c>
      <c r="G267" s="14">
        <v>220.0000</v>
      </c>
      <c r="H267" s="14">
        <v>0</v>
      </c>
      <c r="I267" s="14">
        <f ca="1">((I266 + G267) - H267)</f>
        <v>0</v>
      </c>
      <c r="J267" s="14">
        <v>0</v>
      </c>
      <c r="K267" s="15">
        <v>0</v>
      </c>
      <c r="L267" s="13"/>
    </row>
    <row r="268" ht="10.95" customHeight="true" customFormat="true" s="9">
      <c r="A268" s="16">
        <v>45309</v>
      </c>
      <c r="B268" s="17" t="s">
        <v>153</v>
      </c>
      <c r="C268" s="17" t="s">
        <v>154</v>
      </c>
      <c r="D268" s="17" t="s">
        <v>19</v>
      </c>
      <c r="E268" s="17" t="s">
        <v>156</v>
      </c>
      <c r="F268" s="17" t="s">
        <v>70</v>
      </c>
      <c r="G268" s="18">
        <v>33683.8900</v>
      </c>
      <c r="H268" s="18">
        <v>0</v>
      </c>
      <c r="I268" s="18">
        <f ca="1">((I267 + G268) - H268)</f>
        <v>0</v>
      </c>
      <c r="J268" s="18">
        <v>0</v>
      </c>
      <c r="K268" s="19">
        <v>0</v>
      </c>
      <c r="L268" s="17"/>
    </row>
    <row r="269" ht="10.95" customHeight="true" customFormat="true" s="9">
      <c r="A269" s="16">
        <v>45310</v>
      </c>
      <c r="B269" s="17" t="s">
        <v>153</v>
      </c>
      <c r="C269" s="17" t="s">
        <v>154</v>
      </c>
      <c r="D269" s="17" t="s">
        <v>38</v>
      </c>
      <c r="E269" s="17" t="s">
        <v>101</v>
      </c>
      <c r="F269" s="17"/>
      <c r="G269" s="18">
        <v>179.8100</v>
      </c>
      <c r="H269" s="18">
        <v>0</v>
      </c>
      <c r="I269" s="18">
        <f ca="1">((I268 + G269) - H269)</f>
        <v>0</v>
      </c>
      <c r="J269" s="18">
        <v>0</v>
      </c>
      <c r="K269" s="19">
        <v>0</v>
      </c>
      <c r="L269" s="17"/>
    </row>
    <row r="270" ht="10.95" customHeight="true" customFormat="true" s="9">
      <c r="A270" s="16">
        <v>45334</v>
      </c>
      <c r="B270" s="17" t="s">
        <v>153</v>
      </c>
      <c r="C270" s="17" t="s">
        <v>154</v>
      </c>
      <c r="D270" s="17" t="s">
        <v>38</v>
      </c>
      <c r="E270" s="17" t="s">
        <v>52</v>
      </c>
      <c r="F270" s="17"/>
      <c r="G270" s="18">
        <v>60.4500</v>
      </c>
      <c r="H270" s="18">
        <v>0</v>
      </c>
      <c r="I270" s="18">
        <f ca="1">((I269 + G270) - H270)</f>
        <v>0</v>
      </c>
      <c r="J270" s="18">
        <v>0</v>
      </c>
      <c r="K270" s="19">
        <v>0</v>
      </c>
      <c r="L270" s="17"/>
    </row>
    <row r="271" ht="10.95" customHeight="true" customFormat="true" s="9">
      <c r="A271" s="16">
        <v>45334</v>
      </c>
      <c r="B271" s="17" t="s">
        <v>153</v>
      </c>
      <c r="C271" s="17" t="s">
        <v>154</v>
      </c>
      <c r="D271" s="17" t="s">
        <v>32</v>
      </c>
      <c r="E271" s="17" t="s">
        <v>104</v>
      </c>
      <c r="F271" s="17"/>
      <c r="G271" s="18">
        <v>0</v>
      </c>
      <c r="H271" s="18">
        <v>33984.0000</v>
      </c>
      <c r="I271" s="18">
        <f ca="1">((I270 + G271) - H271)</f>
        <v>0</v>
      </c>
      <c r="J271" s="18">
        <v>0</v>
      </c>
      <c r="K271" s="19">
        <v>0</v>
      </c>
      <c r="L271" s="17" t="s">
        <v>25</v>
      </c>
    </row>
    <row r="272" ht="10.95" customHeight="true" customFormat="true" s="9">
      <c r="A272" s="16">
        <v>45338</v>
      </c>
      <c r="B272" s="17" t="s">
        <v>153</v>
      </c>
      <c r="C272" s="17" t="s">
        <v>154</v>
      </c>
      <c r="D272" s="17" t="s">
        <v>19</v>
      </c>
      <c r="E272" s="17" t="s">
        <v>157</v>
      </c>
      <c r="F272" s="17" t="s">
        <v>139</v>
      </c>
      <c r="G272" s="18">
        <v>4538.1800</v>
      </c>
      <c r="H272" s="18">
        <v>0</v>
      </c>
      <c r="I272" s="18">
        <f ca="1">((I271 + G272) - H272)</f>
        <v>0</v>
      </c>
      <c r="J272" s="18">
        <v>0</v>
      </c>
      <c r="K272" s="19">
        <v>0</v>
      </c>
      <c r="L272" s="17"/>
    </row>
    <row r="273" ht="10.95" customHeight="true" customFormat="true" s="9">
      <c r="A273" s="16">
        <v>45343</v>
      </c>
      <c r="B273" s="17" t="s">
        <v>153</v>
      </c>
      <c r="C273" s="17" t="s">
        <v>154</v>
      </c>
      <c r="D273" s="17" t="s">
        <v>38</v>
      </c>
      <c r="E273" s="17" t="s">
        <v>103</v>
      </c>
      <c r="F273" s="17"/>
      <c r="G273" s="18">
        <v>1248.7000</v>
      </c>
      <c r="H273" s="18">
        <v>0</v>
      </c>
      <c r="I273" s="18">
        <f ca="1">((I272 + G273) - H273)</f>
        <v>0</v>
      </c>
      <c r="J273" s="18">
        <v>0</v>
      </c>
      <c r="K273" s="19">
        <v>0</v>
      </c>
      <c r="L273" s="17"/>
    </row>
    <row r="274" ht="10.95" customHeight="true" customFormat="true" s="9">
      <c r="A274" s="16">
        <v>45363</v>
      </c>
      <c r="B274" s="17" t="s">
        <v>153</v>
      </c>
      <c r="C274" s="17" t="s">
        <v>154</v>
      </c>
      <c r="D274" s="17" t="s">
        <v>38</v>
      </c>
      <c r="E274" s="17" t="s">
        <v>107</v>
      </c>
      <c r="F274" s="17"/>
      <c r="G274" s="18">
        <v>265.0000</v>
      </c>
      <c r="H274" s="18">
        <v>0</v>
      </c>
      <c r="I274" s="18">
        <f ca="1">((I273 + G274) - H274)</f>
        <v>0</v>
      </c>
      <c r="J274" s="18">
        <v>0</v>
      </c>
      <c r="K274" s="19">
        <v>0</v>
      </c>
      <c r="L274" s="17"/>
    </row>
    <row r="275" ht="10.95" customHeight="true" customFormat="true" s="9">
      <c r="A275" s="16">
        <v>45390</v>
      </c>
      <c r="B275" s="17" t="s">
        <v>153</v>
      </c>
      <c r="C275" s="17" t="s">
        <v>154</v>
      </c>
      <c r="D275" s="17" t="s">
        <v>32</v>
      </c>
      <c r="E275" s="17" t="s">
        <v>158</v>
      </c>
      <c r="F275" s="17"/>
      <c r="G275" s="18">
        <v>0</v>
      </c>
      <c r="H275" s="18">
        <v>5733.0000</v>
      </c>
      <c r="I275" s="18">
        <f ca="1">((I274 + G275) - H275)</f>
        <v>0</v>
      </c>
      <c r="J275" s="18">
        <v>0</v>
      </c>
      <c r="K275" s="19">
        <v>0</v>
      </c>
      <c r="L275" s="17" t="s">
        <v>25</v>
      </c>
    </row>
    <row r="276" ht="10.95" customHeight="true" customFormat="true" s="9">
      <c r="A276" s="16">
        <v>45413</v>
      </c>
      <c r="B276" s="17" t="s">
        <v>153</v>
      </c>
      <c r="C276" s="17" t="s">
        <v>154</v>
      </c>
      <c r="D276" s="17" t="s">
        <v>38</v>
      </c>
      <c r="E276" s="17" t="s">
        <v>103</v>
      </c>
      <c r="F276" s="17"/>
      <c r="G276" s="18">
        <v>283.7900</v>
      </c>
      <c r="H276" s="18">
        <v>0</v>
      </c>
      <c r="I276" s="18">
        <f ca="1">((I275 + G276) - H276)</f>
        <v>0</v>
      </c>
      <c r="J276" s="18">
        <v>0</v>
      </c>
      <c r="K276" s="19">
        <v>0</v>
      </c>
      <c r="L276" s="17"/>
    </row>
    <row r="277" ht="10.95" customHeight="true" customFormat="true" s="9">
      <c r="A277" s="16">
        <v>45427</v>
      </c>
      <c r="B277" s="17" t="s">
        <v>153</v>
      </c>
      <c r="C277" s="17" t="s">
        <v>154</v>
      </c>
      <c r="D277" s="17" t="s">
        <v>19</v>
      </c>
      <c r="E277" s="17" t="s">
        <v>159</v>
      </c>
      <c r="F277" s="17" t="s">
        <v>146</v>
      </c>
      <c r="G277" s="18">
        <v>3025.4500</v>
      </c>
      <c r="H277" s="18">
        <v>0</v>
      </c>
      <c r="I277" s="18">
        <f ca="1">((I276 + G277) - H277)</f>
        <v>0</v>
      </c>
      <c r="J277" s="18">
        <v>0</v>
      </c>
      <c r="K277" s="19">
        <v>0</v>
      </c>
      <c r="L277" s="17"/>
    </row>
    <row r="278" ht="10.95" customHeight="true" customFormat="true" s="9">
      <c r="A278" s="16">
        <v>45428</v>
      </c>
      <c r="B278" s="17" t="s">
        <v>153</v>
      </c>
      <c r="C278" s="17" t="s">
        <v>154</v>
      </c>
      <c r="D278" s="17" t="s">
        <v>38</v>
      </c>
      <c r="E278" s="17" t="s">
        <v>103</v>
      </c>
      <c r="F278" s="17"/>
      <c r="G278" s="18">
        <v>2837.9500</v>
      </c>
      <c r="H278" s="18">
        <v>0</v>
      </c>
      <c r="I278" s="18">
        <f ca="1">((I277 + G278) - H278)</f>
        <v>0</v>
      </c>
      <c r="J278" s="18">
        <v>0</v>
      </c>
      <c r="K278" s="19">
        <v>0</v>
      </c>
      <c r="L278" s="17"/>
    </row>
    <row r="279" ht="10.95" customHeight="true" customFormat="true" s="9">
      <c r="A279" s="16">
        <v>45428</v>
      </c>
      <c r="B279" s="17" t="s">
        <v>153</v>
      </c>
      <c r="C279" s="17" t="s">
        <v>154</v>
      </c>
      <c r="D279" s="17" t="s">
        <v>38</v>
      </c>
      <c r="E279" s="17" t="s">
        <v>108</v>
      </c>
      <c r="F279" s="17"/>
      <c r="G279" s="18">
        <v>45.4500</v>
      </c>
      <c r="H279" s="18">
        <v>0</v>
      </c>
      <c r="I279" s="18">
        <f ca="1">((I278 + G279) - H279)</f>
        <v>0</v>
      </c>
      <c r="J279" s="18">
        <v>0</v>
      </c>
      <c r="K279" s="19">
        <v>0</v>
      </c>
      <c r="L279" s="17"/>
    </row>
    <row r="280" ht="10.95" customHeight="true" customFormat="true" s="9">
      <c r="A280" s="16">
        <v>45442</v>
      </c>
      <c r="B280" s="17" t="s">
        <v>153</v>
      </c>
      <c r="C280" s="17" t="s">
        <v>154</v>
      </c>
      <c r="D280" s="17" t="s">
        <v>32</v>
      </c>
      <c r="E280" s="17" t="s">
        <v>160</v>
      </c>
      <c r="F280" s="17"/>
      <c r="G280" s="18">
        <v>0</v>
      </c>
      <c r="H280" s="18">
        <v>265.0000</v>
      </c>
      <c r="I280" s="18">
        <f ca="1">((I279 + G280) - H280)</f>
        <v>0</v>
      </c>
      <c r="J280" s="18">
        <v>0</v>
      </c>
      <c r="K280" s="19">
        <v>0</v>
      </c>
      <c r="L280" s="17" t="s">
        <v>25</v>
      </c>
    </row>
    <row r="281" ht="10.95" customHeight="true" customFormat="true" s="9">
      <c r="A281" s="16">
        <v>45455</v>
      </c>
      <c r="B281" s="17" t="s">
        <v>153</v>
      </c>
      <c r="C281" s="17" t="s">
        <v>154</v>
      </c>
      <c r="D281" s="17" t="s">
        <v>38</v>
      </c>
      <c r="E281" s="17" t="s">
        <v>103</v>
      </c>
      <c r="F281" s="17"/>
      <c r="G281" s="18">
        <v>340.5500</v>
      </c>
      <c r="H281" s="18">
        <v>0</v>
      </c>
      <c r="I281" s="18">
        <f ca="1">((I280 + G281) - H281)</f>
        <v>0</v>
      </c>
      <c r="J281" s="18">
        <v>0</v>
      </c>
      <c r="K281" s="19">
        <v>0</v>
      </c>
      <c r="L281" s="17"/>
    </row>
    <row r="282" ht="10.95" customHeight="true" customFormat="true" s="9">
      <c r="A282" s="16">
        <v>45469</v>
      </c>
      <c r="B282" s="17" t="s">
        <v>153</v>
      </c>
      <c r="C282" s="17" t="s">
        <v>154</v>
      </c>
      <c r="D282" s="17" t="s">
        <v>38</v>
      </c>
      <c r="E282" s="17" t="s">
        <v>103</v>
      </c>
      <c r="F282" s="17"/>
      <c r="G282" s="18">
        <v>3405.5400</v>
      </c>
      <c r="H282" s="18">
        <v>0</v>
      </c>
      <c r="I282" s="18">
        <f ca="1">((I281 + G282) - H282)</f>
        <v>0</v>
      </c>
      <c r="J282" s="18">
        <v>0</v>
      </c>
      <c r="K282" s="19">
        <v>0</v>
      </c>
      <c r="L282" s="17"/>
    </row>
    <row r="283" ht="10.95" customHeight="true" customFormat="true" s="9">
      <c r="A283" s="16">
        <v>45471</v>
      </c>
      <c r="B283" s="17" t="s">
        <v>153</v>
      </c>
      <c r="C283" s="17" t="s">
        <v>154</v>
      </c>
      <c r="D283" s="17" t="s">
        <v>38</v>
      </c>
      <c r="E283" s="17" t="s">
        <v>52</v>
      </c>
      <c r="F283" s="17"/>
      <c r="G283" s="18">
        <v>70.0000</v>
      </c>
      <c r="H283" s="18">
        <v>0</v>
      </c>
      <c r="I283" s="18">
        <f ca="1">((I282 + G283) - H283)</f>
        <v>0</v>
      </c>
      <c r="J283" s="18">
        <v>0</v>
      </c>
      <c r="K283" s="19">
        <v>0</v>
      </c>
      <c r="L283" s="17"/>
    </row>
    <row r="284" ht="10.95" customHeight="true" customFormat="true" s="9">
      <c r="A284" s="16">
        <v>45473</v>
      </c>
      <c r="B284" s="17" t="s">
        <v>153</v>
      </c>
      <c r="C284" s="17" t="s">
        <v>154</v>
      </c>
      <c r="D284" s="17" t="s">
        <v>19</v>
      </c>
      <c r="E284" s="17" t="s">
        <v>161</v>
      </c>
      <c r="F284" s="17" t="s">
        <v>21</v>
      </c>
      <c r="G284" s="18">
        <v>0</v>
      </c>
      <c r="H284" s="18">
        <v>1200.0000</v>
      </c>
      <c r="I284" s="18">
        <f ca="1">((I283 + G284) - H284)</f>
        <v>0</v>
      </c>
      <c r="J284" s="18">
        <v>0</v>
      </c>
      <c r="K284" s="19">
        <v>0</v>
      </c>
      <c r="L284" s="17"/>
    </row>
    <row r="285" ht="10.95" customHeight="true" customFormat="true" s="9">
      <c r="A285" s="16">
        <v>45473</v>
      </c>
      <c r="B285" s="17" t="s">
        <v>153</v>
      </c>
      <c r="C285" s="17" t="s">
        <v>154</v>
      </c>
      <c r="D285" s="17" t="s">
        <v>19</v>
      </c>
      <c r="E285" s="17" t="s">
        <v>162</v>
      </c>
      <c r="F285" s="17" t="s">
        <v>48</v>
      </c>
      <c r="G285" s="18">
        <v>0</v>
      </c>
      <c r="H285" s="18">
        <v>9022.7600</v>
      </c>
      <c r="I285" s="18">
        <f ca="1">((I284 + G285) - H285)</f>
        <v>0</v>
      </c>
      <c r="J285" s="18">
        <v>0</v>
      </c>
      <c r="K285" s="19">
        <v>0</v>
      </c>
      <c r="L285" s="17" t="s">
        <v>25</v>
      </c>
    </row>
    <row r="286" ht="10.95" customHeight="true" customFormat="true" s="9">
      <c r="A286" s="20" t="s">
        <v>163</v>
      </c>
      <c r="B286" s="20"/>
      <c r="C286" s="20"/>
      <c r="D286" s="20"/>
      <c r="E286" s="20"/>
      <c r="F286" s="20"/>
      <c r="G286" s="21">
        <f ca="1">SUM(G267:G285)</f>
        <v>0</v>
      </c>
      <c r="H286" s="21">
        <f ca="1">SUM(H267:H285)</f>
        <v>0</v>
      </c>
      <c r="I286" s="21">
        <f ca="1">I285</f>
        <v>0</v>
      </c>
      <c r="J286" s="21">
        <f ca="1">SUM(J267:J285)</f>
        <v>0</v>
      </c>
      <c r="K286" s="20"/>
      <c r="L286" s="20"/>
    </row>
    <row r="287" ht="10.95" customHeight="true" customFormat="true" s="9">
      <c r="A287" s="20" t="s">
        <v>27</v>
      </c>
      <c r="B287" s="20"/>
      <c r="C287" s="20"/>
      <c r="D287" s="20"/>
      <c r="E287" s="20"/>
      <c r="F287" s="20"/>
      <c r="G287" s="21">
        <v>0</v>
      </c>
      <c r="H287" s="21">
        <v>0</v>
      </c>
      <c r="I287" s="21">
        <v>0</v>
      </c>
      <c r="J287" s="21">
        <v>0</v>
      </c>
      <c r="K287" s="20"/>
      <c r="L287" s="20"/>
    </row>
    <row r="288" ht="10.95" customHeight="true" customFormat="true" s="9">
      <c r="A288" s="10" t="s">
        <v>28</v>
      </c>
      <c r="B288" s="10"/>
      <c r="C288" s="10"/>
      <c r="D288" s="10"/>
      <c r="E288" s="10"/>
      <c r="F288" s="10"/>
      <c r="G288" s="11">
        <v>0</v>
      </c>
      <c r="H288" s="11">
        <v>0</v>
      </c>
      <c r="I288" s="11">
        <f ca="1">I285</f>
        <v>0</v>
      </c>
      <c r="J288" s="11">
        <v>0</v>
      </c>
      <c r="K288" s="10"/>
      <c r="L288" s="10"/>
    </row>
    <row r="289" ht="13.35" customHeight="true"/>
    <row r="290" ht="12.1" customHeight="true" customFormat="true" s="5">
      <c r="A290" s="8" t="s">
        <v>164</v>
      </c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</row>
    <row r="291" ht="10.95" customHeight="true" customFormat="true" s="9">
      <c r="A291" s="10" t="s">
        <v>16</v>
      </c>
      <c r="B291" s="10"/>
      <c r="C291" s="10"/>
      <c r="D291" s="10"/>
      <c r="E291" s="10"/>
      <c r="F291" s="10"/>
      <c r="G291" s="11">
        <v>0</v>
      </c>
      <c r="H291" s="11">
        <v>0</v>
      </c>
      <c r="I291" s="11">
        <f ca="1">(G291 - H291)</f>
        <v>0</v>
      </c>
      <c r="J291" s="11">
        <v>0</v>
      </c>
      <c r="K291" s="10"/>
      <c r="L291" s="10"/>
    </row>
    <row r="292" ht="10.95" customHeight="true" customFormat="true" s="9">
      <c r="A292" s="12">
        <v>45473</v>
      </c>
      <c r="B292" s="13" t="s">
        <v>165</v>
      </c>
      <c r="C292" s="13" t="s">
        <v>154</v>
      </c>
      <c r="D292" s="13" t="s">
        <v>19</v>
      </c>
      <c r="E292" s="13" t="s">
        <v>162</v>
      </c>
      <c r="F292" s="13" t="s">
        <v>48</v>
      </c>
      <c r="G292" s="14">
        <v>0</v>
      </c>
      <c r="H292" s="14">
        <v>60.2400</v>
      </c>
      <c r="I292" s="14">
        <f ca="1">((I291 + G292) - H292)</f>
        <v>0</v>
      </c>
      <c r="J292" s="14">
        <v>0</v>
      </c>
      <c r="K292" s="15">
        <v>0</v>
      </c>
      <c r="L292" s="13" t="s">
        <v>25</v>
      </c>
    </row>
    <row r="293" ht="10.95" customHeight="true" customFormat="true" s="9">
      <c r="A293" s="16">
        <v>45473</v>
      </c>
      <c r="B293" s="17" t="s">
        <v>165</v>
      </c>
      <c r="C293" s="17" t="s">
        <v>154</v>
      </c>
      <c r="D293" s="17" t="s">
        <v>19</v>
      </c>
      <c r="E293" s="17" t="s">
        <v>23</v>
      </c>
      <c r="F293" s="17" t="s">
        <v>24</v>
      </c>
      <c r="G293" s="18">
        <v>0</v>
      </c>
      <c r="H293" s="18">
        <v>600.0000</v>
      </c>
      <c r="I293" s="18">
        <f ca="1">((I292 + G293) - H293)</f>
        <v>0</v>
      </c>
      <c r="J293" s="18">
        <v>0</v>
      </c>
      <c r="K293" s="19">
        <v>0</v>
      </c>
      <c r="L293" s="17" t="s">
        <v>25</v>
      </c>
    </row>
    <row r="294" ht="10.95" customHeight="true" customFormat="true" s="9">
      <c r="A294" s="20" t="s">
        <v>166</v>
      </c>
      <c r="B294" s="20"/>
      <c r="C294" s="20"/>
      <c r="D294" s="20"/>
      <c r="E294" s="20"/>
      <c r="F294" s="20"/>
      <c r="G294" s="21">
        <f ca="1">SUM(G292:G293)</f>
        <v>0</v>
      </c>
      <c r="H294" s="21">
        <f ca="1">SUM(H292:H293)</f>
        <v>0</v>
      </c>
      <c r="I294" s="21">
        <f ca="1">I293</f>
        <v>0</v>
      </c>
      <c r="J294" s="21">
        <f ca="1">SUM(J292:J293)</f>
        <v>0</v>
      </c>
      <c r="K294" s="20"/>
      <c r="L294" s="20"/>
    </row>
    <row r="295" ht="10.95" customHeight="true" customFormat="true" s="9">
      <c r="A295" s="20" t="s">
        <v>27</v>
      </c>
      <c r="B295" s="20"/>
      <c r="C295" s="20"/>
      <c r="D295" s="20"/>
      <c r="E295" s="20"/>
      <c r="F295" s="20"/>
      <c r="G295" s="21">
        <v>0</v>
      </c>
      <c r="H295" s="21">
        <v>660.2400</v>
      </c>
      <c r="I295" s="21">
        <v>0</v>
      </c>
      <c r="J295" s="21">
        <v>0</v>
      </c>
      <c r="K295" s="20"/>
      <c r="L295" s="20"/>
    </row>
    <row r="296" ht="10.95" customHeight="true" customFormat="true" s="9">
      <c r="A296" s="10" t="s">
        <v>28</v>
      </c>
      <c r="B296" s="10"/>
      <c r="C296" s="10"/>
      <c r="D296" s="10"/>
      <c r="E296" s="10"/>
      <c r="F296" s="10"/>
      <c r="G296" s="11">
        <v>0</v>
      </c>
      <c r="H296" s="11">
        <v>660.2400</v>
      </c>
      <c r="I296" s="11">
        <f ca="1">I293</f>
        <v>0</v>
      </c>
      <c r="J296" s="11">
        <v>0</v>
      </c>
      <c r="K296" s="10"/>
      <c r="L296" s="10"/>
    </row>
    <row r="297" ht="13.35" customHeight="true"/>
    <row r="298" ht="12.1" customHeight="true" customFormat="true" s="5">
      <c r="A298" s="8" t="s">
        <v>167</v>
      </c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</row>
    <row r="299" ht="10.95" customHeight="true" customFormat="true" s="9">
      <c r="A299" s="10" t="s">
        <v>16</v>
      </c>
      <c r="B299" s="10"/>
      <c r="C299" s="10"/>
      <c r="D299" s="10"/>
      <c r="E299" s="10"/>
      <c r="F299" s="10"/>
      <c r="G299" s="11">
        <v>0</v>
      </c>
      <c r="H299" s="11">
        <v>0</v>
      </c>
      <c r="I299" s="11">
        <f ca="1">(G299 - H299)</f>
        <v>0</v>
      </c>
      <c r="J299" s="11">
        <v>0</v>
      </c>
      <c r="K299" s="10"/>
      <c r="L299" s="10"/>
    </row>
    <row r="300" ht="10.95" customHeight="true" customFormat="true" s="9">
      <c r="A300" s="12">
        <v>45473</v>
      </c>
      <c r="B300" s="13" t="s">
        <v>168</v>
      </c>
      <c r="C300" s="13" t="s">
        <v>154</v>
      </c>
      <c r="D300" s="13" t="s">
        <v>19</v>
      </c>
      <c r="E300" s="13" t="s">
        <v>162</v>
      </c>
      <c r="F300" s="13" t="s">
        <v>48</v>
      </c>
      <c r="G300" s="14">
        <v>9083.0000</v>
      </c>
      <c r="H300" s="14">
        <v>0</v>
      </c>
      <c r="I300" s="14">
        <f ca="1">((I299 + G300) - H300)</f>
        <v>0</v>
      </c>
      <c r="J300" s="14">
        <v>0</v>
      </c>
      <c r="K300" s="15">
        <v>0</v>
      </c>
      <c r="L300" s="13" t="s">
        <v>25</v>
      </c>
    </row>
    <row r="301" ht="10.95" customHeight="true" customFormat="true" s="9">
      <c r="A301" s="20" t="s">
        <v>169</v>
      </c>
      <c r="B301" s="20"/>
      <c r="C301" s="20"/>
      <c r="D301" s="20"/>
      <c r="E301" s="20"/>
      <c r="F301" s="20"/>
      <c r="G301" s="21">
        <f ca="1">G300</f>
        <v>0</v>
      </c>
      <c r="H301" s="21">
        <f ca="1">H300</f>
        <v>0</v>
      </c>
      <c r="I301" s="21">
        <f ca="1">I300</f>
        <v>0</v>
      </c>
      <c r="J301" s="21">
        <f ca="1">J300</f>
        <v>0</v>
      </c>
      <c r="K301" s="20"/>
      <c r="L301" s="20"/>
    </row>
    <row r="302" ht="10.95" customHeight="true" customFormat="true" s="9">
      <c r="A302" s="20" t="s">
        <v>27</v>
      </c>
      <c r="B302" s="20"/>
      <c r="C302" s="20"/>
      <c r="D302" s="20"/>
      <c r="E302" s="20"/>
      <c r="F302" s="20"/>
      <c r="G302" s="21">
        <v>9083.0000</v>
      </c>
      <c r="H302" s="21">
        <v>0</v>
      </c>
      <c r="I302" s="21">
        <v>0</v>
      </c>
      <c r="J302" s="21">
        <v>0</v>
      </c>
      <c r="K302" s="20"/>
      <c r="L302" s="20"/>
    </row>
    <row r="303" ht="10.95" customHeight="true" customFormat="true" s="9">
      <c r="A303" s="10" t="s">
        <v>28</v>
      </c>
      <c r="B303" s="10"/>
      <c r="C303" s="10"/>
      <c r="D303" s="10"/>
      <c r="E303" s="10"/>
      <c r="F303" s="10"/>
      <c r="G303" s="11">
        <v>9083.0000</v>
      </c>
      <c r="H303" s="11">
        <v>0</v>
      </c>
      <c r="I303" s="11">
        <f ca="1">I300</f>
        <v>0</v>
      </c>
      <c r="J303" s="11">
        <v>0</v>
      </c>
      <c r="K303" s="10"/>
      <c r="L303" s="10"/>
    </row>
    <row r="304" ht="13.35" customHeight="true"/>
    <row r="305" ht="12.1" customHeight="true" customFormat="true" s="5">
      <c r="A305" s="8" t="s">
        <v>170</v>
      </c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</row>
    <row r="306" ht="10.95" customHeight="true" customFormat="true" s="9">
      <c r="A306" s="10" t="s">
        <v>16</v>
      </c>
      <c r="B306" s="10"/>
      <c r="C306" s="10"/>
      <c r="D306" s="10"/>
      <c r="E306" s="10"/>
      <c r="F306" s="10"/>
      <c r="G306" s="11">
        <v>0</v>
      </c>
      <c r="H306" s="11">
        <v>0</v>
      </c>
      <c r="I306" s="11">
        <f ca="1">(G306 - H306)</f>
        <v>0</v>
      </c>
      <c r="J306" s="11">
        <v>0</v>
      </c>
      <c r="K306" s="10"/>
      <c r="L306" s="10"/>
    </row>
    <row r="307" ht="10.95" customHeight="true" customFormat="true" s="9">
      <c r="A307" s="12">
        <v>45309</v>
      </c>
      <c r="B307" s="13" t="s">
        <v>171</v>
      </c>
      <c r="C307" s="13" t="s">
        <v>154</v>
      </c>
      <c r="D307" s="13" t="s">
        <v>19</v>
      </c>
      <c r="E307" s="13" t="s">
        <v>172</v>
      </c>
      <c r="F307" s="13" t="s">
        <v>70</v>
      </c>
      <c r="G307" s="14">
        <v>1625.0000</v>
      </c>
      <c r="H307" s="14">
        <v>0</v>
      </c>
      <c r="I307" s="14">
        <f ca="1">((I306 + G307) - H307)</f>
        <v>0</v>
      </c>
      <c r="J307" s="14">
        <v>0</v>
      </c>
      <c r="K307" s="15">
        <v>0</v>
      </c>
      <c r="L307" s="13" t="s">
        <v>25</v>
      </c>
    </row>
    <row r="308" ht="10.95" customHeight="true" customFormat="true" s="9">
      <c r="A308" s="16">
        <v>45310</v>
      </c>
      <c r="B308" s="17" t="s">
        <v>171</v>
      </c>
      <c r="C308" s="17" t="s">
        <v>154</v>
      </c>
      <c r="D308" s="17" t="s">
        <v>32</v>
      </c>
      <c r="E308" s="17" t="s">
        <v>173</v>
      </c>
      <c r="F308" s="17"/>
      <c r="G308" s="18">
        <v>0</v>
      </c>
      <c r="H308" s="18">
        <v>1625.0000</v>
      </c>
      <c r="I308" s="18">
        <f ca="1">((I307 + G308) - H308)</f>
        <v>0</v>
      </c>
      <c r="J308" s="18">
        <v>0</v>
      </c>
      <c r="K308" s="19">
        <v>0</v>
      </c>
      <c r="L308" s="17" t="s">
        <v>25</v>
      </c>
    </row>
    <row r="309" ht="10.95" customHeight="true" customFormat="true" s="9">
      <c r="A309" s="20" t="s">
        <v>174</v>
      </c>
      <c r="B309" s="20"/>
      <c r="C309" s="20"/>
      <c r="D309" s="20"/>
      <c r="E309" s="20"/>
      <c r="F309" s="20"/>
      <c r="G309" s="21">
        <f ca="1">SUM(G307:G308)</f>
        <v>0</v>
      </c>
      <c r="H309" s="21">
        <f ca="1">SUM(H307:H308)</f>
        <v>0</v>
      </c>
      <c r="I309" s="21">
        <f ca="1">I308</f>
        <v>0</v>
      </c>
      <c r="J309" s="21">
        <f ca="1">SUM(J307:J308)</f>
        <v>0</v>
      </c>
      <c r="K309" s="20"/>
      <c r="L309" s="20"/>
    </row>
    <row r="310" ht="10.95" customHeight="true" customFormat="true" s="9">
      <c r="A310" s="20" t="s">
        <v>27</v>
      </c>
      <c r="B310" s="20"/>
      <c r="C310" s="20"/>
      <c r="D310" s="20"/>
      <c r="E310" s="20"/>
      <c r="F310" s="20"/>
      <c r="G310" s="21">
        <v>0</v>
      </c>
      <c r="H310" s="21">
        <v>0</v>
      </c>
      <c r="I310" s="21">
        <v>0</v>
      </c>
      <c r="J310" s="21">
        <v>0</v>
      </c>
      <c r="K310" s="20"/>
      <c r="L310" s="20"/>
    </row>
    <row r="311" ht="10.95" customHeight="true" customFormat="true" s="9">
      <c r="A311" s="10" t="s">
        <v>28</v>
      </c>
      <c r="B311" s="10"/>
      <c r="C311" s="10"/>
      <c r="D311" s="10"/>
      <c r="E311" s="10"/>
      <c r="F311" s="10"/>
      <c r="G311" s="11">
        <v>0</v>
      </c>
      <c r="H311" s="11">
        <v>0</v>
      </c>
      <c r="I311" s="11">
        <f ca="1">I308</f>
        <v>0</v>
      </c>
      <c r="J311" s="11">
        <v>0</v>
      </c>
      <c r="K311" s="10"/>
      <c r="L311" s="10"/>
    </row>
    <row r="312" ht="13.35" customHeight="true"/>
    <row r="313" ht="12.1" customHeight="true" customFormat="true" s="5">
      <c r="A313" s="8" t="s">
        <v>175</v>
      </c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</row>
    <row r="314" ht="10.95" customHeight="true" customFormat="true" s="9">
      <c r="A314" s="10" t="s">
        <v>16</v>
      </c>
      <c r="B314" s="10"/>
      <c r="C314" s="10"/>
      <c r="D314" s="10"/>
      <c r="E314" s="10"/>
      <c r="F314" s="10"/>
      <c r="G314" s="11">
        <v>0</v>
      </c>
      <c r="H314" s="11">
        <v>0</v>
      </c>
      <c r="I314" s="11">
        <f ca="1">(G314 - H314)</f>
        <v>0</v>
      </c>
      <c r="J314" s="11">
        <v>0</v>
      </c>
      <c r="K314" s="10"/>
      <c r="L314" s="10"/>
    </row>
    <row r="315" ht="10.95" customHeight="true" customFormat="true" s="9">
      <c r="A315" s="12">
        <v>45473</v>
      </c>
      <c r="B315" s="13" t="s">
        <v>176</v>
      </c>
      <c r="C315" s="13" t="s">
        <v>78</v>
      </c>
      <c r="D315" s="13" t="s">
        <v>19</v>
      </c>
      <c r="E315" s="13" t="s">
        <v>177</v>
      </c>
      <c r="F315" s="13" t="s">
        <v>178</v>
      </c>
      <c r="G315" s="14">
        <v>0</v>
      </c>
      <c r="H315" s="14">
        <v>365.8400</v>
      </c>
      <c r="I315" s="14">
        <f ca="1">((I314 + G315) - H315)</f>
        <v>0</v>
      </c>
      <c r="J315" s="14">
        <v>0</v>
      </c>
      <c r="K315" s="15">
        <v>0</v>
      </c>
      <c r="L315" s="13" t="s">
        <v>25</v>
      </c>
    </row>
    <row r="316" ht="10.95" customHeight="true" customFormat="true" s="9">
      <c r="A316" s="20" t="s">
        <v>179</v>
      </c>
      <c r="B316" s="20"/>
      <c r="C316" s="20"/>
      <c r="D316" s="20"/>
      <c r="E316" s="20"/>
      <c r="F316" s="20"/>
      <c r="G316" s="21">
        <f ca="1">G315</f>
        <v>0</v>
      </c>
      <c r="H316" s="21">
        <f ca="1">H315</f>
        <v>0</v>
      </c>
      <c r="I316" s="21">
        <f ca="1">I315</f>
        <v>0</v>
      </c>
      <c r="J316" s="21">
        <f ca="1">J315</f>
        <v>0</v>
      </c>
      <c r="K316" s="20"/>
      <c r="L316" s="20"/>
    </row>
    <row r="317" ht="10.95" customHeight="true" customFormat="true" s="9">
      <c r="A317" s="20" t="s">
        <v>27</v>
      </c>
      <c r="B317" s="20"/>
      <c r="C317" s="20"/>
      <c r="D317" s="20"/>
      <c r="E317" s="20"/>
      <c r="F317" s="20"/>
      <c r="G317" s="21">
        <v>0</v>
      </c>
      <c r="H317" s="21">
        <v>365.8400</v>
      </c>
      <c r="I317" s="21">
        <v>0</v>
      </c>
      <c r="J317" s="21">
        <v>0</v>
      </c>
      <c r="K317" s="20"/>
      <c r="L317" s="20"/>
    </row>
    <row r="318" ht="10.95" customHeight="true" customFormat="true" s="9">
      <c r="A318" s="10" t="s">
        <v>28</v>
      </c>
      <c r="B318" s="10"/>
      <c r="C318" s="10"/>
      <c r="D318" s="10"/>
      <c r="E318" s="10"/>
      <c r="F318" s="10"/>
      <c r="G318" s="11">
        <v>0</v>
      </c>
      <c r="H318" s="11">
        <v>365.8400</v>
      </c>
      <c r="I318" s="11">
        <f ca="1">I315</f>
        <v>0</v>
      </c>
      <c r="J318" s="11">
        <v>0</v>
      </c>
      <c r="K318" s="10"/>
      <c r="L318" s="10"/>
    </row>
    <row r="319" ht="13.35" customHeight="true"/>
    <row r="320" ht="12.1" customHeight="true" customFormat="true" s="5">
      <c r="A320" s="8" t="s">
        <v>180</v>
      </c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</row>
    <row r="321" ht="10.95" customHeight="true" customFormat="true" s="9">
      <c r="A321" s="10" t="s">
        <v>16</v>
      </c>
      <c r="B321" s="10"/>
      <c r="C321" s="10"/>
      <c r="D321" s="10"/>
      <c r="E321" s="10"/>
      <c r="F321" s="10"/>
      <c r="G321" s="11">
        <v>0</v>
      </c>
      <c r="H321" s="11">
        <v>0</v>
      </c>
      <c r="I321" s="11">
        <f ca="1">(G321 - H321)</f>
        <v>0</v>
      </c>
      <c r="J321" s="11">
        <v>0</v>
      </c>
      <c r="K321" s="10"/>
      <c r="L321" s="10"/>
    </row>
    <row r="322" ht="10.95" customHeight="true" customFormat="true" s="9">
      <c r="A322" s="12">
        <v>45309</v>
      </c>
      <c r="B322" s="13" t="s">
        <v>181</v>
      </c>
      <c r="C322" s="13" t="s">
        <v>78</v>
      </c>
      <c r="D322" s="13" t="s">
        <v>19</v>
      </c>
      <c r="E322" s="13" t="s">
        <v>172</v>
      </c>
      <c r="F322" s="13" t="s">
        <v>70</v>
      </c>
      <c r="G322" s="14">
        <v>0</v>
      </c>
      <c r="H322" s="14">
        <v>329842.5800</v>
      </c>
      <c r="I322" s="14">
        <f ca="1">((I321 + G322) - H322)</f>
        <v>0</v>
      </c>
      <c r="J322" s="14">
        <v>0</v>
      </c>
      <c r="K322" s="15">
        <v>0</v>
      </c>
      <c r="L322" s="13" t="s">
        <v>25</v>
      </c>
    </row>
    <row r="323" ht="10.95" customHeight="true" customFormat="true" s="9">
      <c r="A323" s="16">
        <v>45309</v>
      </c>
      <c r="B323" s="17" t="s">
        <v>181</v>
      </c>
      <c r="C323" s="17" t="s">
        <v>78</v>
      </c>
      <c r="D323" s="17" t="s">
        <v>19</v>
      </c>
      <c r="E323" s="17" t="s">
        <v>117</v>
      </c>
      <c r="F323" s="17" t="s">
        <v>70</v>
      </c>
      <c r="G323" s="18">
        <v>0</v>
      </c>
      <c r="H323" s="18">
        <v>5157.4200</v>
      </c>
      <c r="I323" s="18">
        <f ca="1">((I322 + G323) - H323)</f>
        <v>0</v>
      </c>
      <c r="J323" s="18">
        <v>0</v>
      </c>
      <c r="K323" s="19">
        <v>0</v>
      </c>
      <c r="L323" s="17" t="s">
        <v>25</v>
      </c>
    </row>
    <row r="324" ht="10.95" customHeight="true" customFormat="true" s="9">
      <c r="A324" s="20" t="s">
        <v>182</v>
      </c>
      <c r="B324" s="20"/>
      <c r="C324" s="20"/>
      <c r="D324" s="20"/>
      <c r="E324" s="20"/>
      <c r="F324" s="20"/>
      <c r="G324" s="21">
        <f ca="1">SUM(G322:G323)</f>
        <v>0</v>
      </c>
      <c r="H324" s="21">
        <f ca="1">SUM(H322:H323)</f>
        <v>0</v>
      </c>
      <c r="I324" s="21">
        <f ca="1">I323</f>
        <v>0</v>
      </c>
      <c r="J324" s="21">
        <f ca="1">SUM(J322:J323)</f>
        <v>0</v>
      </c>
      <c r="K324" s="20"/>
      <c r="L324" s="20"/>
    </row>
    <row r="325" ht="10.95" customHeight="true" customFormat="true" s="9">
      <c r="A325" s="20" t="s">
        <v>27</v>
      </c>
      <c r="B325" s="20"/>
      <c r="C325" s="20"/>
      <c r="D325" s="20"/>
      <c r="E325" s="20"/>
      <c r="F325" s="20"/>
      <c r="G325" s="21">
        <v>0</v>
      </c>
      <c r="H325" s="21">
        <v>335000.0000</v>
      </c>
      <c r="I325" s="21">
        <v>0</v>
      </c>
      <c r="J325" s="21">
        <v>0</v>
      </c>
      <c r="K325" s="20"/>
      <c r="L325" s="20"/>
    </row>
    <row r="326" ht="10.95" customHeight="true" customFormat="true" s="9">
      <c r="A326" s="10" t="s">
        <v>28</v>
      </c>
      <c r="B326" s="10"/>
      <c r="C326" s="10"/>
      <c r="D326" s="10"/>
      <c r="E326" s="10"/>
      <c r="F326" s="10"/>
      <c r="G326" s="11">
        <v>0</v>
      </c>
      <c r="H326" s="11">
        <v>335000.0000</v>
      </c>
      <c r="I326" s="11">
        <f ca="1">I323</f>
        <v>0</v>
      </c>
      <c r="J326" s="11">
        <v>0</v>
      </c>
      <c r="K326" s="10"/>
      <c r="L326" s="10"/>
    </row>
    <row r="327" ht="13.35" customHeight="true"/>
    <row r="328" ht="12.1" customHeight="true" customFormat="true" s="5">
      <c r="A328" s="8" t="s">
        <v>183</v>
      </c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</row>
    <row r="329" ht="10.95" customHeight="true" customFormat="true" s="9">
      <c r="A329" s="10" t="s">
        <v>16</v>
      </c>
      <c r="B329" s="10"/>
      <c r="C329" s="10"/>
      <c r="D329" s="10"/>
      <c r="E329" s="10"/>
      <c r="F329" s="10"/>
      <c r="G329" s="11">
        <v>0</v>
      </c>
      <c r="H329" s="11">
        <v>0</v>
      </c>
      <c r="I329" s="11">
        <f ca="1">(G329 - H329)</f>
        <v>0</v>
      </c>
      <c r="J329" s="11">
        <v>0</v>
      </c>
      <c r="K329" s="10"/>
      <c r="L329" s="10"/>
    </row>
    <row r="330" ht="10.95" customHeight="true" customFormat="true" s="9">
      <c r="A330" s="12">
        <v>45309</v>
      </c>
      <c r="B330" s="13" t="s">
        <v>184</v>
      </c>
      <c r="C330" s="13" t="s">
        <v>78</v>
      </c>
      <c r="D330" s="13" t="s">
        <v>19</v>
      </c>
      <c r="E330" s="13" t="s">
        <v>172</v>
      </c>
      <c r="F330" s="13" t="s">
        <v>70</v>
      </c>
      <c r="G330" s="14">
        <v>0</v>
      </c>
      <c r="H330" s="14">
        <v>19400.0000</v>
      </c>
      <c r="I330" s="14">
        <f ca="1">((I329 + G330) - H330)</f>
        <v>0</v>
      </c>
      <c r="J330" s="14">
        <v>0</v>
      </c>
      <c r="K330" s="15">
        <v>0</v>
      </c>
      <c r="L330" s="13" t="s">
        <v>25</v>
      </c>
    </row>
    <row r="331" ht="10.95" customHeight="true" customFormat="true" s="9">
      <c r="A331" s="16">
        <v>45309</v>
      </c>
      <c r="B331" s="17" t="s">
        <v>184</v>
      </c>
      <c r="C331" s="17" t="s">
        <v>78</v>
      </c>
      <c r="D331" s="17" t="s">
        <v>19</v>
      </c>
      <c r="E331" s="17" t="s">
        <v>117</v>
      </c>
      <c r="F331" s="17" t="s">
        <v>70</v>
      </c>
      <c r="G331" s="18">
        <v>0</v>
      </c>
      <c r="H331" s="18">
        <v>600.0000</v>
      </c>
      <c r="I331" s="18">
        <f ca="1">((I330 + G331) - H331)</f>
        <v>0</v>
      </c>
      <c r="J331" s="18">
        <v>0</v>
      </c>
      <c r="K331" s="19">
        <v>0</v>
      </c>
      <c r="L331" s="17" t="s">
        <v>25</v>
      </c>
    </row>
    <row r="332" ht="10.95" customHeight="true" customFormat="true" s="9">
      <c r="A332" s="16">
        <v>45473</v>
      </c>
      <c r="B332" s="17" t="s">
        <v>184</v>
      </c>
      <c r="C332" s="17" t="s">
        <v>78</v>
      </c>
      <c r="D332" s="17" t="s">
        <v>19</v>
      </c>
      <c r="E332" s="17" t="s">
        <v>94</v>
      </c>
      <c r="F332" s="17" t="s">
        <v>95</v>
      </c>
      <c r="G332" s="18">
        <v>20000.0000</v>
      </c>
      <c r="H332" s="18">
        <v>0</v>
      </c>
      <c r="I332" s="18">
        <f ca="1">((I331 + G332) - H332)</f>
        <v>0</v>
      </c>
      <c r="J332" s="18">
        <v>0</v>
      </c>
      <c r="K332" s="19">
        <v>0</v>
      </c>
      <c r="L332" s="17" t="s">
        <v>25</v>
      </c>
    </row>
    <row r="333" ht="10.95" customHeight="true" customFormat="true" s="9">
      <c r="A333" s="20" t="s">
        <v>185</v>
      </c>
      <c r="B333" s="20"/>
      <c r="C333" s="20"/>
      <c r="D333" s="20"/>
      <c r="E333" s="20"/>
      <c r="F333" s="20"/>
      <c r="G333" s="21">
        <f ca="1">SUM(G330:G332)</f>
        <v>0</v>
      </c>
      <c r="H333" s="21">
        <f ca="1">SUM(H330:H332)</f>
        <v>0</v>
      </c>
      <c r="I333" s="21">
        <f ca="1">I332</f>
        <v>0</v>
      </c>
      <c r="J333" s="21">
        <f ca="1">SUM(J330:J332)</f>
        <v>0</v>
      </c>
      <c r="K333" s="20"/>
      <c r="L333" s="20"/>
    </row>
    <row r="334" ht="10.95" customHeight="true" customFormat="true" s="9">
      <c r="A334" s="20" t="s">
        <v>27</v>
      </c>
      <c r="B334" s="20"/>
      <c r="C334" s="20"/>
      <c r="D334" s="20"/>
      <c r="E334" s="20"/>
      <c r="F334" s="20"/>
      <c r="G334" s="21">
        <v>0</v>
      </c>
      <c r="H334" s="21">
        <v>0</v>
      </c>
      <c r="I334" s="21">
        <v>0</v>
      </c>
      <c r="J334" s="21">
        <v>0</v>
      </c>
      <c r="K334" s="20"/>
      <c r="L334" s="20"/>
    </row>
    <row r="335" ht="10.95" customHeight="true" customFormat="true" s="9">
      <c r="A335" s="10" t="s">
        <v>28</v>
      </c>
      <c r="B335" s="10"/>
      <c r="C335" s="10"/>
      <c r="D335" s="10"/>
      <c r="E335" s="10"/>
      <c r="F335" s="10"/>
      <c r="G335" s="11">
        <v>0</v>
      </c>
      <c r="H335" s="11">
        <v>0</v>
      </c>
      <c r="I335" s="11">
        <f ca="1">I332</f>
        <v>0</v>
      </c>
      <c r="J335" s="11">
        <v>0</v>
      </c>
      <c r="K335" s="10"/>
      <c r="L335" s="10"/>
    </row>
    <row r="336" ht="13.35" customHeight="true"/>
    <row r="337" ht="12.1" customHeight="true" customFormat="true" s="5">
      <c r="A337" s="8" t="s">
        <v>186</v>
      </c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</row>
    <row r="338" ht="10.95" customHeight="true" customFormat="true" s="9">
      <c r="A338" s="10" t="s">
        <v>16</v>
      </c>
      <c r="B338" s="10"/>
      <c r="C338" s="10"/>
      <c r="D338" s="10"/>
      <c r="E338" s="10"/>
      <c r="F338" s="10"/>
      <c r="G338" s="11">
        <v>0</v>
      </c>
      <c r="H338" s="11">
        <v>0</v>
      </c>
      <c r="I338" s="11">
        <f ca="1">(G338 - H338)</f>
        <v>0</v>
      </c>
      <c r="J338" s="11">
        <v>0</v>
      </c>
      <c r="K338" s="10"/>
      <c r="L338" s="10"/>
    </row>
    <row r="339" ht="10.95" customHeight="true" customFormat="true" s="9">
      <c r="A339" s="12">
        <v>45338</v>
      </c>
      <c r="B339" s="13" t="s">
        <v>187</v>
      </c>
      <c r="C339" s="13" t="s">
        <v>78</v>
      </c>
      <c r="D339" s="13" t="s">
        <v>19</v>
      </c>
      <c r="E339" s="13" t="s">
        <v>188</v>
      </c>
      <c r="F339" s="13" t="s">
        <v>139</v>
      </c>
      <c r="G339" s="14">
        <v>0</v>
      </c>
      <c r="H339" s="14">
        <v>45381.8200</v>
      </c>
      <c r="I339" s="14">
        <f ca="1">((I338 + G339) - H339)</f>
        <v>0</v>
      </c>
      <c r="J339" s="14">
        <v>0</v>
      </c>
      <c r="K339" s="15">
        <v>0</v>
      </c>
      <c r="L339" s="13" t="s">
        <v>25</v>
      </c>
    </row>
    <row r="340" ht="10.95" customHeight="true" customFormat="true" s="9">
      <c r="A340" s="16">
        <v>45342</v>
      </c>
      <c r="B340" s="17" t="s">
        <v>187</v>
      </c>
      <c r="C340" s="17" t="s">
        <v>78</v>
      </c>
      <c r="D340" s="17" t="s">
        <v>32</v>
      </c>
      <c r="E340" s="17" t="s">
        <v>189</v>
      </c>
      <c r="F340" s="17"/>
      <c r="G340" s="18">
        <v>0</v>
      </c>
      <c r="H340" s="18">
        <v>12486.9600</v>
      </c>
      <c r="I340" s="18">
        <f ca="1">((I339 + G340) - H340)</f>
        <v>0</v>
      </c>
      <c r="J340" s="18">
        <v>0</v>
      </c>
      <c r="K340" s="19">
        <v>0</v>
      </c>
      <c r="L340" s="17" t="s">
        <v>25</v>
      </c>
    </row>
    <row r="341" ht="10.95" customHeight="true" customFormat="true" s="9">
      <c r="A341" s="16">
        <v>45427</v>
      </c>
      <c r="B341" s="17" t="s">
        <v>187</v>
      </c>
      <c r="C341" s="17" t="s">
        <v>78</v>
      </c>
      <c r="D341" s="17" t="s">
        <v>19</v>
      </c>
      <c r="E341" s="17" t="s">
        <v>190</v>
      </c>
      <c r="F341" s="17" t="s">
        <v>146</v>
      </c>
      <c r="G341" s="18">
        <v>0</v>
      </c>
      <c r="H341" s="18">
        <v>30254.5500</v>
      </c>
      <c r="I341" s="18">
        <f ca="1">((I340 + G341) - H341)</f>
        <v>0</v>
      </c>
      <c r="J341" s="18">
        <v>0</v>
      </c>
      <c r="K341" s="19">
        <v>0</v>
      </c>
      <c r="L341" s="17" t="s">
        <v>25</v>
      </c>
    </row>
    <row r="342" ht="10.95" customHeight="true" customFormat="true" s="9">
      <c r="A342" s="16">
        <v>45428</v>
      </c>
      <c r="B342" s="17" t="s">
        <v>187</v>
      </c>
      <c r="C342" s="17" t="s">
        <v>78</v>
      </c>
      <c r="D342" s="17" t="s">
        <v>32</v>
      </c>
      <c r="E342" s="17" t="s">
        <v>191</v>
      </c>
      <c r="F342" s="17"/>
      <c r="G342" s="18">
        <v>0</v>
      </c>
      <c r="H342" s="18">
        <v>31217.4100</v>
      </c>
      <c r="I342" s="18">
        <f ca="1">((I341 + G342) - H342)</f>
        <v>0</v>
      </c>
      <c r="J342" s="18">
        <v>0</v>
      </c>
      <c r="K342" s="19">
        <v>0</v>
      </c>
      <c r="L342" s="17" t="s">
        <v>25</v>
      </c>
    </row>
    <row r="343" ht="10.95" customHeight="true" customFormat="true" s="9">
      <c r="A343" s="16">
        <v>45469</v>
      </c>
      <c r="B343" s="17" t="s">
        <v>187</v>
      </c>
      <c r="C343" s="17" t="s">
        <v>78</v>
      </c>
      <c r="D343" s="17" t="s">
        <v>32</v>
      </c>
      <c r="E343" s="17" t="s">
        <v>191</v>
      </c>
      <c r="F343" s="17"/>
      <c r="G343" s="18">
        <v>0</v>
      </c>
      <c r="H343" s="18">
        <v>37460.8900</v>
      </c>
      <c r="I343" s="18">
        <f ca="1">((I342 + G343) - H343)</f>
        <v>0</v>
      </c>
      <c r="J343" s="18">
        <v>0</v>
      </c>
      <c r="K343" s="19">
        <v>0</v>
      </c>
      <c r="L343" s="17" t="s">
        <v>25</v>
      </c>
    </row>
    <row r="344" ht="10.95" customHeight="true" customFormat="true" s="9">
      <c r="A344" s="20" t="s">
        <v>192</v>
      </c>
      <c r="B344" s="20"/>
      <c r="C344" s="20"/>
      <c r="D344" s="20"/>
      <c r="E344" s="20"/>
      <c r="F344" s="20"/>
      <c r="G344" s="21">
        <f ca="1">SUM(G339:G343)</f>
        <v>0</v>
      </c>
      <c r="H344" s="21">
        <f ca="1">SUM(H339:H343)</f>
        <v>0</v>
      </c>
      <c r="I344" s="21">
        <f ca="1">I343</f>
        <v>0</v>
      </c>
      <c r="J344" s="21">
        <f ca="1">SUM(J339:J343)</f>
        <v>0</v>
      </c>
      <c r="K344" s="20"/>
      <c r="L344" s="20"/>
    </row>
    <row r="345" ht="10.95" customHeight="true" customFormat="true" s="9">
      <c r="A345" s="20" t="s">
        <v>27</v>
      </c>
      <c r="B345" s="20"/>
      <c r="C345" s="20"/>
      <c r="D345" s="20"/>
      <c r="E345" s="20"/>
      <c r="F345" s="20"/>
      <c r="G345" s="21">
        <v>0</v>
      </c>
      <c r="H345" s="21">
        <v>156801.6300</v>
      </c>
      <c r="I345" s="21">
        <v>0</v>
      </c>
      <c r="J345" s="21">
        <v>0</v>
      </c>
      <c r="K345" s="20"/>
      <c r="L345" s="20"/>
    </row>
    <row r="346" ht="10.95" customHeight="true" customFormat="true" s="9">
      <c r="A346" s="10" t="s">
        <v>28</v>
      </c>
      <c r="B346" s="10"/>
      <c r="C346" s="10"/>
      <c r="D346" s="10"/>
      <c r="E346" s="10"/>
      <c r="F346" s="10"/>
      <c r="G346" s="11">
        <v>0</v>
      </c>
      <c r="H346" s="11">
        <v>156801.6300</v>
      </c>
      <c r="I346" s="11">
        <f ca="1">I343</f>
        <v>0</v>
      </c>
      <c r="J346" s="11">
        <v>0</v>
      </c>
      <c r="K346" s="10"/>
      <c r="L346" s="10"/>
    </row>
    <row r="347" ht="13.35" customHeight="true"/>
    <row r="348" ht="12.1" customHeight="true" customFormat="true" s="5">
      <c r="A348" s="8" t="s">
        <v>193</v>
      </c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</row>
    <row r="349" ht="10.95" customHeight="true" customFormat="true" s="9">
      <c r="A349" s="10" t="s">
        <v>16</v>
      </c>
      <c r="B349" s="10"/>
      <c r="C349" s="10"/>
      <c r="D349" s="10"/>
      <c r="E349" s="10"/>
      <c r="F349" s="10"/>
      <c r="G349" s="11">
        <v>0</v>
      </c>
      <c r="H349" s="11">
        <v>0</v>
      </c>
      <c r="I349" s="11">
        <f ca="1">(G349 - H349)</f>
        <v>0</v>
      </c>
      <c r="J349" s="11">
        <v>0</v>
      </c>
      <c r="K349" s="10"/>
      <c r="L349" s="10"/>
    </row>
    <row r="350" ht="10.95" customHeight="true" customFormat="true" s="9">
      <c r="A350" s="12">
        <v>45473</v>
      </c>
      <c r="B350" s="13" t="s">
        <v>194</v>
      </c>
      <c r="C350" s="13" t="s">
        <v>195</v>
      </c>
      <c r="D350" s="13" t="s">
        <v>19</v>
      </c>
      <c r="E350" s="13" t="s">
        <v>177</v>
      </c>
      <c r="F350" s="13" t="s">
        <v>178</v>
      </c>
      <c r="G350" s="14">
        <v>365.8400</v>
      </c>
      <c r="H350" s="14">
        <v>0</v>
      </c>
      <c r="I350" s="14">
        <f ca="1">((I349 + G350) - H350)</f>
        <v>0</v>
      </c>
      <c r="J350" s="14">
        <v>0</v>
      </c>
      <c r="K350" s="15">
        <v>0</v>
      </c>
      <c r="L350" s="13" t="s">
        <v>25</v>
      </c>
    </row>
    <row r="351" ht="10.95" customHeight="true" customFormat="true" s="9">
      <c r="A351" s="20" t="s">
        <v>196</v>
      </c>
      <c r="B351" s="20"/>
      <c r="C351" s="20"/>
      <c r="D351" s="20"/>
      <c r="E351" s="20"/>
      <c r="F351" s="20"/>
      <c r="G351" s="21">
        <f ca="1">G350</f>
        <v>0</v>
      </c>
      <c r="H351" s="21">
        <f ca="1">H350</f>
        <v>0</v>
      </c>
      <c r="I351" s="21">
        <f ca="1">I350</f>
        <v>0</v>
      </c>
      <c r="J351" s="21">
        <f ca="1">J350</f>
        <v>0</v>
      </c>
      <c r="K351" s="20"/>
      <c r="L351" s="20"/>
    </row>
    <row r="352" ht="10.95" customHeight="true" customFormat="true" s="9">
      <c r="A352" s="20" t="s">
        <v>27</v>
      </c>
      <c r="B352" s="20"/>
      <c r="C352" s="20"/>
      <c r="D352" s="20"/>
      <c r="E352" s="20"/>
      <c r="F352" s="20"/>
      <c r="G352" s="21">
        <v>365.8400</v>
      </c>
      <c r="H352" s="21">
        <v>0</v>
      </c>
      <c r="I352" s="21">
        <v>0</v>
      </c>
      <c r="J352" s="21">
        <v>0</v>
      </c>
      <c r="K352" s="20"/>
      <c r="L352" s="20"/>
    </row>
    <row r="353" ht="10.95" customHeight="true" customFormat="true" s="9">
      <c r="A353" s="10" t="s">
        <v>28</v>
      </c>
      <c r="B353" s="10"/>
      <c r="C353" s="10"/>
      <c r="D353" s="10"/>
      <c r="E353" s="10"/>
      <c r="F353" s="10"/>
      <c r="G353" s="11">
        <v>365.8400</v>
      </c>
      <c r="H353" s="11">
        <v>0</v>
      </c>
      <c r="I353" s="11">
        <f ca="1">I350</f>
        <v>0</v>
      </c>
      <c r="J353" s="11">
        <v>0</v>
      </c>
      <c r="K353" s="10"/>
      <c r="L353" s="10"/>
    </row>
    <row r="354" ht="13.35" customHeight="true"/>
    <row r="355" ht="12.1" customHeight="true" customFormat="true" s="5">
      <c r="A355" s="8" t="s">
        <v>197</v>
      </c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</row>
    <row r="356" ht="10.95" customHeight="true" customFormat="true" s="9">
      <c r="A356" s="10" t="s">
        <v>16</v>
      </c>
      <c r="B356" s="10"/>
      <c r="C356" s="10"/>
      <c r="D356" s="10"/>
      <c r="E356" s="10"/>
      <c r="F356" s="10"/>
      <c r="G356" s="11">
        <v>0</v>
      </c>
      <c r="H356" s="11">
        <v>0</v>
      </c>
      <c r="I356" s="11">
        <f ca="1">(G356 - H356)</f>
        <v>0</v>
      </c>
      <c r="J356" s="11">
        <v>0</v>
      </c>
      <c r="K356" s="10"/>
      <c r="L356" s="10"/>
    </row>
    <row r="357" ht="10.95" customHeight="true" customFormat="true" s="9">
      <c r="A357" s="12">
        <v>45473</v>
      </c>
      <c r="B357" s="13" t="s">
        <v>198</v>
      </c>
      <c r="C357" s="13" t="s">
        <v>195</v>
      </c>
      <c r="D357" s="13" t="s">
        <v>19</v>
      </c>
      <c r="E357" s="13" t="s">
        <v>113</v>
      </c>
      <c r="F357" s="13" t="s">
        <v>48</v>
      </c>
      <c r="G357" s="14">
        <v>0</v>
      </c>
      <c r="H357" s="14">
        <v>10.0000</v>
      </c>
      <c r="I357" s="14">
        <f ca="1">((I356 + G357) - H357)</f>
        <v>0</v>
      </c>
      <c r="J357" s="14">
        <v>0</v>
      </c>
      <c r="K357" s="15">
        <v>0</v>
      </c>
      <c r="L357" s="13" t="s">
        <v>25</v>
      </c>
    </row>
    <row r="358" ht="10.95" customHeight="true" customFormat="true" s="9">
      <c r="A358" s="20" t="s">
        <v>199</v>
      </c>
      <c r="B358" s="20"/>
      <c r="C358" s="20"/>
      <c r="D358" s="20"/>
      <c r="E358" s="20"/>
      <c r="F358" s="20"/>
      <c r="G358" s="21">
        <f ca="1">G357</f>
        <v>0</v>
      </c>
      <c r="H358" s="21">
        <f ca="1">H357</f>
        <v>0</v>
      </c>
      <c r="I358" s="21">
        <f ca="1">I357</f>
        <v>0</v>
      </c>
      <c r="J358" s="21">
        <f ca="1">J357</f>
        <v>0</v>
      </c>
      <c r="K358" s="20"/>
      <c r="L358" s="20"/>
    </row>
    <row r="359" ht="10.95" customHeight="true" customFormat="true" s="9">
      <c r="A359" s="20" t="s">
        <v>27</v>
      </c>
      <c r="B359" s="20"/>
      <c r="C359" s="20"/>
      <c r="D359" s="20"/>
      <c r="E359" s="20"/>
      <c r="F359" s="20"/>
      <c r="G359" s="21">
        <v>0</v>
      </c>
      <c r="H359" s="21">
        <v>10.0000</v>
      </c>
      <c r="I359" s="21">
        <v>0</v>
      </c>
      <c r="J359" s="21">
        <v>0</v>
      </c>
      <c r="K359" s="20"/>
      <c r="L359" s="20"/>
    </row>
    <row r="360" ht="10.95" customHeight="true" customFormat="true" s="9">
      <c r="A360" s="10" t="s">
        <v>28</v>
      </c>
      <c r="B360" s="10"/>
      <c r="C360" s="10"/>
      <c r="D360" s="10"/>
      <c r="E360" s="10"/>
      <c r="F360" s="10"/>
      <c r="G360" s="11">
        <v>0</v>
      </c>
      <c r="H360" s="11">
        <v>10.0000</v>
      </c>
      <c r="I360" s="11">
        <f ca="1">I357</f>
        <v>0</v>
      </c>
      <c r="J360" s="11">
        <v>0</v>
      </c>
      <c r="K360" s="10"/>
      <c r="L360" s="10"/>
    </row>
    <row r="361" ht="13.35" customHeight="true"/>
    <row r="362" ht="10.95" customHeight="true" customFormat="true" s="9">
      <c r="A362" s="23" t="s">
        <v>200</v>
      </c>
      <c r="B362" s="23"/>
      <c r="C362" s="23"/>
      <c r="D362" s="23"/>
      <c r="E362" s="23"/>
      <c r="F362" s="23"/>
      <c r="G362" s="24">
        <f ca="1">SUM(G11,G18,G39,G46,G55,G62,G79,G87,G94,G126,G202,G209,G220,G228,G240,G261,G286,G294,G301,G309,G316,G324,G333,G344,G351,G358)</f>
        <v>0</v>
      </c>
      <c r="H362" s="24">
        <f ca="1">SUM(H11,H18,H39,H46,H55,H62,H79,H87,H94,H126,H202,H209,H220,H228,H240,H261,H286,H294,H301,H309,H316,H324,H333,H344,H351,H358)</f>
        <v>0</v>
      </c>
      <c r="I362" s="24">
        <f ca="1">(G362 - H362)</f>
        <v>0</v>
      </c>
      <c r="J362" s="24">
        <f ca="1">SUM(J11,J18,J39,J46,J55,J62,J79,J87,J94,J126,J202,J209,J220,J228,J240,J261,J286,J294,J301,J309,J316,J324,J333,J344,J351,J358)</f>
        <v>0</v>
      </c>
      <c r="K362" s="23"/>
      <c r="L362" s="23"/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