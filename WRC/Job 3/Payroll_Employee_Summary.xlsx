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I1291!\Downloads\"/>
    </mc:Choice>
  </mc:AlternateContent>
  <xr:revisionPtr revIDLastSave="0" documentId="13_ncr:1_{C35AD8C2-E1CA-4BAC-9426-1411A478471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ayroll Employee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18" i="1"/>
  <c r="F17" i="1"/>
  <c r="F16" i="1"/>
  <c r="F15" i="1"/>
  <c r="F14" i="1"/>
  <c r="F13" i="1"/>
  <c r="F12" i="1"/>
  <c r="F11" i="1"/>
  <c r="F10" i="1"/>
  <c r="F20" i="1" s="1"/>
  <c r="F9" i="1"/>
  <c r="F8" i="1"/>
  <c r="F7" i="1"/>
  <c r="F6" i="1"/>
  <c r="B20" i="1"/>
  <c r="G20" i="1"/>
  <c r="E20" i="1"/>
  <c r="D20" i="1"/>
  <c r="C20" i="1"/>
</calcChain>
</file>

<file path=xl/sharedStrings.xml><?xml version="1.0" encoding="utf-8"?>
<sst xmlns="http://schemas.openxmlformats.org/spreadsheetml/2006/main" count="25" uniqueCount="25">
  <si>
    <t>Payroll Employee Summary</t>
  </si>
  <si>
    <t>For the period 1 July 2024 to 30 June 2025</t>
  </si>
  <si>
    <t>Employee</t>
  </si>
  <si>
    <t>Earnings</t>
  </si>
  <si>
    <t>Deductions</t>
  </si>
  <si>
    <t>Tax</t>
  </si>
  <si>
    <t>Super</t>
  </si>
  <si>
    <t>Net Pay</t>
  </si>
  <si>
    <t>Reimb.</t>
  </si>
  <si>
    <t>Total</t>
  </si>
  <si>
    <t>Anytime Ashfield Trust</t>
  </si>
  <si>
    <t>Amelia Barber</t>
  </si>
  <si>
    <t>Chtuya Sharma</t>
  </si>
  <si>
    <t>Elizabeth Roberts</t>
  </si>
  <si>
    <t>GiaicciroD Deg citard i</t>
  </si>
  <si>
    <t>JACK PHILLIPS</t>
  </si>
  <si>
    <t>Kann Rtheithey</t>
  </si>
  <si>
    <t>Keira micila</t>
  </si>
  <si>
    <t>LilLah Hagman</t>
  </si>
  <si>
    <t>tllawal. Ziitte</t>
  </si>
  <si>
    <t>Michael Mathot</t>
  </si>
  <si>
    <t>Mitchell O'CRADV</t>
  </si>
  <si>
    <t>Richard Scuderi</t>
  </si>
  <si>
    <t>Thomas Tiu rple</t>
  </si>
  <si>
    <t>Zara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</si>
</sst>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7" x14ac:knownFonts="1">
    <font>
      <sz val="9"/>
      <color theme="1"/>
      <name val="Arial"/>
    </font>
    <font>
      <sz val="14"/>
      <color theme="1"/>
      <name val="Arial"/>
    </font>
    <font>
      <b/>
      <sz val="14"/>
      <color theme="1"/>
      <name val="Arial"/>
    </font>
    <font>
      <sz val="12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right" vertical="center"/>
    </xf>
    <xf numFmtId="0" fontId="6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right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showGridLines="0" tabSelected="1" zoomScaleNormal="100" workbookViewId="0">
      <selection activeCell="I9" sqref="I9"/>
    </sheetView>
  </sheetViews>
  <sheetFormatPr defaultRowHeight="12" x14ac:dyDescent="0.2"/>
  <cols>
    <col min="1" max="1" width="14.85546875" customWidth="1"/>
    <col min="2" max="2" width="11.140625" customWidth="1"/>
    <col min="3" max="3" width="13" customWidth="1"/>
    <col min="4" max="4" width="11.28515625" bestFit="1" customWidth="1"/>
    <col min="5" max="6" width="10.140625" customWidth="1"/>
    <col min="7" max="7" width="8.85546875" customWidth="1"/>
  </cols>
  <sheetData>
    <row r="1" spans="1:7" s="1" customFormat="1" ht="16.7" customHeight="1" x14ac:dyDescent="0.25">
      <c r="A1" s="2" t="s">
        <v>0</v>
      </c>
      <c r="B1" s="2"/>
      <c r="C1" s="2"/>
      <c r="D1" s="2"/>
      <c r="E1" s="2"/>
      <c r="F1" s="2"/>
      <c r="G1" s="2"/>
    </row>
    <row r="2" spans="1:7" s="3" customFormat="1" ht="14.45" customHeight="1" x14ac:dyDescent="0.2">
      <c r="A2" s="4" t="s">
        <v>10</v>
      </c>
      <c r="B2" s="4"/>
      <c r="C2" s="4"/>
      <c r="D2" s="4"/>
      <c r="E2" s="4"/>
      <c r="F2" s="4"/>
      <c r="G2" s="4"/>
    </row>
    <row r="3" spans="1:7" s="3" customFormat="1" ht="14.45" customHeight="1" x14ac:dyDescent="0.2">
      <c r="A3" s="4" t="s">
        <v>1</v>
      </c>
      <c r="B3" s="4"/>
      <c r="C3" s="4"/>
      <c r="D3" s="4"/>
      <c r="E3" s="4"/>
      <c r="F3" s="4"/>
      <c r="G3" s="4"/>
    </row>
    <row r="4" spans="1:7" ht="13.35" customHeight="1" x14ac:dyDescent="0.2"/>
    <row r="5" spans="1:7" s="5" customFormat="1" ht="12.2" customHeight="1" x14ac:dyDescent="0.2">
      <c r="A5" s="6" t="s">
        <v>2</v>
      </c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</row>
    <row r="6" spans="1:7" ht="10.9" customHeight="1" x14ac:dyDescent="0.2">
      <c r="A6" s="8" t="s">
        <v>11</v>
      </c>
      <c r="B6" s="9">
        <v>44209.22</v>
      </c>
      <c r="C6" s="9">
        <v>0</v>
      </c>
      <c r="D6" s="9">
        <v>9536</v>
      </c>
      <c r="E6" s="9">
        <v>5084.0600000000004</v>
      </c>
      <c r="F6" s="9">
        <f>+B6-D6</f>
        <v>34673.22</v>
      </c>
      <c r="G6" s="9">
        <v>0</v>
      </c>
    </row>
    <row r="7" spans="1:7" ht="10.9" customHeight="1" x14ac:dyDescent="0.2">
      <c r="A7" s="8" t="s">
        <v>12</v>
      </c>
      <c r="B7" s="9">
        <v>13584.06</v>
      </c>
      <c r="C7" s="9">
        <v>0</v>
      </c>
      <c r="D7" s="9">
        <v>914</v>
      </c>
      <c r="E7" s="9">
        <v>1562.16</v>
      </c>
      <c r="F7" s="9">
        <f>+B7-D7</f>
        <v>12670.06</v>
      </c>
      <c r="G7" s="9">
        <v>0</v>
      </c>
    </row>
    <row r="8" spans="1:7" ht="10.9" customHeight="1" x14ac:dyDescent="0.2">
      <c r="A8" s="8" t="s">
        <v>13</v>
      </c>
      <c r="B8" s="9">
        <v>710.32</v>
      </c>
      <c r="C8" s="9">
        <v>0</v>
      </c>
      <c r="D8" s="9">
        <v>115</v>
      </c>
      <c r="E8" s="9">
        <v>81.680000000000007</v>
      </c>
      <c r="F8" s="9">
        <f>+B8-D8</f>
        <v>595.32000000000005</v>
      </c>
      <c r="G8" s="9">
        <v>0</v>
      </c>
    </row>
    <row r="9" spans="1:7" ht="10.9" customHeight="1" x14ac:dyDescent="0.2">
      <c r="A9" s="8" t="s">
        <v>14</v>
      </c>
      <c r="B9" s="9">
        <v>47910.67</v>
      </c>
      <c r="C9" s="9">
        <v>0</v>
      </c>
      <c r="D9" s="9">
        <v>6271</v>
      </c>
      <c r="E9" s="9">
        <v>5480.97</v>
      </c>
      <c r="F9" s="9">
        <f t="shared" ref="F9:F19" si="0">+B9-D9</f>
        <v>41639.67</v>
      </c>
      <c r="G9" s="9">
        <v>0</v>
      </c>
    </row>
    <row r="10" spans="1:7" ht="10.9" customHeight="1" x14ac:dyDescent="0.2">
      <c r="A10" s="8" t="s">
        <v>15</v>
      </c>
      <c r="B10" s="9">
        <v>10086.91</v>
      </c>
      <c r="C10" s="9">
        <v>0</v>
      </c>
      <c r="D10" s="9">
        <v>2119</v>
      </c>
      <c r="E10" s="9">
        <v>1126.5</v>
      </c>
      <c r="F10" s="9">
        <f t="shared" si="0"/>
        <v>7967.91</v>
      </c>
      <c r="G10" s="9">
        <v>0</v>
      </c>
    </row>
    <row r="11" spans="1:7" ht="10.9" customHeight="1" x14ac:dyDescent="0.2">
      <c r="A11" s="8" t="s">
        <v>16</v>
      </c>
      <c r="B11" s="9">
        <v>33965.15</v>
      </c>
      <c r="C11" s="9">
        <v>0</v>
      </c>
      <c r="D11" s="9">
        <v>4693</v>
      </c>
      <c r="E11" s="9">
        <v>3433.05</v>
      </c>
      <c r="F11" s="9">
        <f t="shared" si="0"/>
        <v>29272.15</v>
      </c>
      <c r="G11" s="9">
        <v>0</v>
      </c>
    </row>
    <row r="12" spans="1:7" ht="10.9" customHeight="1" x14ac:dyDescent="0.2">
      <c r="A12" s="8" t="s">
        <v>17</v>
      </c>
      <c r="B12" s="9">
        <v>953.21</v>
      </c>
      <c r="C12" s="9">
        <v>0</v>
      </c>
      <c r="D12" s="9">
        <v>0</v>
      </c>
      <c r="E12" s="9">
        <v>109.62</v>
      </c>
      <c r="F12" s="9">
        <f t="shared" si="0"/>
        <v>953.21</v>
      </c>
      <c r="G12" s="9">
        <v>0</v>
      </c>
    </row>
    <row r="13" spans="1:7" ht="10.9" customHeight="1" x14ac:dyDescent="0.2">
      <c r="A13" s="8" t="s">
        <v>18</v>
      </c>
      <c r="B13" s="9">
        <v>1725.81</v>
      </c>
      <c r="C13" s="9">
        <v>0</v>
      </c>
      <c r="D13" s="9">
        <v>0</v>
      </c>
      <c r="E13" s="9">
        <v>198.46</v>
      </c>
      <c r="F13" s="9">
        <f t="shared" si="0"/>
        <v>1725.81</v>
      </c>
      <c r="G13" s="9">
        <v>0</v>
      </c>
    </row>
    <row r="14" spans="1:7" ht="10.9" customHeight="1" x14ac:dyDescent="0.2">
      <c r="A14" s="8" t="s">
        <v>19</v>
      </c>
      <c r="B14" s="9">
        <v>4854.38</v>
      </c>
      <c r="C14" s="9">
        <v>0</v>
      </c>
      <c r="D14" s="9">
        <v>91</v>
      </c>
      <c r="E14" s="9">
        <v>558.25</v>
      </c>
      <c r="F14" s="9">
        <f t="shared" si="0"/>
        <v>4763.38</v>
      </c>
      <c r="G14" s="9">
        <v>0</v>
      </c>
    </row>
    <row r="15" spans="1:7" ht="10.9" customHeight="1" x14ac:dyDescent="0.2">
      <c r="A15" s="8" t="s">
        <v>20</v>
      </c>
      <c r="B15" s="9">
        <v>7816.24</v>
      </c>
      <c r="C15" s="9">
        <v>0</v>
      </c>
      <c r="D15" s="9">
        <v>33</v>
      </c>
      <c r="E15" s="9">
        <v>898.84</v>
      </c>
      <c r="F15" s="9">
        <f t="shared" si="0"/>
        <v>7783.24</v>
      </c>
      <c r="G15" s="9">
        <v>0</v>
      </c>
    </row>
    <row r="16" spans="1:7" ht="10.9" customHeight="1" x14ac:dyDescent="0.2">
      <c r="A16" s="8" t="s">
        <v>21</v>
      </c>
      <c r="B16" s="9">
        <v>4976.87</v>
      </c>
      <c r="C16" s="9">
        <v>0</v>
      </c>
      <c r="D16" s="9">
        <v>442</v>
      </c>
      <c r="E16" s="9">
        <v>534.19000000000005</v>
      </c>
      <c r="F16" s="9">
        <f t="shared" si="0"/>
        <v>4534.87</v>
      </c>
      <c r="G16" s="9">
        <v>0</v>
      </c>
    </row>
    <row r="17" spans="1:7" ht="10.9" customHeight="1" x14ac:dyDescent="0.2">
      <c r="A17" s="8" t="s">
        <v>22</v>
      </c>
      <c r="B17" s="9">
        <v>29511.46</v>
      </c>
      <c r="C17" s="9">
        <v>0</v>
      </c>
      <c r="D17" s="9">
        <v>7169</v>
      </c>
      <c r="E17" s="9">
        <v>3136.73</v>
      </c>
      <c r="F17" s="9">
        <f t="shared" si="0"/>
        <v>22342.46</v>
      </c>
      <c r="G17" s="9">
        <v>0</v>
      </c>
    </row>
    <row r="18" spans="1:7" ht="10.9" customHeight="1" x14ac:dyDescent="0.2">
      <c r="A18" s="8" t="s">
        <v>23</v>
      </c>
      <c r="B18" s="9">
        <v>15164.47</v>
      </c>
      <c r="C18" s="9">
        <v>0</v>
      </c>
      <c r="D18" s="9">
        <v>2108</v>
      </c>
      <c r="E18" s="9">
        <v>1743.91</v>
      </c>
      <c r="F18" s="9">
        <f t="shared" si="0"/>
        <v>13056.47</v>
      </c>
      <c r="G18" s="9">
        <v>0</v>
      </c>
    </row>
    <row r="19" spans="1:7" ht="10.9" customHeight="1" x14ac:dyDescent="0.2">
      <c r="A19" s="8" t="s">
        <v>24</v>
      </c>
      <c r="B19" s="9">
        <v>146.65</v>
      </c>
      <c r="C19" s="9">
        <v>0</v>
      </c>
      <c r="D19" s="9">
        <v>24</v>
      </c>
      <c r="E19" s="9">
        <v>16.86</v>
      </c>
      <c r="F19" s="9">
        <f t="shared" si="0"/>
        <v>122.65</v>
      </c>
      <c r="G19" s="9">
        <v>0</v>
      </c>
    </row>
    <row r="20" spans="1:7" ht="10.9" customHeight="1" x14ac:dyDescent="0.2">
      <c r="A20" s="10" t="s">
        <v>9</v>
      </c>
      <c r="B20" s="11">
        <f>SUM(B6:B19)</f>
        <v>215615.41999999995</v>
      </c>
      <c r="C20" s="11">
        <f t="shared" ref="C20:G20" si="1">SUM(C6:C19)</f>
        <v>0</v>
      </c>
      <c r="D20" s="11">
        <f t="shared" si="1"/>
        <v>33515</v>
      </c>
      <c r="E20" s="11">
        <f t="shared" si="1"/>
        <v>23965.279999999999</v>
      </c>
      <c r="F20" s="11">
        <f t="shared" si="1"/>
        <v>182100.41999999995</v>
      </c>
      <c r="G20" s="11">
        <f t="shared" si="1"/>
        <v>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Employee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Team Blue OS</cp:lastModifiedBy>
  <dcterms:modified xsi:type="dcterms:W3CDTF">2025-09-30T10:26:50Z</dcterms:modified>
</cp:coreProperties>
</file>