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<sst xmlns="http://schemas.openxmlformats.org/spreadsheetml/2006/main" count="647" uniqueCount="647">
  <si>
    <t>General Ledger Detail</t>
  </si>
  <si>
    <t>Label Baguette Pty Ltd</t>
  </si>
  <si>
    <t>For the period 1 July 2023 to 30 June 2024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</si>
  <si>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</si>
  <si>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</si>
  <si>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</si>
  <si>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</si>
  <si>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</si>
  <si>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</si>
  <si>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</si>
  <si>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</si>
  <si>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</si>
  <si>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</si>
  <si>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</si>
  <si>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</si>
  <si>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200 - General Sales</t>
  </si>
  <si>
    <t>Opening Balance</t>
  </si>
  <si>
    <t>200</t>
  </si>
  <si>
    <t>Revenue</t>
  </si>
  <si>
    <t>Receive Money</t>
  </si>
  <si>
    <t>Smartpay - Smart Pay</t>
  </si>
  <si>
    <t>GST on Income</t>
  </si>
  <si>
    <t>Spend Money</t>
  </si>
  <si>
    <t>Ernesto - TRANSFER PART OF SALE TO ERNESTO</t>
  </si>
  <si>
    <t>Label Baguette</t>
  </si>
  <si>
    <t>Manual Journal</t>
  </si>
  <si>
    <t>Altus: To record Sept 23 quarter end adjustment - To reconcile sale with client sheet</t>
  </si>
  <si>
    <t>#7782</t>
  </si>
  <si>
    <t>BAS Excluded</t>
  </si>
  <si>
    <t>Altus: To record Sept 23 quarter end adjustment - To Reversed GST on Sale (GST Free)</t>
  </si>
  <si>
    <t>Ernesto - Transfert Part of Sale in advance to Ernesto</t>
  </si>
  <si>
    <t>Altus: To record Dec 23 quarter end adjustment - Altus 01: To reverse GST on GST free sales</t>
  </si>
  <si>
    <t>#8083</t>
  </si>
  <si>
    <t>Altus: To record Dec 23 quarter end adjustment - Altus 02: To reverse GST on GST free sales</t>
  </si>
  <si>
    <t>Ernesto</t>
  </si>
  <si>
    <t>Ernesto - left over sale for WE 25 Feb. 24</t>
  </si>
  <si>
    <t>Ernesto - left over sale for WE 03 Mar. 24</t>
  </si>
  <si>
    <t>Ernesto - left over sales for WE 18 Mar 24</t>
  </si>
  <si>
    <t>Altus: To record March 2024 quarter end adjustment - Altus 05 : To Reversed GST on Sale (GST Free)</t>
  </si>
  <si>
    <t>#8531</t>
  </si>
  <si>
    <t>Altus: To record March 2024 quarter end adjustment - Altus 06 : To reconcile sale with client sheet</t>
  </si>
  <si>
    <t>Ernesto - left over sale for WE 07 Apr 24</t>
  </si>
  <si>
    <t>Ernesto - left over sale of Nesto at the end of the week</t>
  </si>
  <si>
    <t>Ernesto - left over sale for WE 05 May 24</t>
  </si>
  <si>
    <t>Ernesto - left over sales to Ernesto</t>
  </si>
  <si>
    <t>Lycee Condorcet</t>
  </si>
  <si>
    <t>Altus: To record June 2024 quarter end adjustment - Altus 02 : To Reversed GST on Sale (GST Free)</t>
  </si>
  <si>
    <t>#8857</t>
  </si>
  <si>
    <t>Altus: To record June 2024 quarter end adjustment - Altus 03 : To reconcile sale with client sheet</t>
  </si>
  <si>
    <t>Altus : 2024 YE adjusting journal. - Altus 05 : To clear Trade Debtors Clearing Account through General Sales.</t>
  </si>
  <si>
    <t>#9767</t>
  </si>
  <si>
    <t>Altus : 2024 YE adjusting journal. - Altus 17: To reallocate Ernesto Rent from General Sales account</t>
  </si>
  <si>
    <t>Total 200 - General Sales</t>
  </si>
  <si>
    <t>Net movement</t>
  </si>
  <si>
    <t>Closing Balance</t>
  </si>
  <si>
    <t>260 - Other Income</t>
  </si>
  <si>
    <t>260</t>
  </si>
  <si>
    <t>Altus : 2024 YE adjusting journal. - Altus 17: To reallocate Ernesto Rental income from General Sales account</t>
  </si>
  <si>
    <t>Total 260 - Other Income</t>
  </si>
  <si>
    <t>270 - Interest Income - Div 7A</t>
  </si>
  <si>
    <t>270</t>
  </si>
  <si>
    <t>Altus : 2024 YE adjusting journal. - Altus 09 : To record Div. 7a dividend and interest.</t>
  </si>
  <si>
    <t>Total 270 - Interest Income - Div 7A</t>
  </si>
  <si>
    <t>271 - Interest Received</t>
  </si>
  <si>
    <t>271</t>
  </si>
  <si>
    <t>Other Income</t>
  </si>
  <si>
    <t>ATO</t>
  </si>
  <si>
    <t>Total 271 - Interest Received</t>
  </si>
  <si>
    <t>312 - Opening Stock</t>
  </si>
  <si>
    <t>312</t>
  </si>
  <si>
    <t>Direct Costs</t>
  </si>
  <si>
    <t>Altus : 2024 YE adjusting journal. - Altus 02 : To reconcile opening stock balance.</t>
  </si>
  <si>
    <t>Total 312 - Opening Stock</t>
  </si>
  <si>
    <t>314 - Closing Stock</t>
  </si>
  <si>
    <t>314</t>
  </si>
  <si>
    <t>Altus : 2024 YE adjusting journal. - Altus 12 : To record closing stock</t>
  </si>
  <si>
    <t>Total 314 - Closing Stock</t>
  </si>
  <si>
    <t>316 - Purchases</t>
  </si>
  <si>
    <t>316</t>
  </si>
  <si>
    <t>Eustralis Food &amp; Wine - Purchase of frozen croissants</t>
  </si>
  <si>
    <t>GST on Expenses</t>
  </si>
  <si>
    <t>Manildra Flour Mills - Flour - Salt - RyeFlour</t>
  </si>
  <si>
    <t>GST Free Expenses</t>
  </si>
  <si>
    <t>Southern Cross Supplies - 25kg butter - 10kg x dry yeast - 2kg sunflower - 2kg pepitas</t>
  </si>
  <si>
    <t>Fresh Point Market - 15 boxes of eggs</t>
  </si>
  <si>
    <t>Apromo Trading - 4 x 10kg sugar pearl - 15kg improver</t>
  </si>
  <si>
    <t>Coles Maroubra - canola oil in spray</t>
  </si>
  <si>
    <t>Fresh Point Market - Mayonaise for test</t>
  </si>
  <si>
    <t>Southern Cross Supplies - 25kg butter - Almond meal - Almond Flakes</t>
  </si>
  <si>
    <t>Apromo Trading - 5 x 10kg sugar pearl - 15kg improver</t>
  </si>
  <si>
    <t>Lombard The Paper People Pty Ltd - PACKAGING</t>
  </si>
  <si>
    <t>Southern Cross Supplies - butter + Yeast</t>
  </si>
  <si>
    <t>Coles Maroubra - Toilet paper</t>
  </si>
  <si>
    <t>Coles Maroubra - canola oil in spray - dish washing liquid</t>
  </si>
  <si>
    <t>Southern Cross Supplies - 25kg butter - 10kg Almond meal</t>
  </si>
  <si>
    <t>Pepe Saya - butter for test of sandwishes</t>
  </si>
  <si>
    <t>AFIS - 25 L Vanilla Essence</t>
  </si>
  <si>
    <t>Apromo Trading - 5 sugar pearl C45 - improver - inverted sugar - C30 Pearl Sugar</t>
  </si>
  <si>
    <t>Lombard The Paper People Pty Ltd - PACKAGING (invoice not paid in August)</t>
  </si>
  <si>
    <t>Southern Cross Supplies - 2 x 25kg butter - almond essence</t>
  </si>
  <si>
    <t xml:space="preserve">Coles Maroubra - canola oil in spray </t>
  </si>
  <si>
    <t>Fresh Point Market - 15 Boxes Eggs - grains (pepitas - pine nuts)</t>
  </si>
  <si>
    <t xml:space="preserve">Lombard The Paper People Pty Ltd - PACKAGING </t>
  </si>
  <si>
    <t>Fresh Point Market - 1 box of egg</t>
  </si>
  <si>
    <t>Southern Cross Supplies - butter + yeast + sunflower + pumkin kernel</t>
  </si>
  <si>
    <t xml:space="preserve">Apromo Trading - 5 sugar pearl C45 </t>
  </si>
  <si>
    <t>Coles Maroubra - vegetable - pepsi for Christmas party</t>
  </si>
  <si>
    <t>Southern Cross Supplies - 25kg butter - 10kg Almond flaque  x 2</t>
  </si>
  <si>
    <t>Frutex - 6 x 12kg Bas Light</t>
  </si>
  <si>
    <t>Manildra Flour Mills - flour</t>
  </si>
  <si>
    <t>Coles Maroubra - 4 can of spray olive oil</t>
  </si>
  <si>
    <t>the hop and Grain - refill of CO2 Gas bottle</t>
  </si>
  <si>
    <t>Coles Maroubra - 7 can of canola oil</t>
  </si>
  <si>
    <t>Altus: To record Dec 23 quarter end adjustment - Altus 03: To record Dec 2023 Quarter Expenses Reimbursements</t>
  </si>
  <si>
    <t>Lombard The Paper People Pty Ltd - Baguette packaging</t>
  </si>
  <si>
    <t>Eustralis Food &amp; Wine - frozen croissant</t>
  </si>
  <si>
    <t>Apromo Trading - pearl sugar for waffle</t>
  </si>
  <si>
    <t>Coles Maroubra - 3 can canola oil</t>
  </si>
  <si>
    <t>Lombard The Paper People Pty Ltd - packaging baguette bags</t>
  </si>
  <si>
    <t>Fresh Point Market - 15 box eggs</t>
  </si>
  <si>
    <t>JB Supplies - Sanitizer food grade</t>
  </si>
  <si>
    <t>Smartpay - printer roll for the EFPOS machine</t>
  </si>
  <si>
    <t>Eustralis Food &amp; Wine - frozen pastries</t>
  </si>
  <si>
    <t>Altus: To record March 2024 quarter end adjustment - Altus 01 : To record Dec 2023 Quarter Expenses Reimbursements</t>
  </si>
  <si>
    <t>Stephane Motte (Reimbursement) - Reumbursement Jan, Feb , March to SM</t>
  </si>
  <si>
    <t>Eustralis Food &amp; Wine - Frozen Croissant</t>
  </si>
  <si>
    <t>Fresh Point Market - 15 Boxes Eggs</t>
  </si>
  <si>
    <t>Apromo Trading - improver - pearl sugar</t>
  </si>
  <si>
    <t>Coles Maroubra - 10 Spray Cans of Canola oil + soap refill</t>
  </si>
  <si>
    <t>Southern Cross Supplies - Purchase of frozen croissants</t>
  </si>
  <si>
    <t>Fresh Point Market - 30 douzaine of egg = 2 boxes</t>
  </si>
  <si>
    <t>Stephane Motte (Reimbursement) - reumbursement of SM expences</t>
  </si>
  <si>
    <t>Fresh Point Market - 15 Boxes Eggs x 2</t>
  </si>
  <si>
    <t>Total 316 - Purchases</t>
  </si>
  <si>
    <t>400 - Advertising</t>
  </si>
  <si>
    <t>400</t>
  </si>
  <si>
    <t>Expense</t>
  </si>
  <si>
    <t>Pickles Auction - Purchase of engine for ProJet advertising on truck</t>
  </si>
  <si>
    <t>Altus: To record June 2024 quarter end adjustment - Altus 01 : To record Jun 2024 Quarter Expenses Reimbursements</t>
  </si>
  <si>
    <t>Total 400 - Advertising</t>
  </si>
  <si>
    <t>401 - Accountancy Fees</t>
  </si>
  <si>
    <t>401</t>
  </si>
  <si>
    <t>Altus Financial Corporate Advisory Pty Ltd - quarterly invoice for accounting</t>
  </si>
  <si>
    <t>Altus: To record Sept 23 quarter end adjustment - To Reversed last quarter fees and record current</t>
  </si>
  <si>
    <t>Altus: To record Sept 23 quarter end adjustment - To Record current quarter altus fees</t>
  </si>
  <si>
    <t>Altus Financial Corporate Advisory Pty Ltd - Quaterly invoice with 24% increase</t>
  </si>
  <si>
    <t>Altus: To record Dec 23 quarter end adjustment - Altus 04: To reverse Sep 2023 Quarter Altus fees</t>
  </si>
  <si>
    <t>Altus: To record Dec 23 quarter end adjustment - Altus 05: To record accrual expenses</t>
  </si>
  <si>
    <t>Altus : 2024 YE adjusting journal. - Altus 03 : To record June 2024 quarter altus fees through other creditors.</t>
  </si>
  <si>
    <t>Total 401 - Accountancy Fees</t>
  </si>
  <si>
    <t>403 - Bank Charges</t>
  </si>
  <si>
    <t>403</t>
  </si>
  <si>
    <t>NAB - ACCOUNT FEES A.K.F. LABEL BAG</t>
  </si>
  <si>
    <t>NAB - Bank charges for the cabinet payement</t>
  </si>
  <si>
    <t>Total 403 - Bank Charges</t>
  </si>
  <si>
    <t>408 - Cleaning</t>
  </si>
  <si>
    <t>408</t>
  </si>
  <si>
    <t>Coles Maroubra - toillet paper</t>
  </si>
  <si>
    <t>Endeavour Liquid Waste - Cleaning and pumping grease trap</t>
  </si>
  <si>
    <t>Global Pest Maintenance - pest control inspection</t>
  </si>
  <si>
    <t>Global Pest Maintenance - 6 month pest control</t>
  </si>
  <si>
    <t>Coles Maroubra - dishwashing - toilet paper</t>
  </si>
  <si>
    <t xml:space="preserve">Global Pest Maintenance - pest control </t>
  </si>
  <si>
    <t>Endeavour Liquid Waste - Cleaning the grease trap</t>
  </si>
  <si>
    <t>Coles Maroubra - 6 Spray Cans of Canola oil + soap refill</t>
  </si>
  <si>
    <t xml:space="preserve">Aldi Maroubra - Hand soap - drain cleaner - cargo short - </t>
  </si>
  <si>
    <t>Coles Maroubra - 5 Spray Cans of Canola oil + soap refill +toilet paper + dish washing liquid</t>
  </si>
  <si>
    <t>Coles Maroubra - hand wash paper</t>
  </si>
  <si>
    <t xml:space="preserve">Coles Maroubra - toilet paper </t>
  </si>
  <si>
    <t>Total 408 - Cleaning</t>
  </si>
  <si>
    <t>416 - Depreciation</t>
  </si>
  <si>
    <t>416</t>
  </si>
  <si>
    <t>Depreciation of 73001 on 31 Jul 2023.</t>
  </si>
  <si>
    <t>Depreciation of 73038 on 31 Jul 2023.</t>
  </si>
  <si>
    <t>Depreciation of 73039 on 31 Jul 2023.</t>
  </si>
  <si>
    <t>Depreciation of 73044 on 31 Jul 2023.</t>
  </si>
  <si>
    <t>Depreciation of 73054 on 31 Jul 2023.</t>
  </si>
  <si>
    <t>Depreciation of 73055 on 31 Jul 2023.</t>
  </si>
  <si>
    <t>Depreciation of 73001 on 31 Aug 2023.</t>
  </si>
  <si>
    <t>Depreciation of 73038 on 31 Aug 2023.</t>
  </si>
  <si>
    <t>Depreciation of 73039 on 31 Aug 2023.</t>
  </si>
  <si>
    <t>Depreciation of 73044 on 31 Aug 2023.</t>
  </si>
  <si>
    <t>Depreciation of 73054 on 31 Aug 2023.</t>
  </si>
  <si>
    <t>Depreciation of 73055 on 31 Aug 2023.</t>
  </si>
  <si>
    <t>Depreciation of 73001 on 30 Sep 2023.</t>
  </si>
  <si>
    <t>Depreciation of 73038 on 30 Sep 2023.</t>
  </si>
  <si>
    <t>Depreciation of 73039 on 30 Sep 2023.</t>
  </si>
  <si>
    <t>Depreciation of 73044 on 30 Sep 2023.</t>
  </si>
  <si>
    <t>Depreciation of 73054 on 30 Sep 2023.</t>
  </si>
  <si>
    <t>Depreciation of 73055 on 30 Sep 2023.</t>
  </si>
  <si>
    <t>Depreciation of 73001 on 31 Oct 2023.</t>
  </si>
  <si>
    <t>Depreciation of 73038 on 31 Oct 2023.</t>
  </si>
  <si>
    <t>Depreciation of 73039 on 31 Oct 2023.</t>
  </si>
  <si>
    <t>Depreciation of 73044 on 31 Oct 2023.</t>
  </si>
  <si>
    <t>Depreciation of 73054 on 31 Oct 2023.</t>
  </si>
  <si>
    <t>Depreciation of 73055 on 31 Oct 2023.</t>
  </si>
  <si>
    <t>Depreciation of 73001 on 30 Nov 2023.</t>
  </si>
  <si>
    <t>Depreciation of 73038 on 30 Nov 2023.</t>
  </si>
  <si>
    <t>Depreciation of 73039 on 30 Nov 2023.</t>
  </si>
  <si>
    <t>Depreciation of 73044 on 30 Nov 2023.</t>
  </si>
  <si>
    <t>Depreciation of 73054 on 30 Nov 2023.</t>
  </si>
  <si>
    <t>Depreciation of 73055 on 30 Nov 2023.</t>
  </si>
  <si>
    <t>Depreciation of 73001 on 31 Dec 2023.</t>
  </si>
  <si>
    <t>Depreciation of 73038 on 31 Dec 2023.</t>
  </si>
  <si>
    <t>Depreciation of 73039 on 31 Dec 2023.</t>
  </si>
  <si>
    <t>Depreciation of 73044 on 31 Dec 2023.</t>
  </si>
  <si>
    <t>Depreciation of 73054 on 31 Dec 2023.</t>
  </si>
  <si>
    <t>Depreciation of 73055 on 31 Dec 2023.</t>
  </si>
  <si>
    <t>Depreciation of 73001 on 31 Jan 2024.</t>
  </si>
  <si>
    <t>Depreciation of 73038 on 31 Jan 2024.</t>
  </si>
  <si>
    <t>Depreciation of 73039 on 31 Jan 2024.</t>
  </si>
  <si>
    <t>Depreciation of 73044 on 31 Jan 2024.</t>
  </si>
  <si>
    <t>Depreciation of 73054 on 31 Jan 2024.</t>
  </si>
  <si>
    <t>Depreciation of 73055 on 31 Jan 2024.</t>
  </si>
  <si>
    <t>Depreciation of FA-0047 on 31 Jan 2024.</t>
  </si>
  <si>
    <t>Depreciation of FA-0048 on 31 Jan 2024.</t>
  </si>
  <si>
    <t>Depreciation of 73001 on 29 Feb 2024.</t>
  </si>
  <si>
    <t>Depreciation of 73038 on 29 Feb 2024.</t>
  </si>
  <si>
    <t>Depreciation of 73039 on 29 Feb 2024.</t>
  </si>
  <si>
    <t>Depreciation of 73044 on 29 Feb 2024.</t>
  </si>
  <si>
    <t>Depreciation of 73054 on 29 Feb 2024.</t>
  </si>
  <si>
    <t>Depreciation of 73055 on 29 Feb 2024.</t>
  </si>
  <si>
    <t>Depreciation of FA-0047 on 29 Feb 2024.</t>
  </si>
  <si>
    <t>Depreciation of FA-0048 on 29 Feb 2024.</t>
  </si>
  <si>
    <t>Depreciation of 73001 on 31 Mar 2024.</t>
  </si>
  <si>
    <t>Depreciation of 73038 on 31 Mar 2024.</t>
  </si>
  <si>
    <t>Depreciation of 73039 on 31 Mar 2024.</t>
  </si>
  <si>
    <t>Depreciation of 73044 on 31 Mar 2024.</t>
  </si>
  <si>
    <t>Depreciation of 73054 on 31 Mar 2024.</t>
  </si>
  <si>
    <t>Depreciation of 73055 on 31 Mar 2024.</t>
  </si>
  <si>
    <t>Depreciation of FA-0047 on 31 Mar 2024.</t>
  </si>
  <si>
    <t>Depreciation of FA-0048 on 31 Mar 2024.</t>
  </si>
  <si>
    <t>Depreciation of 73001 on 30 Apr 2024.</t>
  </si>
  <si>
    <t>Depreciation of 73038 on 30 Apr 2024.</t>
  </si>
  <si>
    <t>Depreciation of 73039 on 30 Apr 2024.</t>
  </si>
  <si>
    <t>Depreciation of 73044 on 30 Apr 2024.</t>
  </si>
  <si>
    <t>Depreciation of 73054 on 30 Apr 2024.</t>
  </si>
  <si>
    <t>Depreciation of 73055 on 30 Apr 2024.</t>
  </si>
  <si>
    <t>Depreciation of FA-0047 on 30 Apr 2024.</t>
  </si>
  <si>
    <t>Depreciation of FA-0048 on 30 Apr 2024.</t>
  </si>
  <si>
    <t>Depreciation of 73001 on 31 May 2024.</t>
  </si>
  <si>
    <t>Depreciation of 73038 on 31 May 2024.</t>
  </si>
  <si>
    <t>Depreciation of 73039 on 31 May 2024.</t>
  </si>
  <si>
    <t>Depreciation of 73044 on 31 May 2024.</t>
  </si>
  <si>
    <t>Depreciation of 73054 on 31 May 2024.</t>
  </si>
  <si>
    <t>Depreciation of 73055 on 31 May 2024.</t>
  </si>
  <si>
    <t>Depreciation of FA-0047 on 31 May 2024.</t>
  </si>
  <si>
    <t>Depreciation of FA-0048 on 31 May 2024.</t>
  </si>
  <si>
    <t>Depreciation of 73001 on 30 Jun 2024.</t>
  </si>
  <si>
    <t>Depreciation of 73038 on 30 Jun 2024.</t>
  </si>
  <si>
    <t>Depreciation of 73039 on 30 Jun 2024.</t>
  </si>
  <si>
    <t>Depreciation of 73044 on 30 Jun 2024.</t>
  </si>
  <si>
    <t>Depreciation of 73054 on 30 Jun 2024.</t>
  </si>
  <si>
    <t>Depreciation of 73055 on 30 Jun 2024.</t>
  </si>
  <si>
    <t>Depreciation of FA-0047 on 30 Jun 2024.</t>
  </si>
  <si>
    <t>Depreciation of FA-0048 on 30 Jun 2024.</t>
  </si>
  <si>
    <t>Total 416 - Depreciation</t>
  </si>
  <si>
    <t>420 - Entertainment</t>
  </si>
  <si>
    <t>420</t>
  </si>
  <si>
    <t>Victoria Basement Alexandria - Gift for all the staff for the end of the year</t>
  </si>
  <si>
    <t>Altus : 2024 YE adjusting journal. - Altus 06 : To reverse GST on Entertainment expenses.</t>
  </si>
  <si>
    <t>Total 420 - Entertainment</t>
  </si>
  <si>
    <t>422 - Filing Fees</t>
  </si>
  <si>
    <t>422</t>
  </si>
  <si>
    <t>ASIC - INTERNET BPAY ASIC 2296083603094</t>
  </si>
  <si>
    <t>Total 422 - Filing Fees</t>
  </si>
  <si>
    <t>429 - General Expenses</t>
  </si>
  <si>
    <t>429</t>
  </si>
  <si>
    <t>All Seasons Migration - part of extension visa Leo</t>
  </si>
  <si>
    <t>All Seasons Migration - Leo Visa</t>
  </si>
  <si>
    <t>Total 429 - General Expenses</t>
  </si>
  <si>
    <t>430 - IT Expenses</t>
  </si>
  <si>
    <t>430</t>
  </si>
  <si>
    <t>Altus: To record Sept 23 quarter end adjustment - To Record IT expenses</t>
  </si>
  <si>
    <t>Total 430 - IT Expenses</t>
  </si>
  <si>
    <t>431 - Inspection Fees</t>
  </si>
  <si>
    <t>431</t>
  </si>
  <si>
    <t xml:space="preserve">Fire Master Services - YEARLY INSPECTION </t>
  </si>
  <si>
    <t>Randwick City Council - Health inspection and Food licence fees</t>
  </si>
  <si>
    <t>Total 431 - Inspection Fees</t>
  </si>
  <si>
    <t>433 - Insurance</t>
  </si>
  <si>
    <t>433</t>
  </si>
  <si>
    <t>NRMA - Monthly insurance</t>
  </si>
  <si>
    <t>NRMA - monthly insurance</t>
  </si>
  <si>
    <t>NRMA - insurance monthly</t>
  </si>
  <si>
    <t>NRMA - monthly insurrance</t>
  </si>
  <si>
    <t>Total 433 - Insurance</t>
  </si>
  <si>
    <t>445 - Light, Power, Heating</t>
  </si>
  <si>
    <t>445</t>
  </si>
  <si>
    <t xml:space="preserve">Energy Australia - gas supply </t>
  </si>
  <si>
    <t>Origin Energy - electricity last 3 months</t>
  </si>
  <si>
    <t>Total 445 - Light, Power, Heating</t>
  </si>
  <si>
    <t>461 - Printing &amp; Stationery</t>
  </si>
  <si>
    <t>461</t>
  </si>
  <si>
    <t>OfficeWork - calendar - diary</t>
  </si>
  <si>
    <t>Total 461 - Printing &amp; Stationery</t>
  </si>
  <si>
    <t>469 - Rent</t>
  </si>
  <si>
    <t>469</t>
  </si>
  <si>
    <t>Ray White Kingsford</t>
  </si>
  <si>
    <t>Ray White Kingsford - Rent for March 24</t>
  </si>
  <si>
    <t>Ray White Kingsford - Rent for April 24</t>
  </si>
  <si>
    <t xml:space="preserve">Ray White Kingsford - water rate </t>
  </si>
  <si>
    <t>Altus : 2024 YE adjusting journal. - Altus 04 : To reallocate amount from rent to water rates.</t>
  </si>
  <si>
    <t>Total 469 - Rent</t>
  </si>
  <si>
    <t>473 - Repairs and Maintenance</t>
  </si>
  <si>
    <t>473</t>
  </si>
  <si>
    <t>Konect - bolts</t>
  </si>
  <si>
    <t>E &amp; S Electrical Wholesaler - contactor for the small oven</t>
  </si>
  <si>
    <t>Bunnings Eastgardens - new tap for Nesto sink</t>
  </si>
  <si>
    <t>Bunnings Eastgardens - metal paint - cut off wheel</t>
  </si>
  <si>
    <t>Reflex - 12 plastic bins for dough</t>
  </si>
  <si>
    <t>Jaycar Electronic - Fuses to repair the Metler Scale</t>
  </si>
  <si>
    <t>Nutamend HK - metal cabinet with drawers</t>
  </si>
  <si>
    <t>Bunnings Eastgardens - 1 mop head and paint for front door</t>
  </si>
  <si>
    <t>RVO - repair of deck oven</t>
  </si>
  <si>
    <t>Bunnings Eastgardens - electrical switch</t>
  </si>
  <si>
    <t>Bunnings Eastgardens - 3 ventilation grille</t>
  </si>
  <si>
    <t>Fire Master Services - Fire services inspection</t>
  </si>
  <si>
    <t>Aldi Maroubra - Magnetic Magnets</t>
  </si>
  <si>
    <t>Bunnings Eastgardens - spare keys of the shop</t>
  </si>
  <si>
    <t xml:space="preserve">Max Bargain Maroubra - 2 tongs </t>
  </si>
  <si>
    <t>Bunnings Eastgardens - paint roller , screw , liner for drawer</t>
  </si>
  <si>
    <t>Bunnings Eastgardens - brass fiting to repair leak in toilet</t>
  </si>
  <si>
    <t>Altus: To record March 2024 quarter end adjustment - Altus 02 : To record Dec 2023 Quarter Expenses Reimbursements</t>
  </si>
  <si>
    <t xml:space="preserve">Altus : 2024 YE adjusting journal. - Altus 14: To reallocated assets to cost base from R&amp;M  and capitalized </t>
  </si>
  <si>
    <t>Total 473 - Repairs and Maintenance</t>
  </si>
  <si>
    <t>475 - Uniform</t>
  </si>
  <si>
    <t>475</t>
  </si>
  <si>
    <t>Bunnings Eastgardens - safety shoes and gloves</t>
  </si>
  <si>
    <t>Altus: To record March 2024 quarter end adjustment - Altus 04 : To record Dec 2023 Quarter Expenses Reimbursements</t>
  </si>
  <si>
    <t>Total 475 - Uniform</t>
  </si>
  <si>
    <t>477 - Wages and Salaries</t>
  </si>
  <si>
    <t>477</t>
  </si>
  <si>
    <t>Payroll Expense</t>
  </si>
  <si>
    <t>Earnings</t>
  </si>
  <si>
    <t>Payroll Expense Journal - PD-200</t>
  </si>
  <si>
    <t>Payroll Expense Journal - PD-201</t>
  </si>
  <si>
    <t>Payroll Expense Journal - PD-202</t>
  </si>
  <si>
    <t>Payroll Expense Journal - PD-203</t>
  </si>
  <si>
    <t>Payroll Expense Journal - PD-204</t>
  </si>
  <si>
    <t>Payroll Expense Journal - PD-205</t>
  </si>
  <si>
    <t>Payroll Expense Journal - PD-206</t>
  </si>
  <si>
    <t>Payroll Expense Journal - PD-207</t>
  </si>
  <si>
    <t>Payroll Expense Journal - PD-208</t>
  </si>
  <si>
    <t>Payroll Expense Journal - PD-209</t>
  </si>
  <si>
    <t>Payroll Expense Journal - PD-210</t>
  </si>
  <si>
    <t>Payroll Expense Journal - PD-211</t>
  </si>
  <si>
    <t>Payroll Expense Journal - PD-212</t>
  </si>
  <si>
    <t>Payroll Expense Journal - PD-213</t>
  </si>
  <si>
    <t>Payroll Expense Journal - PD-214</t>
  </si>
  <si>
    <t>Payroll Expense Journal - PD-215</t>
  </si>
  <si>
    <t>Payroll Expense Journal - PD-216</t>
  </si>
  <si>
    <t>Payroll Expense Journal - PD-217</t>
  </si>
  <si>
    <t>Payroll Expense Journal - PD-218</t>
  </si>
  <si>
    <t>Payroll Expense Journal - PD-219</t>
  </si>
  <si>
    <t>Payroll Expense Journal - PD-220</t>
  </si>
  <si>
    <t>Payroll Expense Journal - PD-221</t>
  </si>
  <si>
    <t>Payroll Expense Journal - PD-222</t>
  </si>
  <si>
    <t>Payroll Expense Journal - PD-223</t>
  </si>
  <si>
    <t>Payroll Expense Journal - PD-224</t>
  </si>
  <si>
    <t>Payroll Expense Journal - PD-225</t>
  </si>
  <si>
    <t>Payroll Expense Journal - PD-226</t>
  </si>
  <si>
    <t>Payroll Expense Journal - PD-227</t>
  </si>
  <si>
    <t>Payroll Expense Journal - PD-228</t>
  </si>
  <si>
    <t>Payroll Expense Journal - PD-229</t>
  </si>
  <si>
    <t>Payroll Expense Journal - PD-230</t>
  </si>
  <si>
    <t>Payroll Expense Journal - PD-231</t>
  </si>
  <si>
    <t>Payroll Expense Journal - PD-232</t>
  </si>
  <si>
    <t>Payroll Expense Journal - PD-233</t>
  </si>
  <si>
    <t>Payroll Expense Journal - PD-234</t>
  </si>
  <si>
    <t>Payroll Expense Journal - PD-235</t>
  </si>
  <si>
    <t>Payroll Expense Journal - PD-236</t>
  </si>
  <si>
    <t>Payroll Expense Journal - PD-237</t>
  </si>
  <si>
    <t>Payroll Expense Journal - PD-238</t>
  </si>
  <si>
    <t>Payroll Expense Journal - PD-239</t>
  </si>
  <si>
    <t>Payroll Expense Journal - PD-240</t>
  </si>
  <si>
    <t>Payroll Expense Journal - PD-241</t>
  </si>
  <si>
    <t>Payroll Expense Journal - PD-242</t>
  </si>
  <si>
    <t>Payroll Expense Journal - PD-243</t>
  </si>
  <si>
    <t>Payroll Expense Journal - PD-244</t>
  </si>
  <si>
    <t>Payroll Expense Journal - PD-245</t>
  </si>
  <si>
    <t>Payroll Expense Journal - PD-246</t>
  </si>
  <si>
    <t>Payroll Expense Journal - PD-247</t>
  </si>
  <si>
    <t>Payroll Expense Journal - PD-248</t>
  </si>
  <si>
    <t>Payroll Expense Journal - PD-249</t>
  </si>
  <si>
    <t>Payroll Expense Journal - PD-250</t>
  </si>
  <si>
    <t>Payroll Expense Journal - PD-251</t>
  </si>
  <si>
    <t>Total 477 - Wages and Salaries</t>
  </si>
  <si>
    <t>478 - Superannuation</t>
  </si>
  <si>
    <t>478</t>
  </si>
  <si>
    <t>Superannuation Expense</t>
  </si>
  <si>
    <t>Total 478 - Superannuation</t>
  </si>
  <si>
    <t>483 - Dividend Paid</t>
  </si>
  <si>
    <t>483</t>
  </si>
  <si>
    <t>Equity</t>
  </si>
  <si>
    <t>Altus : To adjust opening balance</t>
  </si>
  <si>
    <t>#9411</t>
  </si>
  <si>
    <t>Total 483 - Dividend Paid</t>
  </si>
  <si>
    <t>489 - Telephone &amp; Internet</t>
  </si>
  <si>
    <t>489</t>
  </si>
  <si>
    <t>Optus - mobile phone invoice</t>
  </si>
  <si>
    <t>Altus: To record March 2024 quarter end adjustment - Altus 03 : To record Dec 2023 Quarter Expenses Reimbursements</t>
  </si>
  <si>
    <t>Total 489 - Telephone &amp; Internet</t>
  </si>
  <si>
    <t>500 - Water Rates</t>
  </si>
  <si>
    <t>500</t>
  </si>
  <si>
    <t>Total 500 - Water Rates</t>
  </si>
  <si>
    <t>505 - Income Tax Expense</t>
  </si>
  <si>
    <t>505</t>
  </si>
  <si>
    <t>Altus : 2024 YE adjusting journal. - Altus 10 : To record Income Tax expenses.</t>
  </si>
  <si>
    <t>Total 505 - Income Tax Expense</t>
  </si>
  <si>
    <t>525 - Workers Compensation</t>
  </si>
  <si>
    <t>525</t>
  </si>
  <si>
    <t>Icare Worker Insurance - INTERNET BPAY icare Workers Ins 115809901420</t>
  </si>
  <si>
    <t>Icare Worker Insurance - INTERNET BPAY adjustment year 20-21</t>
  </si>
  <si>
    <t>Total 525 - Workers Compensation</t>
  </si>
  <si>
    <t>611 - Trade Debtors Clearing Account</t>
  </si>
  <si>
    <t>611</t>
  </si>
  <si>
    <t>Current Asset</t>
  </si>
  <si>
    <t>Total 611 - Trade Debtors Clearing Account</t>
  </si>
  <si>
    <t>614 - Cash on Hand</t>
  </si>
  <si>
    <t>614</t>
  </si>
  <si>
    <t>No transactions within this period</t>
  </si>
  <si>
    <t>Total 614 - Cash on Hand</t>
  </si>
  <si>
    <t>618 - Cheque Account</t>
  </si>
  <si>
    <t>618</t>
  </si>
  <si>
    <t>Bank</t>
  </si>
  <si>
    <t>Wage</t>
  </si>
  <si>
    <t>INTERNET TRANSFER Wage 02 July</t>
  </si>
  <si>
    <t>Smartpay</t>
  </si>
  <si>
    <t>Altus Financial Corporate Advisory Pty Ltd</t>
  </si>
  <si>
    <t>Eustralis Food &amp; Wine</t>
  </si>
  <si>
    <t>Fresh Point Market</t>
  </si>
  <si>
    <t>INTERNET TRANSFER Wage 09 July</t>
  </si>
  <si>
    <t>Manildra Flour Mills</t>
  </si>
  <si>
    <t>Southern Cross Supplies</t>
  </si>
  <si>
    <t>Apromo Trading</t>
  </si>
  <si>
    <t>Optus</t>
  </si>
  <si>
    <t>INTERNET TRANSFER Wage 16 July</t>
  </si>
  <si>
    <t>Coles Maroubra</t>
  </si>
  <si>
    <t>Konect</t>
  </si>
  <si>
    <t>Endeavour Liquid Waste</t>
  </si>
  <si>
    <t>INTERNET TRANSFER Wage 23 July</t>
  </si>
  <si>
    <t>NRMA</t>
  </si>
  <si>
    <t>Icare Worker Insurance</t>
  </si>
  <si>
    <t>Loan to Macquarie Offset Account</t>
  </si>
  <si>
    <t>Stephane Motte (Reimbursement)</t>
  </si>
  <si>
    <t>INTERNET TRANSFER Wage 30 July</t>
  </si>
  <si>
    <t>NAB</t>
  </si>
  <si>
    <t>INTERNET TRANSFER Wage 06 Aug</t>
  </si>
  <si>
    <t>Energy Australia</t>
  </si>
  <si>
    <t>INTERNET TRANSFER Wage 13 Aug</t>
  </si>
  <si>
    <t>All Seasons Migration</t>
  </si>
  <si>
    <t>Global Pest Maintenance</t>
  </si>
  <si>
    <t>Fire Master Services</t>
  </si>
  <si>
    <t>INTERNET TRANSFER Wage 20 Aug</t>
  </si>
  <si>
    <t>INTERNET TRANSFER Wage 27 Aug</t>
  </si>
  <si>
    <t>INTERNET TRANSFER Wage 03 Sep</t>
  </si>
  <si>
    <t>INTERNET TRANSFER Wage 10 Sep</t>
  </si>
  <si>
    <t>Pickles Auction</t>
  </si>
  <si>
    <t>Lombard The Paper People Pty Ltd</t>
  </si>
  <si>
    <t>INTERNET TRANSFER Wage 17 Sep</t>
  </si>
  <si>
    <t>Origin Energy</t>
  </si>
  <si>
    <t>INTERNET TRANSFER Wage 24 Sep</t>
  </si>
  <si>
    <t>INTERNET TRANSFER Wage 24 July</t>
  </si>
  <si>
    <t>INTERNET TRANSFER Wage 01 Oct.</t>
  </si>
  <si>
    <t>ASIC</t>
  </si>
  <si>
    <t>Superannuation</t>
  </si>
  <si>
    <t>INTERNET TRANSFER Wage 08 Oct</t>
  </si>
  <si>
    <t>Pepe Saya</t>
  </si>
  <si>
    <t>AFIS</t>
  </si>
  <si>
    <t>Stephane MOTTE</t>
  </si>
  <si>
    <t>INTERNET TRANSFER Wage 15 Oct</t>
  </si>
  <si>
    <t>E &amp; S Electrical Wholesaler</t>
  </si>
  <si>
    <t>INTERNET TRANSFER Wage 22 Oct</t>
  </si>
  <si>
    <t>Bunnings Eastgardens</t>
  </si>
  <si>
    <t>INTERNET TRANSFER Wage 29 Oct</t>
  </si>
  <si>
    <t>INTERNET TRANSFER Wage 05 Nov</t>
  </si>
  <si>
    <t>INTERNET TRANSFER Wage 12 Nov</t>
  </si>
  <si>
    <t>Reflex</t>
  </si>
  <si>
    <t>Jaycar Electronic</t>
  </si>
  <si>
    <t>INTERNET TRANSFER Wage 19 Nov</t>
  </si>
  <si>
    <t>INTERNET TRANSFER Wage 26 Nov</t>
  </si>
  <si>
    <t>Nutamend HK</t>
  </si>
  <si>
    <t>INTERNET TRANSFER Wage 03 Dec</t>
  </si>
  <si>
    <t>Victoria Basement Alexandria</t>
  </si>
  <si>
    <t>INTERNET TRANSFER Wage 10 Dec</t>
  </si>
  <si>
    <t>Randwick City Council</t>
  </si>
  <si>
    <t>Frutex</t>
  </si>
  <si>
    <t>INTERNET TRANSFER Wage 17 Dec</t>
  </si>
  <si>
    <t>the hop and Grain</t>
  </si>
  <si>
    <t>INTERNET TRANSFER Wage 24 Dec</t>
  </si>
  <si>
    <t>INTERNET TRANSFER Wage 31 Dec</t>
  </si>
  <si>
    <t>INTERNET TRANSFER Wage 07 Jan</t>
  </si>
  <si>
    <t>INTERNET TRANSFER Wage 14 Jan</t>
  </si>
  <si>
    <t>LISA PLECHE PREVOST N7764273662 Wage WE 21 Jan 24</t>
  </si>
  <si>
    <t>STEPHANE MOTTE S9743772362 Wage WE 21 Jan 24</t>
  </si>
  <si>
    <t>RVO</t>
  </si>
  <si>
    <t>Anthony Gallais N8667762662 Wage WE 21 Jan 24</t>
  </si>
  <si>
    <t>JEANNE CHEROUX B1605067262 Wage WE 21 Jan 24</t>
  </si>
  <si>
    <t>LEOPOLD ESPELLE F9705578862 Wage WE 21 Jan 24</t>
  </si>
  <si>
    <t>Camille Laly P9629263362 Wage WE 21 Jan 24</t>
  </si>
  <si>
    <t>INTERNET TRANSFER Wage WE 28 Jan 24</t>
  </si>
  <si>
    <t>INTERNET TRANSFER Wage WE 04 Feb 24</t>
  </si>
  <si>
    <t>OfficeWork</t>
  </si>
  <si>
    <t>LEOPOLD ESPELLE C5399007822 Wage WE 11 Feb 24</t>
  </si>
  <si>
    <t>INTERNET TRANSFER Wage WE 11 Feb 24</t>
  </si>
  <si>
    <t>JEANNE CHEROUX T1422120602 Wage WE 11 Feb 24</t>
  </si>
  <si>
    <t>STEPHANE MOTTE V5771971022 Wage WE 11 Feb 24</t>
  </si>
  <si>
    <t>INTERNET TRANSFER Wage WE 18 Feb 24</t>
  </si>
  <si>
    <t>Aldi Maroubra</t>
  </si>
  <si>
    <t>INTERNET TRANSFER Wage WE 25 Feb 24</t>
  </si>
  <si>
    <t>JB Supplies</t>
  </si>
  <si>
    <t>Max Bargain Maroubra</t>
  </si>
  <si>
    <t>INTERNET TRANSFER Wage WE 03 Mar 24</t>
  </si>
  <si>
    <t>INTERNET TRANSFER Wage WE 10 Mar 24</t>
  </si>
  <si>
    <t>INTERNET TRANSFER Wage WE 18 Mar 24</t>
  </si>
  <si>
    <t>INTERNET TRANSFER Wage WE 17 Mar 24</t>
  </si>
  <si>
    <t>INTERNET TRANSFER Wage WE 24 Mar 24</t>
  </si>
  <si>
    <t>INTERNET TRANSFER Wage WE 31 Mar 24</t>
  </si>
  <si>
    <t>INTERNET TRANSFER Wage WE 07 Apr 24</t>
  </si>
  <si>
    <t>ATO Income tax</t>
  </si>
  <si>
    <t>INTERNET TRANSFER Wage WE 14 Apr 24</t>
  </si>
  <si>
    <t>INTERNET TRANSFER Wage WE 21 Apr 24</t>
  </si>
  <si>
    <t>INTERNET TRANSFER Wage WE 28 Apr 24</t>
  </si>
  <si>
    <t>INTERNET TRANSFER Wage WE 05 May 24</t>
  </si>
  <si>
    <t>LEOPOLD ESPELLE S9548053566 Wage WE 05 May 24</t>
  </si>
  <si>
    <t>INTERNET TRANSFER Wage WE 12 May 24</t>
  </si>
  <si>
    <t>INTERNET TRANSFER Wage WE 19 May 24</t>
  </si>
  <si>
    <t>INTERNET TRANSFER Wage WE 26 May 24</t>
  </si>
  <si>
    <t>INTERNET TRANSFER Wage WE 02 June 24</t>
  </si>
  <si>
    <t>INTERNET TRANSFER Wage WE 09 June 24</t>
  </si>
  <si>
    <t>NATHALIE BOUET N3516102103 Wage WE 09 June 24</t>
  </si>
  <si>
    <t>INTERNET TRANSFER Wage WE 16 June 24</t>
  </si>
  <si>
    <t>INTERNET TRANSFER Wage WE 15 June 24</t>
  </si>
  <si>
    <t>INTERNET TRANSFER Wage WE 23 June 24</t>
  </si>
  <si>
    <t>Tom Buignet F1152346746 Wage WE 23 June 24</t>
  </si>
  <si>
    <t>Total 618 - Cheque Account</t>
  </si>
  <si>
    <t>619 - Macquarie Offset Account</t>
  </si>
  <si>
    <t>619</t>
  </si>
  <si>
    <t>Loan to Macquarie Offset Account - Loan to Macquarie Offset Account</t>
  </si>
  <si>
    <t>Altus : 2024 YE adjusting journal. - Altus 01 : To reallocate 2024 loan transactions of Stephane &amp; Florence Motte</t>
  </si>
  <si>
    <t>Altus : 2024 YE adjusting journal. - Altus 11 : To record movement of Macquarie Home Loan Account ***237</t>
  </si>
  <si>
    <t>Total 619 - Macquarie Offset Account</t>
  </si>
  <si>
    <t>631 - Stock on Hand</t>
  </si>
  <si>
    <t>631</t>
  </si>
  <si>
    <t>Total 631 - Stock on Hand</t>
  </si>
  <si>
    <t>720 - Computer Equipment</t>
  </si>
  <si>
    <t>720</t>
  </si>
  <si>
    <t>Fixed Asset</t>
  </si>
  <si>
    <t>Total 720 - Computer Equipment</t>
  </si>
  <si>
    <t>721 - Less: Accumulated Depreciation on Computer Equipment</t>
  </si>
  <si>
    <t>721</t>
  </si>
  <si>
    <t>Total 721 - Less: Accumulated Depreciation on Computer Equipment</t>
  </si>
  <si>
    <t>730 - Plant &amp; Equipment</t>
  </si>
  <si>
    <t>730</t>
  </si>
  <si>
    <t>Total 730 - Plant &amp; Equipment</t>
  </si>
  <si>
    <t>731 - Less: Accumulated Depreciation on Plant and Equipment</t>
  </si>
  <si>
    <t>731</t>
  </si>
  <si>
    <t>Total 731 - Less: Accumulated Depreciation on Plant and Equipment</t>
  </si>
  <si>
    <t>744 - Formation Expenses</t>
  </si>
  <si>
    <t>744</t>
  </si>
  <si>
    <t>Non-current Asset</t>
  </si>
  <si>
    <t>Altus : 2024 YE adjusting journal. - Altus 16: To clear formation expenses</t>
  </si>
  <si>
    <t>Total 744 - Formation Expenses</t>
  </si>
  <si>
    <t>745 - Less : Accumulated Amortisation</t>
  </si>
  <si>
    <t>745</t>
  </si>
  <si>
    <t>Total 745 - Less : Accumulated Amortisation</t>
  </si>
  <si>
    <t>760 - Rental Bond</t>
  </si>
  <si>
    <t>760</t>
  </si>
  <si>
    <t>Total 760 - Rental Bond</t>
  </si>
  <si>
    <t>804 - Wages Payable - Payroll</t>
  </si>
  <si>
    <t>804</t>
  </si>
  <si>
    <t>Current Liability</t>
  </si>
  <si>
    <t xml:space="preserve">Wage - Wage </t>
  </si>
  <si>
    <t>Wages Payable</t>
  </si>
  <si>
    <t>Altus : 2024 YE adjusting journal. - Altus 13: To Clear Wages payable through Loan - Stephane &amp; Florence 2024</t>
  </si>
  <si>
    <t>Total 804 - Wages Payable - Payroll</t>
  </si>
  <si>
    <t>820 - GST</t>
  </si>
  <si>
    <t>820</t>
  </si>
  <si>
    <t>Altus: To record Sept 23 quarter end adjustment - ATO ICA &amp; ITA June, July August</t>
  </si>
  <si>
    <t>Altus: To record Sept 23 quarter end adjustment</t>
  </si>
  <si>
    <t>Altus: To record Dec 23 quarter end adjustment - Altus 06 : To reconcile ATO ICA Account: Dec 2023 BAS</t>
  </si>
  <si>
    <t>Altus: To record Dec 23 quarter end adjustment</t>
  </si>
  <si>
    <t>ATO - INTERNET BPAY TAX OFFICE PAYMENTS 2726083603098460</t>
  </si>
  <si>
    <t>Altus: To record March 2024 quarter end adjustment</t>
  </si>
  <si>
    <t>Altus: To record June 2024 quarter end adjustment</t>
  </si>
  <si>
    <t>Total 820 - GST</t>
  </si>
  <si>
    <t>822 - ATO Payments</t>
  </si>
  <si>
    <t>822</t>
  </si>
  <si>
    <t>Total 822 - ATO Payments</t>
  </si>
  <si>
    <t>823 01 - Loan - Stephane &amp; Florence Motte 2021</t>
  </si>
  <si>
    <t>823 01</t>
  </si>
  <si>
    <t>Altus : 2024 YE adjusting journal. - Altus 08 : To reallocate amount from  Loan - Stephane &amp; Florence Motte 2023 to 2021 loan account.</t>
  </si>
  <si>
    <t>Altus : 2024 YE adjusting journal. - Altus 13: To Clear Wages payable through Loan - Stephane &amp; Florence 2021</t>
  </si>
  <si>
    <t>Altus : 2024 YE adjusting journal. - Altus 15: To reallocate Super amount to Loan - Stephane &amp; Florence 2021</t>
  </si>
  <si>
    <t>Total 823 01 - Loan - Stephane &amp; Florence Motte 2021</t>
  </si>
  <si>
    <t>823 02 - Loan - Stephane &amp; Florence Motte 2022</t>
  </si>
  <si>
    <t>823 02</t>
  </si>
  <si>
    <t>Total 823 02 - Loan - Stephane &amp; Florence Motte 2022</t>
  </si>
  <si>
    <t>823 03 - Loan - Stephane &amp; Florence Motte 2023</t>
  </si>
  <si>
    <t>823 03</t>
  </si>
  <si>
    <t>Altus : 2024 YE adjusting journal. - Altus 08 : To reallocate amount from  Loan - Stephane &amp; Florence Motte 2023 to 2024 loan account.</t>
  </si>
  <si>
    <t>Total 823 03 - Loan - Stephane &amp; Florence Motte 2023</t>
  </si>
  <si>
    <t>823 04 - Loan - Stephane &amp; Florence Motte 2024</t>
  </si>
  <si>
    <t>823 04</t>
  </si>
  <si>
    <t>Stephane MOTTE - INTERNET BPAY TAX OFFICE PAYMENTS 3002087923436259</t>
  </si>
  <si>
    <t>Altus : 2024 YE adjusting journal. - Altus 07 : To reallocate stephane Reimbursements account balance to Stephane &amp; Florence Motte 2023 Loan.</t>
  </si>
  <si>
    <t>Total 823 04 - Loan - Stephane &amp; Florence Motte 2024</t>
  </si>
  <si>
    <t>824 - Stephane Reimbursements</t>
  </si>
  <si>
    <t>824</t>
  </si>
  <si>
    <t>Liability</t>
  </si>
  <si>
    <t>Stephane Motte (Reimbursement) - reimbursement April 2023</t>
  </si>
  <si>
    <t>Stephane Motte (Reimbursement) - reimbursement Sep 2023</t>
  </si>
  <si>
    <t>Stephane Motte (Reimbursement) - reimbursement Oct 2023</t>
  </si>
  <si>
    <t>Altus : 2024 YE adjusting journal. - Altus 07 : To reallocate stephane Reimbursements account balance to Stephane &amp; Florence Motte 2024 Loan.</t>
  </si>
  <si>
    <t>Total 824 - Stephane Reimbursements</t>
  </si>
  <si>
    <t>825 - PAYG Withholding Payable</t>
  </si>
  <si>
    <t>825</t>
  </si>
  <si>
    <t>Tax</t>
  </si>
  <si>
    <t>Total 825 - PAYG Withholding Payable</t>
  </si>
  <si>
    <t>826 - Superannuation Payable</t>
  </si>
  <si>
    <t>826</t>
  </si>
  <si>
    <t>Superannuation Liability</t>
  </si>
  <si>
    <t>ATO - ATO003000017972912 ATO NAB Interbank Credit - Super Clearing House Refund</t>
  </si>
  <si>
    <t>Superannuation - INTERNET BPAY TAX OFFICE PAYMENTS 003009711785190221</t>
  </si>
  <si>
    <t>Total 826 - Superannuation Payable</t>
  </si>
  <si>
    <t>827 - Sundry Creditors</t>
  </si>
  <si>
    <t>827</t>
  </si>
  <si>
    <t>Fresh Point Market - bacon for test</t>
  </si>
  <si>
    <t xml:space="preserve">Southern Cross Supplies - butter-sliced almond -almond meal -almond essence - +refund($557.36) - invoice from june 23 </t>
  </si>
  <si>
    <t>Altus Financial Corporate Advisory Pty Ltd - Quarterly invoice for accounting</t>
  </si>
  <si>
    <t>Total 827 - Sundry Creditors</t>
  </si>
  <si>
    <t>830 - Income Tax Payable</t>
  </si>
  <si>
    <t>830</t>
  </si>
  <si>
    <t>ATO Income tax - INTERNET BPAY TAX OFFICE PAYMENTS 00100971178519302221</t>
  </si>
  <si>
    <t>Total 830 - Income Tax Payable</t>
  </si>
  <si>
    <t>911 - Loan - Macquarie</t>
  </si>
  <si>
    <t>911</t>
  </si>
  <si>
    <t>Non-current Liability</t>
  </si>
  <si>
    <t>Total 911 - Loan - Macquarie</t>
  </si>
  <si>
    <t>960 - Retained Earnings</t>
  </si>
  <si>
    <t>960</t>
  </si>
  <si>
    <t>Total 960 - Retained Earnings</t>
  </si>
  <si>
    <t>970 - Issued Capital</t>
  </si>
  <si>
    <t>970</t>
  </si>
  <si>
    <t>Total 970 - Issued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</si>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</sst>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577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7.83203125" customWidth="1"/>
    <col min="2" max="2" width="16" customWidth="1"/>
    <col min="3" max="3" width="20.16015625" customWidth="1"/>
    <col min="4" max="4" width="15.66015625" customWidth="1"/>
    <col min="5" max="5" width="100" customWidth="1"/>
    <col min="6" max="6" width="57.16015625" customWidth="1"/>
    <col min="7" max="8" width="11.16015625" customWidth="1"/>
    <col min="9" max="9" width="19.33203125" customWidth="1"/>
    <col min="10" max="10" width="10.5" customWidth="1"/>
    <col min="11" max="11" width="11.66015625" customWidth="1"/>
    <col min="12" max="12" width="18.6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ht="13.35" customHeight="true"/>
    <row r="7" ht="12.1" customHeight="true" customFormat="true" s="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0.95" customHeight="true" customFormat="true" s="9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 ca="1">(G8 - H8)</f>
        <v>0</v>
      </c>
      <c r="J8" s="11">
        <v>0</v>
      </c>
      <c r="K8" s="10"/>
      <c r="L8" s="10"/>
    </row>
    <row r="9" ht="10.95" customHeight="true" customFormat="true" s="9">
      <c r="A9" s="12">
        <v>45110</v>
      </c>
      <c r="B9" s="13" t="s">
        <v>17</v>
      </c>
      <c r="C9" s="13" t="s">
        <v>18</v>
      </c>
      <c r="D9" s="13" t="s">
        <v>19</v>
      </c>
      <c r="E9" s="13" t="s">
        <v>20</v>
      </c>
      <c r="F9" s="13"/>
      <c r="G9" s="14">
        <v>0</v>
      </c>
      <c r="H9" s="14">
        <v>2491.9100</v>
      </c>
      <c r="I9" s="14">
        <f ca="1">((I8 + G9) - H9)</f>
        <v>0</v>
      </c>
      <c r="J9" s="14">
        <v>-249.1900</v>
      </c>
      <c r="K9" s="15">
        <v>10.0000</v>
      </c>
      <c r="L9" s="13" t="s">
        <v>21</v>
      </c>
    </row>
    <row r="10" ht="10.95" customHeight="true" customFormat="true" s="9">
      <c r="A10" s="16">
        <v>45110</v>
      </c>
      <c r="B10" s="17" t="s">
        <v>17</v>
      </c>
      <c r="C10" s="17" t="s">
        <v>18</v>
      </c>
      <c r="D10" s="17" t="s">
        <v>19</v>
      </c>
      <c r="E10" s="17" t="s">
        <v>20</v>
      </c>
      <c r="F10" s="17"/>
      <c r="G10" s="18">
        <v>0</v>
      </c>
      <c r="H10" s="18">
        <v>5226.7300</v>
      </c>
      <c r="I10" s="18">
        <f ca="1">((I9 + G10) - H10)</f>
        <v>0</v>
      </c>
      <c r="J10" s="18">
        <v>-522.6700</v>
      </c>
      <c r="K10" s="19">
        <v>10.0000</v>
      </c>
      <c r="L10" s="17" t="s">
        <v>21</v>
      </c>
    </row>
    <row r="11" ht="10.95" customHeight="true" customFormat="true" s="9">
      <c r="A11" s="16">
        <v>45110</v>
      </c>
      <c r="B11" s="17" t="s">
        <v>17</v>
      </c>
      <c r="C11" s="17" t="s">
        <v>18</v>
      </c>
      <c r="D11" s="17" t="s">
        <v>19</v>
      </c>
      <c r="E11" s="17" t="s">
        <v>20</v>
      </c>
      <c r="F11" s="17"/>
      <c r="G11" s="18">
        <v>0</v>
      </c>
      <c r="H11" s="18">
        <v>4777.8200</v>
      </c>
      <c r="I11" s="18">
        <f ca="1">((I10 + G11) - H11)</f>
        <v>0</v>
      </c>
      <c r="J11" s="18">
        <v>-477.7800</v>
      </c>
      <c r="K11" s="19">
        <v>10.0000</v>
      </c>
      <c r="L11" s="17" t="s">
        <v>21</v>
      </c>
    </row>
    <row r="12" ht="10.95" customHeight="true" customFormat="true" s="9">
      <c r="A12" s="16">
        <v>45110</v>
      </c>
      <c r="B12" s="17" t="s">
        <v>17</v>
      </c>
      <c r="C12" s="17" t="s">
        <v>18</v>
      </c>
      <c r="D12" s="17" t="s">
        <v>22</v>
      </c>
      <c r="E12" s="17" t="s">
        <v>23</v>
      </c>
      <c r="F12" s="17"/>
      <c r="G12" s="18">
        <v>1727.2700</v>
      </c>
      <c r="H12" s="18">
        <v>0</v>
      </c>
      <c r="I12" s="18">
        <f ca="1">((I11 + G12) - H12)</f>
        <v>0</v>
      </c>
      <c r="J12" s="18">
        <v>172.7300</v>
      </c>
      <c r="K12" s="19">
        <v>10.0000</v>
      </c>
      <c r="L12" s="17" t="s">
        <v>21</v>
      </c>
    </row>
    <row r="13" ht="10.95" customHeight="true" customFormat="true" s="9">
      <c r="A13" s="16">
        <v>45112</v>
      </c>
      <c r="B13" s="17" t="s">
        <v>17</v>
      </c>
      <c r="C13" s="17" t="s">
        <v>18</v>
      </c>
      <c r="D13" s="17" t="s">
        <v>19</v>
      </c>
      <c r="E13" s="17" t="s">
        <v>20</v>
      </c>
      <c r="F13" s="17"/>
      <c r="G13" s="18">
        <v>0</v>
      </c>
      <c r="H13" s="18">
        <v>2289.0900</v>
      </c>
      <c r="I13" s="18">
        <f ca="1">((I12 + G13) - H13)</f>
        <v>0</v>
      </c>
      <c r="J13" s="18">
        <v>-228.9100</v>
      </c>
      <c r="K13" s="19">
        <v>10.0000</v>
      </c>
      <c r="L13" s="17" t="s">
        <v>21</v>
      </c>
    </row>
    <row r="14" ht="10.95" customHeight="true" customFormat="true" s="9">
      <c r="A14" s="16">
        <v>45113</v>
      </c>
      <c r="B14" s="17" t="s">
        <v>17</v>
      </c>
      <c r="C14" s="17" t="s">
        <v>18</v>
      </c>
      <c r="D14" s="17" t="s">
        <v>19</v>
      </c>
      <c r="E14" s="17" t="s">
        <v>20</v>
      </c>
      <c r="F14" s="17"/>
      <c r="G14" s="18">
        <v>0</v>
      </c>
      <c r="H14" s="18">
        <v>2280.1400</v>
      </c>
      <c r="I14" s="18">
        <f ca="1">((I13 + G14) - H14)</f>
        <v>0</v>
      </c>
      <c r="J14" s="18">
        <v>-228.0100</v>
      </c>
      <c r="K14" s="19">
        <v>10.0000</v>
      </c>
      <c r="L14" s="17" t="s">
        <v>21</v>
      </c>
    </row>
    <row r="15" ht="10.95" customHeight="true" customFormat="true" s="9">
      <c r="A15" s="16">
        <v>45114</v>
      </c>
      <c r="B15" s="17" t="s">
        <v>17</v>
      </c>
      <c r="C15" s="17" t="s">
        <v>18</v>
      </c>
      <c r="D15" s="17" t="s">
        <v>19</v>
      </c>
      <c r="E15" s="17" t="s">
        <v>20</v>
      </c>
      <c r="F15" s="17"/>
      <c r="G15" s="18">
        <v>0</v>
      </c>
      <c r="H15" s="18">
        <v>2671.4500</v>
      </c>
      <c r="I15" s="18">
        <f ca="1">((I14 + G15) - H15)</f>
        <v>0</v>
      </c>
      <c r="J15" s="18">
        <v>-267.1500</v>
      </c>
      <c r="K15" s="19">
        <v>10.0000</v>
      </c>
      <c r="L15" s="17" t="s">
        <v>21</v>
      </c>
    </row>
    <row r="16" ht="10.95" customHeight="true" customFormat="true" s="9">
      <c r="A16" s="16">
        <v>45117</v>
      </c>
      <c r="B16" s="17" t="s">
        <v>17</v>
      </c>
      <c r="C16" s="17" t="s">
        <v>18</v>
      </c>
      <c r="D16" s="17" t="s">
        <v>19</v>
      </c>
      <c r="E16" s="17" t="s">
        <v>20</v>
      </c>
      <c r="F16" s="17"/>
      <c r="G16" s="18">
        <v>0</v>
      </c>
      <c r="H16" s="18">
        <v>2465.1100</v>
      </c>
      <c r="I16" s="18">
        <f ca="1">((I15 + G16) - H16)</f>
        <v>0</v>
      </c>
      <c r="J16" s="18">
        <v>-246.5100</v>
      </c>
      <c r="K16" s="19">
        <v>10.0000</v>
      </c>
      <c r="L16" s="17" t="s">
        <v>21</v>
      </c>
    </row>
    <row r="17" ht="10.95" customHeight="true" customFormat="true" s="9">
      <c r="A17" s="16">
        <v>45117</v>
      </c>
      <c r="B17" s="17" t="s">
        <v>17</v>
      </c>
      <c r="C17" s="17" t="s">
        <v>18</v>
      </c>
      <c r="D17" s="17" t="s">
        <v>19</v>
      </c>
      <c r="E17" s="17" t="s">
        <v>20</v>
      </c>
      <c r="F17" s="17"/>
      <c r="G17" s="18">
        <v>0</v>
      </c>
      <c r="H17" s="18">
        <v>4162.2300</v>
      </c>
      <c r="I17" s="18">
        <f ca="1">((I16 + G17) - H17)</f>
        <v>0</v>
      </c>
      <c r="J17" s="18">
        <v>-416.2200</v>
      </c>
      <c r="K17" s="19">
        <v>10.0000</v>
      </c>
      <c r="L17" s="17" t="s">
        <v>21</v>
      </c>
    </row>
    <row r="18" ht="10.95" customHeight="true" customFormat="true" s="9">
      <c r="A18" s="16">
        <v>45117</v>
      </c>
      <c r="B18" s="17" t="s">
        <v>17</v>
      </c>
      <c r="C18" s="17" t="s">
        <v>18</v>
      </c>
      <c r="D18" s="17" t="s">
        <v>22</v>
      </c>
      <c r="E18" s="17" t="s">
        <v>23</v>
      </c>
      <c r="F18" s="17"/>
      <c r="G18" s="18">
        <v>1409.0900</v>
      </c>
      <c r="H18" s="18">
        <v>0</v>
      </c>
      <c r="I18" s="18">
        <f ca="1">((I17 + G18) - H18)</f>
        <v>0</v>
      </c>
      <c r="J18" s="18">
        <v>140.9100</v>
      </c>
      <c r="K18" s="19">
        <v>10.0000</v>
      </c>
      <c r="L18" s="17" t="s">
        <v>21</v>
      </c>
    </row>
    <row r="19" ht="10.95" customHeight="true" customFormat="true" s="9">
      <c r="A19" s="16">
        <v>45117</v>
      </c>
      <c r="B19" s="17" t="s">
        <v>17</v>
      </c>
      <c r="C19" s="17" t="s">
        <v>18</v>
      </c>
      <c r="D19" s="17" t="s">
        <v>19</v>
      </c>
      <c r="E19" s="17" t="s">
        <v>20</v>
      </c>
      <c r="F19" s="17"/>
      <c r="G19" s="18">
        <v>0</v>
      </c>
      <c r="H19" s="18">
        <v>5502.0000</v>
      </c>
      <c r="I19" s="18">
        <f ca="1">((I18 + G19) - H19)</f>
        <v>0</v>
      </c>
      <c r="J19" s="18">
        <v>-550.2000</v>
      </c>
      <c r="K19" s="19">
        <v>10.0000</v>
      </c>
      <c r="L19" s="17" t="s">
        <v>21</v>
      </c>
    </row>
    <row r="20" ht="10.95" customHeight="true" customFormat="true" s="9">
      <c r="A20" s="16">
        <v>45119</v>
      </c>
      <c r="B20" s="17" t="s">
        <v>17</v>
      </c>
      <c r="C20" s="17" t="s">
        <v>18</v>
      </c>
      <c r="D20" s="17" t="s">
        <v>19</v>
      </c>
      <c r="E20" s="17" t="s">
        <v>20</v>
      </c>
      <c r="F20" s="17"/>
      <c r="G20" s="18">
        <v>0</v>
      </c>
      <c r="H20" s="18">
        <v>2186.7300</v>
      </c>
      <c r="I20" s="18">
        <f ca="1">((I19 + G20) - H20)</f>
        <v>0</v>
      </c>
      <c r="J20" s="18">
        <v>-218.6700</v>
      </c>
      <c r="K20" s="19">
        <v>10.0000</v>
      </c>
      <c r="L20" s="17" t="s">
        <v>21</v>
      </c>
    </row>
    <row r="21" ht="10.95" customHeight="true" customFormat="true" s="9">
      <c r="A21" s="16">
        <v>45119</v>
      </c>
      <c r="B21" s="17" t="s">
        <v>17</v>
      </c>
      <c r="C21" s="17" t="s">
        <v>18</v>
      </c>
      <c r="D21" s="17" t="s">
        <v>19</v>
      </c>
      <c r="E21" s="17" t="s">
        <v>24</v>
      </c>
      <c r="F21" s="17"/>
      <c r="G21" s="18">
        <v>0</v>
      </c>
      <c r="H21" s="18">
        <v>1170.9100</v>
      </c>
      <c r="I21" s="18">
        <f ca="1">((I20 + G21) - H21)</f>
        <v>0</v>
      </c>
      <c r="J21" s="18">
        <v>-117.0900</v>
      </c>
      <c r="K21" s="19">
        <v>10.0000</v>
      </c>
      <c r="L21" s="17" t="s">
        <v>21</v>
      </c>
    </row>
    <row r="22" ht="10.95" customHeight="true" customFormat="true" s="9">
      <c r="A22" s="16">
        <v>45120</v>
      </c>
      <c r="B22" s="17" t="s">
        <v>17</v>
      </c>
      <c r="C22" s="17" t="s">
        <v>18</v>
      </c>
      <c r="D22" s="17" t="s">
        <v>19</v>
      </c>
      <c r="E22" s="17" t="s">
        <v>20</v>
      </c>
      <c r="F22" s="17"/>
      <c r="G22" s="18">
        <v>0</v>
      </c>
      <c r="H22" s="18">
        <v>2400.5500</v>
      </c>
      <c r="I22" s="18">
        <f ca="1">((I21 + G22) - H22)</f>
        <v>0</v>
      </c>
      <c r="J22" s="18">
        <v>-240.0500</v>
      </c>
      <c r="K22" s="19">
        <v>10.0000</v>
      </c>
      <c r="L22" s="17" t="s">
        <v>21</v>
      </c>
    </row>
    <row r="23" ht="10.95" customHeight="true" customFormat="true" s="9">
      <c r="A23" s="16">
        <v>45121</v>
      </c>
      <c r="B23" s="17" t="s">
        <v>17</v>
      </c>
      <c r="C23" s="17" t="s">
        <v>18</v>
      </c>
      <c r="D23" s="17" t="s">
        <v>19</v>
      </c>
      <c r="E23" s="17" t="s">
        <v>20</v>
      </c>
      <c r="F23" s="17"/>
      <c r="G23" s="18">
        <v>0</v>
      </c>
      <c r="H23" s="18">
        <v>2419.5300</v>
      </c>
      <c r="I23" s="18">
        <f ca="1">((I22 + G23) - H23)</f>
        <v>0</v>
      </c>
      <c r="J23" s="18">
        <v>-241.9500</v>
      </c>
      <c r="K23" s="19">
        <v>10.0000</v>
      </c>
      <c r="L23" s="17" t="s">
        <v>21</v>
      </c>
    </row>
    <row r="24" ht="10.95" customHeight="true" customFormat="true" s="9">
      <c r="A24" s="16">
        <v>45124</v>
      </c>
      <c r="B24" s="17" t="s">
        <v>17</v>
      </c>
      <c r="C24" s="17" t="s">
        <v>18</v>
      </c>
      <c r="D24" s="17" t="s">
        <v>22</v>
      </c>
      <c r="E24" s="17" t="s">
        <v>23</v>
      </c>
      <c r="F24" s="17"/>
      <c r="G24" s="18">
        <v>1090.9100</v>
      </c>
      <c r="H24" s="18">
        <v>0</v>
      </c>
      <c r="I24" s="18">
        <f ca="1">((I23 + G24) - H24)</f>
        <v>0</v>
      </c>
      <c r="J24" s="18">
        <v>109.0900</v>
      </c>
      <c r="K24" s="19">
        <v>10.0000</v>
      </c>
      <c r="L24" s="17" t="s">
        <v>21</v>
      </c>
    </row>
    <row r="25" ht="10.95" customHeight="true" customFormat="true" s="9">
      <c r="A25" s="16">
        <v>45124</v>
      </c>
      <c r="B25" s="17" t="s">
        <v>17</v>
      </c>
      <c r="C25" s="17" t="s">
        <v>18</v>
      </c>
      <c r="D25" s="17" t="s">
        <v>19</v>
      </c>
      <c r="E25" s="17" t="s">
        <v>20</v>
      </c>
      <c r="F25" s="17"/>
      <c r="G25" s="18">
        <v>0</v>
      </c>
      <c r="H25" s="18">
        <v>3223.9500</v>
      </c>
      <c r="I25" s="18">
        <f ca="1">((I24 + G25) - H25)</f>
        <v>0</v>
      </c>
      <c r="J25" s="18">
        <v>-322.4000</v>
      </c>
      <c r="K25" s="19">
        <v>10.0000</v>
      </c>
      <c r="L25" s="17" t="s">
        <v>21</v>
      </c>
    </row>
    <row r="26" ht="10.95" customHeight="true" customFormat="true" s="9">
      <c r="A26" s="16">
        <v>45124</v>
      </c>
      <c r="B26" s="17" t="s">
        <v>17</v>
      </c>
      <c r="C26" s="17" t="s">
        <v>18</v>
      </c>
      <c r="D26" s="17" t="s">
        <v>19</v>
      </c>
      <c r="E26" s="17" t="s">
        <v>20</v>
      </c>
      <c r="F26" s="17"/>
      <c r="G26" s="18">
        <v>0</v>
      </c>
      <c r="H26" s="18">
        <v>4758.4500</v>
      </c>
      <c r="I26" s="18">
        <f ca="1">((I25 + G26) - H26)</f>
        <v>0</v>
      </c>
      <c r="J26" s="18">
        <v>-475.8500</v>
      </c>
      <c r="K26" s="19">
        <v>10.0000</v>
      </c>
      <c r="L26" s="17" t="s">
        <v>21</v>
      </c>
    </row>
    <row r="27" ht="10.95" customHeight="true" customFormat="true" s="9">
      <c r="A27" s="16">
        <v>45124</v>
      </c>
      <c r="B27" s="17" t="s">
        <v>17</v>
      </c>
      <c r="C27" s="17" t="s">
        <v>18</v>
      </c>
      <c r="D27" s="17" t="s">
        <v>19</v>
      </c>
      <c r="E27" s="17" t="s">
        <v>20</v>
      </c>
      <c r="F27" s="17"/>
      <c r="G27" s="18">
        <v>0</v>
      </c>
      <c r="H27" s="18">
        <v>3953.5500</v>
      </c>
      <c r="I27" s="18">
        <f ca="1">((I26 + G27) - H27)</f>
        <v>0</v>
      </c>
      <c r="J27" s="18">
        <v>-395.3500</v>
      </c>
      <c r="K27" s="19">
        <v>10.0000</v>
      </c>
      <c r="L27" s="17" t="s">
        <v>21</v>
      </c>
    </row>
    <row r="28" ht="10.95" customHeight="true" customFormat="true" s="9">
      <c r="A28" s="16">
        <v>45126</v>
      </c>
      <c r="B28" s="17" t="s">
        <v>17</v>
      </c>
      <c r="C28" s="17" t="s">
        <v>18</v>
      </c>
      <c r="D28" s="17" t="s">
        <v>19</v>
      </c>
      <c r="E28" s="17" t="s">
        <v>20</v>
      </c>
      <c r="F28" s="17"/>
      <c r="G28" s="18">
        <v>0</v>
      </c>
      <c r="H28" s="18">
        <v>2095.0000</v>
      </c>
      <c r="I28" s="18">
        <f ca="1">((I27 + G28) - H28)</f>
        <v>0</v>
      </c>
      <c r="J28" s="18">
        <v>-209.5000</v>
      </c>
      <c r="K28" s="19">
        <v>10.0000</v>
      </c>
      <c r="L28" s="17" t="s">
        <v>21</v>
      </c>
    </row>
    <row r="29" ht="10.95" customHeight="true" customFormat="true" s="9">
      <c r="A29" s="16">
        <v>45127</v>
      </c>
      <c r="B29" s="17" t="s">
        <v>17</v>
      </c>
      <c r="C29" s="17" t="s">
        <v>18</v>
      </c>
      <c r="D29" s="17" t="s">
        <v>19</v>
      </c>
      <c r="E29" s="17" t="s">
        <v>20</v>
      </c>
      <c r="F29" s="17"/>
      <c r="G29" s="18">
        <v>0</v>
      </c>
      <c r="H29" s="18">
        <v>2020.9100</v>
      </c>
      <c r="I29" s="18">
        <f ca="1">((I28 + G29) - H29)</f>
        <v>0</v>
      </c>
      <c r="J29" s="18">
        <v>-202.0900</v>
      </c>
      <c r="K29" s="19">
        <v>10.0000</v>
      </c>
      <c r="L29" s="17" t="s">
        <v>21</v>
      </c>
    </row>
    <row r="30" ht="10.95" customHeight="true" customFormat="true" s="9">
      <c r="A30" s="16">
        <v>45128</v>
      </c>
      <c r="B30" s="17" t="s">
        <v>17</v>
      </c>
      <c r="C30" s="17" t="s">
        <v>18</v>
      </c>
      <c r="D30" s="17" t="s">
        <v>19</v>
      </c>
      <c r="E30" s="17" t="s">
        <v>20</v>
      </c>
      <c r="F30" s="17"/>
      <c r="G30" s="18">
        <v>0</v>
      </c>
      <c r="H30" s="18">
        <v>2232.6800</v>
      </c>
      <c r="I30" s="18">
        <f ca="1">((I29 + G30) - H30)</f>
        <v>0</v>
      </c>
      <c r="J30" s="18">
        <v>-223.2700</v>
      </c>
      <c r="K30" s="19">
        <v>10.0000</v>
      </c>
      <c r="L30" s="17" t="s">
        <v>21</v>
      </c>
    </row>
    <row r="31" ht="10.95" customHeight="true" customFormat="true" s="9">
      <c r="A31" s="16">
        <v>45131</v>
      </c>
      <c r="B31" s="17" t="s">
        <v>17</v>
      </c>
      <c r="C31" s="17" t="s">
        <v>18</v>
      </c>
      <c r="D31" s="17" t="s">
        <v>22</v>
      </c>
      <c r="E31" s="17" t="s">
        <v>23</v>
      </c>
      <c r="F31" s="17"/>
      <c r="G31" s="18">
        <v>1818.1800</v>
      </c>
      <c r="H31" s="18">
        <v>0</v>
      </c>
      <c r="I31" s="18">
        <f ca="1">((I30 + G31) - H31)</f>
        <v>0</v>
      </c>
      <c r="J31" s="18">
        <v>181.8200</v>
      </c>
      <c r="K31" s="19">
        <v>10.0000</v>
      </c>
      <c r="L31" s="17" t="s">
        <v>21</v>
      </c>
    </row>
    <row r="32" ht="10.95" customHeight="true" customFormat="true" s="9">
      <c r="A32" s="16">
        <v>45131</v>
      </c>
      <c r="B32" s="17" t="s">
        <v>17</v>
      </c>
      <c r="C32" s="17" t="s">
        <v>18</v>
      </c>
      <c r="D32" s="17" t="s">
        <v>19</v>
      </c>
      <c r="E32" s="17" t="s">
        <v>20</v>
      </c>
      <c r="F32" s="17"/>
      <c r="G32" s="18">
        <v>0</v>
      </c>
      <c r="H32" s="18">
        <v>5293.0900</v>
      </c>
      <c r="I32" s="18">
        <f ca="1">((I31 + G32) - H32)</f>
        <v>0</v>
      </c>
      <c r="J32" s="18">
        <v>-529.3100</v>
      </c>
      <c r="K32" s="19">
        <v>10.0000</v>
      </c>
      <c r="L32" s="17" t="s">
        <v>21</v>
      </c>
    </row>
    <row r="33" ht="10.95" customHeight="true" customFormat="true" s="9">
      <c r="A33" s="16">
        <v>45131</v>
      </c>
      <c r="B33" s="17" t="s">
        <v>17</v>
      </c>
      <c r="C33" s="17" t="s">
        <v>18</v>
      </c>
      <c r="D33" s="17" t="s">
        <v>19</v>
      </c>
      <c r="E33" s="17" t="s">
        <v>24</v>
      </c>
      <c r="F33" s="17"/>
      <c r="G33" s="18">
        <v>0</v>
      </c>
      <c r="H33" s="18">
        <v>227.2700</v>
      </c>
      <c r="I33" s="18">
        <f ca="1">((I32 + G33) - H33)</f>
        <v>0</v>
      </c>
      <c r="J33" s="18">
        <v>-22.7300</v>
      </c>
      <c r="K33" s="19">
        <v>10.0000</v>
      </c>
      <c r="L33" s="17" t="s">
        <v>21</v>
      </c>
    </row>
    <row r="34" ht="10.95" customHeight="true" customFormat="true" s="9">
      <c r="A34" s="16">
        <v>45131</v>
      </c>
      <c r="B34" s="17" t="s">
        <v>17</v>
      </c>
      <c r="C34" s="17" t="s">
        <v>18</v>
      </c>
      <c r="D34" s="17" t="s">
        <v>19</v>
      </c>
      <c r="E34" s="17" t="s">
        <v>20</v>
      </c>
      <c r="F34" s="17"/>
      <c r="G34" s="18">
        <v>0</v>
      </c>
      <c r="H34" s="18">
        <v>3041.6400</v>
      </c>
      <c r="I34" s="18">
        <f ca="1">((I33 + G34) - H34)</f>
        <v>0</v>
      </c>
      <c r="J34" s="18">
        <v>-304.1600</v>
      </c>
      <c r="K34" s="19">
        <v>10.0000</v>
      </c>
      <c r="L34" s="17" t="s">
        <v>21</v>
      </c>
    </row>
    <row r="35" ht="10.95" customHeight="true" customFormat="true" s="9">
      <c r="A35" s="16">
        <v>45131</v>
      </c>
      <c r="B35" s="17" t="s">
        <v>17</v>
      </c>
      <c r="C35" s="17" t="s">
        <v>18</v>
      </c>
      <c r="D35" s="17" t="s">
        <v>19</v>
      </c>
      <c r="E35" s="17" t="s">
        <v>20</v>
      </c>
      <c r="F35" s="17"/>
      <c r="G35" s="18">
        <v>0</v>
      </c>
      <c r="H35" s="18">
        <v>4789.6400</v>
      </c>
      <c r="I35" s="18">
        <f ca="1">((I34 + G35) - H35)</f>
        <v>0</v>
      </c>
      <c r="J35" s="18">
        <v>-478.9600</v>
      </c>
      <c r="K35" s="19">
        <v>10.0000</v>
      </c>
      <c r="L35" s="17" t="s">
        <v>21</v>
      </c>
    </row>
    <row r="36" ht="10.95" customHeight="true" customFormat="true" s="9">
      <c r="A36" s="16">
        <v>45133</v>
      </c>
      <c r="B36" s="17" t="s">
        <v>17</v>
      </c>
      <c r="C36" s="17" t="s">
        <v>18</v>
      </c>
      <c r="D36" s="17" t="s">
        <v>19</v>
      </c>
      <c r="E36" s="17" t="s">
        <v>20</v>
      </c>
      <c r="F36" s="17"/>
      <c r="G36" s="18">
        <v>0</v>
      </c>
      <c r="H36" s="18">
        <v>1606.8600</v>
      </c>
      <c r="I36" s="18">
        <f ca="1">((I35 + G36) - H36)</f>
        <v>0</v>
      </c>
      <c r="J36" s="18">
        <v>-160.6900</v>
      </c>
      <c r="K36" s="19">
        <v>10.0000</v>
      </c>
      <c r="L36" s="17" t="s">
        <v>21</v>
      </c>
    </row>
    <row r="37" ht="10.95" customHeight="true" customFormat="true" s="9">
      <c r="A37" s="16">
        <v>45134</v>
      </c>
      <c r="B37" s="17" t="s">
        <v>17</v>
      </c>
      <c r="C37" s="17" t="s">
        <v>18</v>
      </c>
      <c r="D37" s="17" t="s">
        <v>19</v>
      </c>
      <c r="E37" s="17" t="s">
        <v>20</v>
      </c>
      <c r="F37" s="17"/>
      <c r="G37" s="18">
        <v>0</v>
      </c>
      <c r="H37" s="18">
        <v>2120.7700</v>
      </c>
      <c r="I37" s="18">
        <f ca="1">((I36 + G37) - H37)</f>
        <v>0</v>
      </c>
      <c r="J37" s="18">
        <v>-212.0800</v>
      </c>
      <c r="K37" s="19">
        <v>10.0000</v>
      </c>
      <c r="L37" s="17" t="s">
        <v>21</v>
      </c>
    </row>
    <row r="38" ht="10.95" customHeight="true" customFormat="true" s="9">
      <c r="A38" s="16">
        <v>45135</v>
      </c>
      <c r="B38" s="17" t="s">
        <v>17</v>
      </c>
      <c r="C38" s="17" t="s">
        <v>18</v>
      </c>
      <c r="D38" s="17" t="s">
        <v>19</v>
      </c>
      <c r="E38" s="17" t="s">
        <v>20</v>
      </c>
      <c r="F38" s="17"/>
      <c r="G38" s="18">
        <v>0</v>
      </c>
      <c r="H38" s="18">
        <v>2195.6400</v>
      </c>
      <c r="I38" s="18">
        <f ca="1">((I37 + G38) - H38)</f>
        <v>0</v>
      </c>
      <c r="J38" s="18">
        <v>-219.5600</v>
      </c>
      <c r="K38" s="19">
        <v>10.0000</v>
      </c>
      <c r="L38" s="17" t="s">
        <v>21</v>
      </c>
    </row>
    <row r="39" ht="10.95" customHeight="true" customFormat="true" s="9">
      <c r="A39" s="16">
        <v>45138</v>
      </c>
      <c r="B39" s="17" t="s">
        <v>17</v>
      </c>
      <c r="C39" s="17" t="s">
        <v>18</v>
      </c>
      <c r="D39" s="17" t="s">
        <v>19</v>
      </c>
      <c r="E39" s="17" t="s">
        <v>20</v>
      </c>
      <c r="F39" s="17"/>
      <c r="G39" s="18">
        <v>0</v>
      </c>
      <c r="H39" s="18">
        <v>2608.3200</v>
      </c>
      <c r="I39" s="18">
        <f ca="1">((I38 + G39) - H39)</f>
        <v>0</v>
      </c>
      <c r="J39" s="18">
        <v>-260.8300</v>
      </c>
      <c r="K39" s="19">
        <v>10.0000</v>
      </c>
      <c r="L39" s="17" t="s">
        <v>21</v>
      </c>
    </row>
    <row r="40" ht="10.95" customHeight="true" customFormat="true" s="9">
      <c r="A40" s="16">
        <v>45138</v>
      </c>
      <c r="B40" s="17" t="s">
        <v>17</v>
      </c>
      <c r="C40" s="17" t="s">
        <v>18</v>
      </c>
      <c r="D40" s="17" t="s">
        <v>19</v>
      </c>
      <c r="E40" s="17" t="s">
        <v>24</v>
      </c>
      <c r="F40" s="17"/>
      <c r="G40" s="18">
        <v>0</v>
      </c>
      <c r="H40" s="18">
        <v>45.4500</v>
      </c>
      <c r="I40" s="18">
        <f ca="1">((I39 + G40) - H40)</f>
        <v>0</v>
      </c>
      <c r="J40" s="18">
        <v>-4.5500</v>
      </c>
      <c r="K40" s="19">
        <v>10.0000</v>
      </c>
      <c r="L40" s="17" t="s">
        <v>21</v>
      </c>
    </row>
    <row r="41" ht="10.95" customHeight="true" customFormat="true" s="9">
      <c r="A41" s="16">
        <v>45138</v>
      </c>
      <c r="B41" s="17" t="s">
        <v>17</v>
      </c>
      <c r="C41" s="17" t="s">
        <v>18</v>
      </c>
      <c r="D41" s="17" t="s">
        <v>19</v>
      </c>
      <c r="E41" s="17" t="s">
        <v>20</v>
      </c>
      <c r="F41" s="17"/>
      <c r="G41" s="18">
        <v>0</v>
      </c>
      <c r="H41" s="18">
        <v>5317.2700</v>
      </c>
      <c r="I41" s="18">
        <f ca="1">((I40 + G41) - H41)</f>
        <v>0</v>
      </c>
      <c r="J41" s="18">
        <v>-531.7300</v>
      </c>
      <c r="K41" s="19">
        <v>10.0000</v>
      </c>
      <c r="L41" s="17" t="s">
        <v>21</v>
      </c>
    </row>
    <row r="42" ht="10.95" customHeight="true" customFormat="true" s="9">
      <c r="A42" s="16">
        <v>45138</v>
      </c>
      <c r="B42" s="17" t="s">
        <v>17</v>
      </c>
      <c r="C42" s="17" t="s">
        <v>18</v>
      </c>
      <c r="D42" s="17" t="s">
        <v>19</v>
      </c>
      <c r="E42" s="17" t="s">
        <v>20</v>
      </c>
      <c r="F42" s="17"/>
      <c r="G42" s="18">
        <v>0</v>
      </c>
      <c r="H42" s="18">
        <v>4514.1800</v>
      </c>
      <c r="I42" s="18">
        <f ca="1">((I41 + G42) - H42)</f>
        <v>0</v>
      </c>
      <c r="J42" s="18">
        <v>-451.4200</v>
      </c>
      <c r="K42" s="19">
        <v>10.0000</v>
      </c>
      <c r="L42" s="17" t="s">
        <v>21</v>
      </c>
    </row>
    <row r="43" ht="10.95" customHeight="true" customFormat="true" s="9">
      <c r="A43" s="16">
        <v>45138</v>
      </c>
      <c r="B43" s="17" t="s">
        <v>17</v>
      </c>
      <c r="C43" s="17" t="s">
        <v>18</v>
      </c>
      <c r="D43" s="17" t="s">
        <v>22</v>
      </c>
      <c r="E43" s="17" t="s">
        <v>23</v>
      </c>
      <c r="F43" s="17"/>
      <c r="G43" s="18">
        <v>1363.6400</v>
      </c>
      <c r="H43" s="18">
        <v>0</v>
      </c>
      <c r="I43" s="18">
        <f ca="1">((I42 + G43) - H43)</f>
        <v>0</v>
      </c>
      <c r="J43" s="18">
        <v>136.3600</v>
      </c>
      <c r="K43" s="19">
        <v>10.0000</v>
      </c>
      <c r="L43" s="17" t="s">
        <v>21</v>
      </c>
    </row>
    <row r="44" ht="10.95" customHeight="true" customFormat="true" s="9">
      <c r="A44" s="16">
        <v>45140</v>
      </c>
      <c r="B44" s="17" t="s">
        <v>17</v>
      </c>
      <c r="C44" s="17" t="s">
        <v>18</v>
      </c>
      <c r="D44" s="17" t="s">
        <v>19</v>
      </c>
      <c r="E44" s="17" t="s">
        <v>20</v>
      </c>
      <c r="F44" s="17"/>
      <c r="G44" s="18">
        <v>0</v>
      </c>
      <c r="H44" s="18">
        <v>1922.8200</v>
      </c>
      <c r="I44" s="18">
        <f ca="1">((I43 + G44) - H44)</f>
        <v>0</v>
      </c>
      <c r="J44" s="18">
        <v>-192.2800</v>
      </c>
      <c r="K44" s="19">
        <v>10.0000</v>
      </c>
      <c r="L44" s="17" t="s">
        <v>21</v>
      </c>
    </row>
    <row r="45" ht="10.95" customHeight="true" customFormat="true" s="9">
      <c r="A45" s="16">
        <v>45141</v>
      </c>
      <c r="B45" s="17" t="s">
        <v>17</v>
      </c>
      <c r="C45" s="17" t="s">
        <v>18</v>
      </c>
      <c r="D45" s="17" t="s">
        <v>19</v>
      </c>
      <c r="E45" s="17" t="s">
        <v>20</v>
      </c>
      <c r="F45" s="17"/>
      <c r="G45" s="18">
        <v>0</v>
      </c>
      <c r="H45" s="18">
        <v>2101.0900</v>
      </c>
      <c r="I45" s="18">
        <f ca="1">((I44 + G45) - H45)</f>
        <v>0</v>
      </c>
      <c r="J45" s="18">
        <v>-210.1100</v>
      </c>
      <c r="K45" s="19">
        <v>10.0000</v>
      </c>
      <c r="L45" s="17" t="s">
        <v>21</v>
      </c>
    </row>
    <row r="46" ht="10.95" customHeight="true" customFormat="true" s="9">
      <c r="A46" s="16">
        <v>45142</v>
      </c>
      <c r="B46" s="17" t="s">
        <v>17</v>
      </c>
      <c r="C46" s="17" t="s">
        <v>18</v>
      </c>
      <c r="D46" s="17" t="s">
        <v>19</v>
      </c>
      <c r="E46" s="17" t="s">
        <v>20</v>
      </c>
      <c r="F46" s="17"/>
      <c r="G46" s="18">
        <v>0</v>
      </c>
      <c r="H46" s="18">
        <v>2190.3200</v>
      </c>
      <c r="I46" s="18">
        <f ca="1">((I45 + G46) - H46)</f>
        <v>0</v>
      </c>
      <c r="J46" s="18">
        <v>-219.0300</v>
      </c>
      <c r="K46" s="19">
        <v>10.0000</v>
      </c>
      <c r="L46" s="17" t="s">
        <v>21</v>
      </c>
    </row>
    <row r="47" ht="10.95" customHeight="true" customFormat="true" s="9">
      <c r="A47" s="16">
        <v>45145</v>
      </c>
      <c r="B47" s="17" t="s">
        <v>17</v>
      </c>
      <c r="C47" s="17" t="s">
        <v>18</v>
      </c>
      <c r="D47" s="17" t="s">
        <v>19</v>
      </c>
      <c r="E47" s="17" t="s">
        <v>20</v>
      </c>
      <c r="F47" s="17"/>
      <c r="G47" s="18">
        <v>0</v>
      </c>
      <c r="H47" s="18">
        <v>5576.7300</v>
      </c>
      <c r="I47" s="18">
        <f ca="1">((I46 + G47) - H47)</f>
        <v>0</v>
      </c>
      <c r="J47" s="18">
        <v>-557.6700</v>
      </c>
      <c r="K47" s="19">
        <v>10.0000</v>
      </c>
      <c r="L47" s="17" t="s">
        <v>21</v>
      </c>
    </row>
    <row r="48" ht="10.95" customHeight="true" customFormat="true" s="9">
      <c r="A48" s="16">
        <v>45145</v>
      </c>
      <c r="B48" s="17" t="s">
        <v>17</v>
      </c>
      <c r="C48" s="17" t="s">
        <v>18</v>
      </c>
      <c r="D48" s="17" t="s">
        <v>22</v>
      </c>
      <c r="E48" s="17" t="s">
        <v>23</v>
      </c>
      <c r="F48" s="17"/>
      <c r="G48" s="18">
        <v>2090.9100</v>
      </c>
      <c r="H48" s="18">
        <v>0</v>
      </c>
      <c r="I48" s="18">
        <f ca="1">((I47 + G48) - H48)</f>
        <v>0</v>
      </c>
      <c r="J48" s="18">
        <v>209.0900</v>
      </c>
      <c r="K48" s="19">
        <v>10.0000</v>
      </c>
      <c r="L48" s="17" t="s">
        <v>21</v>
      </c>
    </row>
    <row r="49" ht="10.95" customHeight="true" customFormat="true" s="9">
      <c r="A49" s="16">
        <v>45145</v>
      </c>
      <c r="B49" s="17" t="s">
        <v>17</v>
      </c>
      <c r="C49" s="17" t="s">
        <v>18</v>
      </c>
      <c r="D49" s="17" t="s">
        <v>19</v>
      </c>
      <c r="E49" s="17" t="s">
        <v>20</v>
      </c>
      <c r="F49" s="17"/>
      <c r="G49" s="18">
        <v>0</v>
      </c>
      <c r="H49" s="18">
        <v>2770.5000</v>
      </c>
      <c r="I49" s="18">
        <f ca="1">((I48 + G49) - H49)</f>
        <v>0</v>
      </c>
      <c r="J49" s="18">
        <v>-277.0500</v>
      </c>
      <c r="K49" s="19">
        <v>10.0000</v>
      </c>
      <c r="L49" s="17" t="s">
        <v>21</v>
      </c>
    </row>
    <row r="50" ht="10.95" customHeight="true" customFormat="true" s="9">
      <c r="A50" s="16">
        <v>45145</v>
      </c>
      <c r="B50" s="17" t="s">
        <v>17</v>
      </c>
      <c r="C50" s="17" t="s">
        <v>18</v>
      </c>
      <c r="D50" s="17" t="s">
        <v>19</v>
      </c>
      <c r="E50" s="17" t="s">
        <v>20</v>
      </c>
      <c r="F50" s="17"/>
      <c r="G50" s="18">
        <v>0</v>
      </c>
      <c r="H50" s="18">
        <v>4821.0900</v>
      </c>
      <c r="I50" s="18">
        <f ca="1">((I49 + G50) - H50)</f>
        <v>0</v>
      </c>
      <c r="J50" s="18">
        <v>-482.1100</v>
      </c>
      <c r="K50" s="19">
        <v>10.0000</v>
      </c>
      <c r="L50" s="17" t="s">
        <v>21</v>
      </c>
    </row>
    <row r="51" ht="10.95" customHeight="true" customFormat="true" s="9">
      <c r="A51" s="16">
        <v>45146</v>
      </c>
      <c r="B51" s="17" t="s">
        <v>17</v>
      </c>
      <c r="C51" s="17" t="s">
        <v>18</v>
      </c>
      <c r="D51" s="17" t="s">
        <v>19</v>
      </c>
      <c r="E51" s="17" t="s">
        <v>24</v>
      </c>
      <c r="F51" s="17"/>
      <c r="G51" s="18">
        <v>0</v>
      </c>
      <c r="H51" s="18">
        <v>136.3600</v>
      </c>
      <c r="I51" s="18">
        <f ca="1">((I50 + G51) - H51)</f>
        <v>0</v>
      </c>
      <c r="J51" s="18">
        <v>-13.6400</v>
      </c>
      <c r="K51" s="19">
        <v>10.0000</v>
      </c>
      <c r="L51" s="17" t="s">
        <v>21</v>
      </c>
    </row>
    <row r="52" ht="10.95" customHeight="true" customFormat="true" s="9">
      <c r="A52" s="16">
        <v>45147</v>
      </c>
      <c r="B52" s="17" t="s">
        <v>17</v>
      </c>
      <c r="C52" s="17" t="s">
        <v>18</v>
      </c>
      <c r="D52" s="17" t="s">
        <v>19</v>
      </c>
      <c r="E52" s="17" t="s">
        <v>20</v>
      </c>
      <c r="F52" s="17"/>
      <c r="G52" s="18">
        <v>0</v>
      </c>
      <c r="H52" s="18">
        <v>2210.7300</v>
      </c>
      <c r="I52" s="18">
        <f ca="1">((I51 + G52) - H52)</f>
        <v>0</v>
      </c>
      <c r="J52" s="18">
        <v>-221.0700</v>
      </c>
      <c r="K52" s="19">
        <v>10.0000</v>
      </c>
      <c r="L52" s="17" t="s">
        <v>21</v>
      </c>
    </row>
    <row r="53" ht="10.95" customHeight="true" customFormat="true" s="9">
      <c r="A53" s="16">
        <v>45148</v>
      </c>
      <c r="B53" s="17" t="s">
        <v>17</v>
      </c>
      <c r="C53" s="17" t="s">
        <v>18</v>
      </c>
      <c r="D53" s="17" t="s">
        <v>19</v>
      </c>
      <c r="E53" s="17" t="s">
        <v>20</v>
      </c>
      <c r="F53" s="17"/>
      <c r="G53" s="18">
        <v>0</v>
      </c>
      <c r="H53" s="18">
        <v>2084.8000</v>
      </c>
      <c r="I53" s="18">
        <f ca="1">((I52 + G53) - H53)</f>
        <v>0</v>
      </c>
      <c r="J53" s="18">
        <v>-208.4800</v>
      </c>
      <c r="K53" s="19">
        <v>10.0000</v>
      </c>
      <c r="L53" s="17" t="s">
        <v>21</v>
      </c>
    </row>
    <row r="54" ht="10.95" customHeight="true" customFormat="true" s="9">
      <c r="A54" s="16">
        <v>45149</v>
      </c>
      <c r="B54" s="17" t="s">
        <v>17</v>
      </c>
      <c r="C54" s="17" t="s">
        <v>18</v>
      </c>
      <c r="D54" s="17" t="s">
        <v>19</v>
      </c>
      <c r="E54" s="17" t="s">
        <v>20</v>
      </c>
      <c r="F54" s="17"/>
      <c r="G54" s="18">
        <v>0</v>
      </c>
      <c r="H54" s="18">
        <v>2337.1400</v>
      </c>
      <c r="I54" s="18">
        <f ca="1">((I53 + G54) - H54)</f>
        <v>0</v>
      </c>
      <c r="J54" s="18">
        <v>-233.7100</v>
      </c>
      <c r="K54" s="19">
        <v>10.0000</v>
      </c>
      <c r="L54" s="17" t="s">
        <v>21</v>
      </c>
    </row>
    <row r="55" ht="10.95" customHeight="true" customFormat="true" s="9">
      <c r="A55" s="16">
        <v>45152</v>
      </c>
      <c r="B55" s="17" t="s">
        <v>17</v>
      </c>
      <c r="C55" s="17" t="s">
        <v>18</v>
      </c>
      <c r="D55" s="17" t="s">
        <v>22</v>
      </c>
      <c r="E55" s="17" t="s">
        <v>23</v>
      </c>
      <c r="F55" s="17"/>
      <c r="G55" s="18">
        <v>1545.4500</v>
      </c>
      <c r="H55" s="18">
        <v>0</v>
      </c>
      <c r="I55" s="18">
        <f ca="1">((I54 + G55) - H55)</f>
        <v>0</v>
      </c>
      <c r="J55" s="18">
        <v>154.5500</v>
      </c>
      <c r="K55" s="19">
        <v>10.0000</v>
      </c>
      <c r="L55" s="17" t="s">
        <v>21</v>
      </c>
    </row>
    <row r="56" ht="10.95" customHeight="true" customFormat="true" s="9">
      <c r="A56" s="16">
        <v>45152</v>
      </c>
      <c r="B56" s="17" t="s">
        <v>17</v>
      </c>
      <c r="C56" s="17" t="s">
        <v>18</v>
      </c>
      <c r="D56" s="17" t="s">
        <v>19</v>
      </c>
      <c r="E56" s="17" t="s">
        <v>24</v>
      </c>
      <c r="F56" s="17"/>
      <c r="G56" s="18">
        <v>0</v>
      </c>
      <c r="H56" s="18">
        <v>136.4500</v>
      </c>
      <c r="I56" s="18">
        <f ca="1">((I55 + G56) - H56)</f>
        <v>0</v>
      </c>
      <c r="J56" s="18">
        <v>-13.6500</v>
      </c>
      <c r="K56" s="19">
        <v>10.0000</v>
      </c>
      <c r="L56" s="17" t="s">
        <v>21</v>
      </c>
    </row>
    <row r="57" ht="10.95" customHeight="true" customFormat="true" s="9">
      <c r="A57" s="16">
        <v>45152</v>
      </c>
      <c r="B57" s="17" t="s">
        <v>17</v>
      </c>
      <c r="C57" s="17" t="s">
        <v>18</v>
      </c>
      <c r="D57" s="17" t="s">
        <v>19</v>
      </c>
      <c r="E57" s="17" t="s">
        <v>20</v>
      </c>
      <c r="F57" s="17"/>
      <c r="G57" s="18">
        <v>0</v>
      </c>
      <c r="H57" s="18">
        <v>5668.0700</v>
      </c>
      <c r="I57" s="18">
        <f ca="1">((I56 + G57) - H57)</f>
        <v>0</v>
      </c>
      <c r="J57" s="18">
        <v>-566.8100</v>
      </c>
      <c r="K57" s="19">
        <v>10.0000</v>
      </c>
      <c r="L57" s="17" t="s">
        <v>21</v>
      </c>
    </row>
    <row r="58" ht="10.95" customHeight="true" customFormat="true" s="9">
      <c r="A58" s="16">
        <v>45152</v>
      </c>
      <c r="B58" s="17" t="s">
        <v>17</v>
      </c>
      <c r="C58" s="17" t="s">
        <v>18</v>
      </c>
      <c r="D58" s="17" t="s">
        <v>19</v>
      </c>
      <c r="E58" s="17" t="s">
        <v>20</v>
      </c>
      <c r="F58" s="17"/>
      <c r="G58" s="18">
        <v>0</v>
      </c>
      <c r="H58" s="18">
        <v>4926.0000</v>
      </c>
      <c r="I58" s="18">
        <f ca="1">((I57 + G58) - H58)</f>
        <v>0</v>
      </c>
      <c r="J58" s="18">
        <v>-492.6000</v>
      </c>
      <c r="K58" s="19">
        <v>10.0000</v>
      </c>
      <c r="L58" s="17" t="s">
        <v>21</v>
      </c>
    </row>
    <row r="59" ht="10.95" customHeight="true" customFormat="true" s="9">
      <c r="A59" s="16">
        <v>45152</v>
      </c>
      <c r="B59" s="17" t="s">
        <v>17</v>
      </c>
      <c r="C59" s="17" t="s">
        <v>18</v>
      </c>
      <c r="D59" s="17" t="s">
        <v>19</v>
      </c>
      <c r="E59" s="17" t="s">
        <v>20</v>
      </c>
      <c r="F59" s="17"/>
      <c r="G59" s="18">
        <v>0</v>
      </c>
      <c r="H59" s="18">
        <v>2624.5500</v>
      </c>
      <c r="I59" s="18">
        <f ca="1">((I58 + G59) - H59)</f>
        <v>0</v>
      </c>
      <c r="J59" s="18">
        <v>-262.4500</v>
      </c>
      <c r="K59" s="19">
        <v>10.0000</v>
      </c>
      <c r="L59" s="17" t="s">
        <v>21</v>
      </c>
    </row>
    <row r="60" ht="10.95" customHeight="true" customFormat="true" s="9">
      <c r="A60" s="16">
        <v>45154</v>
      </c>
      <c r="B60" s="17" t="s">
        <v>17</v>
      </c>
      <c r="C60" s="17" t="s">
        <v>18</v>
      </c>
      <c r="D60" s="17" t="s">
        <v>19</v>
      </c>
      <c r="E60" s="17" t="s">
        <v>20</v>
      </c>
      <c r="F60" s="17"/>
      <c r="G60" s="18">
        <v>0</v>
      </c>
      <c r="H60" s="18">
        <v>2149.5500</v>
      </c>
      <c r="I60" s="18">
        <f ca="1">((I59 + G60) - H60)</f>
        <v>0</v>
      </c>
      <c r="J60" s="18">
        <v>-214.9500</v>
      </c>
      <c r="K60" s="19">
        <v>10.0000</v>
      </c>
      <c r="L60" s="17" t="s">
        <v>21</v>
      </c>
    </row>
    <row r="61" ht="10.95" customHeight="true" customFormat="true" s="9">
      <c r="A61" s="16">
        <v>45155</v>
      </c>
      <c r="B61" s="17" t="s">
        <v>17</v>
      </c>
      <c r="C61" s="17" t="s">
        <v>18</v>
      </c>
      <c r="D61" s="17" t="s">
        <v>19</v>
      </c>
      <c r="E61" s="17" t="s">
        <v>20</v>
      </c>
      <c r="F61" s="17"/>
      <c r="G61" s="18">
        <v>0</v>
      </c>
      <c r="H61" s="18">
        <v>2047.2700</v>
      </c>
      <c r="I61" s="18">
        <f ca="1">((I60 + G61) - H61)</f>
        <v>0</v>
      </c>
      <c r="J61" s="18">
        <v>-204.7300</v>
      </c>
      <c r="K61" s="19">
        <v>10.0000</v>
      </c>
      <c r="L61" s="17" t="s">
        <v>21</v>
      </c>
    </row>
    <row r="62" ht="10.95" customHeight="true" customFormat="true" s="9">
      <c r="A62" s="16">
        <v>45156</v>
      </c>
      <c r="B62" s="17" t="s">
        <v>17</v>
      </c>
      <c r="C62" s="17" t="s">
        <v>18</v>
      </c>
      <c r="D62" s="17" t="s">
        <v>19</v>
      </c>
      <c r="E62" s="17" t="s">
        <v>20</v>
      </c>
      <c r="F62" s="17"/>
      <c r="G62" s="18">
        <v>0</v>
      </c>
      <c r="H62" s="18">
        <v>2154.8200</v>
      </c>
      <c r="I62" s="18">
        <f ca="1">((I61 + G62) - H62)</f>
        <v>0</v>
      </c>
      <c r="J62" s="18">
        <v>-215.4800</v>
      </c>
      <c r="K62" s="19">
        <v>10.0000</v>
      </c>
      <c r="L62" s="17" t="s">
        <v>21</v>
      </c>
    </row>
    <row r="63" ht="10.95" customHeight="true" customFormat="true" s="9">
      <c r="A63" s="16">
        <v>45159</v>
      </c>
      <c r="B63" s="17" t="s">
        <v>17</v>
      </c>
      <c r="C63" s="17" t="s">
        <v>18</v>
      </c>
      <c r="D63" s="17" t="s">
        <v>19</v>
      </c>
      <c r="E63" s="17" t="s">
        <v>20</v>
      </c>
      <c r="F63" s="17"/>
      <c r="G63" s="18">
        <v>0</v>
      </c>
      <c r="H63" s="18">
        <v>3128.1800</v>
      </c>
      <c r="I63" s="18">
        <f ca="1">((I62 + G63) - H63)</f>
        <v>0</v>
      </c>
      <c r="J63" s="18">
        <v>-312.8200</v>
      </c>
      <c r="K63" s="19">
        <v>10.0000</v>
      </c>
      <c r="L63" s="17" t="s">
        <v>21</v>
      </c>
    </row>
    <row r="64" ht="10.95" customHeight="true" customFormat="true" s="9">
      <c r="A64" s="16">
        <v>45159</v>
      </c>
      <c r="B64" s="17" t="s">
        <v>17</v>
      </c>
      <c r="C64" s="17" t="s">
        <v>18</v>
      </c>
      <c r="D64" s="17" t="s">
        <v>19</v>
      </c>
      <c r="E64" s="17" t="s">
        <v>20</v>
      </c>
      <c r="F64" s="17"/>
      <c r="G64" s="18">
        <v>0</v>
      </c>
      <c r="H64" s="18">
        <v>5138.9100</v>
      </c>
      <c r="I64" s="18">
        <f ca="1">((I63 + G64) - H64)</f>
        <v>0</v>
      </c>
      <c r="J64" s="18">
        <v>-513.8900</v>
      </c>
      <c r="K64" s="19">
        <v>10.0000</v>
      </c>
      <c r="L64" s="17" t="s">
        <v>21</v>
      </c>
    </row>
    <row r="65" ht="10.95" customHeight="true" customFormat="true" s="9">
      <c r="A65" s="16">
        <v>45159</v>
      </c>
      <c r="B65" s="17" t="s">
        <v>17</v>
      </c>
      <c r="C65" s="17" t="s">
        <v>18</v>
      </c>
      <c r="D65" s="17" t="s">
        <v>19</v>
      </c>
      <c r="E65" s="17" t="s">
        <v>24</v>
      </c>
      <c r="F65" s="17"/>
      <c r="G65" s="18">
        <v>0</v>
      </c>
      <c r="H65" s="18">
        <v>181.8200</v>
      </c>
      <c r="I65" s="18">
        <f ca="1">((I64 + G65) - H65)</f>
        <v>0</v>
      </c>
      <c r="J65" s="18">
        <v>-18.1800</v>
      </c>
      <c r="K65" s="19">
        <v>10.0000</v>
      </c>
      <c r="L65" s="17" t="s">
        <v>21</v>
      </c>
    </row>
    <row r="66" ht="10.95" customHeight="true" customFormat="true" s="9">
      <c r="A66" s="16">
        <v>45159</v>
      </c>
      <c r="B66" s="17" t="s">
        <v>17</v>
      </c>
      <c r="C66" s="17" t="s">
        <v>18</v>
      </c>
      <c r="D66" s="17" t="s">
        <v>19</v>
      </c>
      <c r="E66" s="17" t="s">
        <v>20</v>
      </c>
      <c r="F66" s="17"/>
      <c r="G66" s="18">
        <v>0</v>
      </c>
      <c r="H66" s="18">
        <v>5877.4100</v>
      </c>
      <c r="I66" s="18">
        <f ca="1">((I65 + G66) - H66)</f>
        <v>0</v>
      </c>
      <c r="J66" s="18">
        <v>-587.7400</v>
      </c>
      <c r="K66" s="19">
        <v>10.0000</v>
      </c>
      <c r="L66" s="17" t="s">
        <v>21</v>
      </c>
    </row>
    <row r="67" ht="10.95" customHeight="true" customFormat="true" s="9">
      <c r="A67" s="16">
        <v>45159</v>
      </c>
      <c r="B67" s="17" t="s">
        <v>17</v>
      </c>
      <c r="C67" s="17" t="s">
        <v>18</v>
      </c>
      <c r="D67" s="17" t="s">
        <v>22</v>
      </c>
      <c r="E67" s="17" t="s">
        <v>23</v>
      </c>
      <c r="F67" s="17"/>
      <c r="G67" s="18">
        <v>1818.1800</v>
      </c>
      <c r="H67" s="18">
        <v>0</v>
      </c>
      <c r="I67" s="18">
        <f ca="1">((I66 + G67) - H67)</f>
        <v>0</v>
      </c>
      <c r="J67" s="18">
        <v>181.8200</v>
      </c>
      <c r="K67" s="19">
        <v>10.0000</v>
      </c>
      <c r="L67" s="17" t="s">
        <v>21</v>
      </c>
    </row>
    <row r="68" ht="10.95" customHeight="true" customFormat="true" s="9">
      <c r="A68" s="16">
        <v>45161</v>
      </c>
      <c r="B68" s="17" t="s">
        <v>17</v>
      </c>
      <c r="C68" s="17" t="s">
        <v>18</v>
      </c>
      <c r="D68" s="17" t="s">
        <v>19</v>
      </c>
      <c r="E68" s="17" t="s">
        <v>20</v>
      </c>
      <c r="F68" s="17"/>
      <c r="G68" s="18">
        <v>0</v>
      </c>
      <c r="H68" s="18">
        <v>2163.4500</v>
      </c>
      <c r="I68" s="18">
        <f ca="1">((I67 + G68) - H68)</f>
        <v>0</v>
      </c>
      <c r="J68" s="18">
        <v>-216.3500</v>
      </c>
      <c r="K68" s="19">
        <v>10.0000</v>
      </c>
      <c r="L68" s="17" t="s">
        <v>21</v>
      </c>
    </row>
    <row r="69" ht="10.95" customHeight="true" customFormat="true" s="9">
      <c r="A69" s="16">
        <v>45162</v>
      </c>
      <c r="B69" s="17" t="s">
        <v>17</v>
      </c>
      <c r="C69" s="17" t="s">
        <v>18</v>
      </c>
      <c r="D69" s="17" t="s">
        <v>19</v>
      </c>
      <c r="E69" s="17" t="s">
        <v>20</v>
      </c>
      <c r="F69" s="17"/>
      <c r="G69" s="18">
        <v>0</v>
      </c>
      <c r="H69" s="18">
        <v>2094.3200</v>
      </c>
      <c r="I69" s="18">
        <f ca="1">((I68 + G69) - H69)</f>
        <v>0</v>
      </c>
      <c r="J69" s="18">
        <v>-209.4300</v>
      </c>
      <c r="K69" s="19">
        <v>10.0000</v>
      </c>
      <c r="L69" s="17" t="s">
        <v>21</v>
      </c>
    </row>
    <row r="70" ht="10.95" customHeight="true" customFormat="true" s="9">
      <c r="A70" s="16">
        <v>45163</v>
      </c>
      <c r="B70" s="17" t="s">
        <v>17</v>
      </c>
      <c r="C70" s="17" t="s">
        <v>18</v>
      </c>
      <c r="D70" s="17" t="s">
        <v>19</v>
      </c>
      <c r="E70" s="17" t="s">
        <v>20</v>
      </c>
      <c r="F70" s="17"/>
      <c r="G70" s="18">
        <v>0</v>
      </c>
      <c r="H70" s="18">
        <v>2269.8600</v>
      </c>
      <c r="I70" s="18">
        <f ca="1">((I69 + G70) - H70)</f>
        <v>0</v>
      </c>
      <c r="J70" s="18">
        <v>-226.9900</v>
      </c>
      <c r="K70" s="19">
        <v>10.0000</v>
      </c>
      <c r="L70" s="17" t="s">
        <v>21</v>
      </c>
    </row>
    <row r="71" ht="10.95" customHeight="true" customFormat="true" s="9">
      <c r="A71" s="16">
        <v>45166</v>
      </c>
      <c r="B71" s="17" t="s">
        <v>17</v>
      </c>
      <c r="C71" s="17" t="s">
        <v>18</v>
      </c>
      <c r="D71" s="17" t="s">
        <v>19</v>
      </c>
      <c r="E71" s="17" t="s">
        <v>20</v>
      </c>
      <c r="F71" s="17"/>
      <c r="G71" s="18">
        <v>0</v>
      </c>
      <c r="H71" s="18">
        <v>2907.6400</v>
      </c>
      <c r="I71" s="18">
        <f ca="1">((I70 + G71) - H71)</f>
        <v>0</v>
      </c>
      <c r="J71" s="18">
        <v>-290.7600</v>
      </c>
      <c r="K71" s="19">
        <v>10.0000</v>
      </c>
      <c r="L71" s="17" t="s">
        <v>21</v>
      </c>
    </row>
    <row r="72" ht="10.95" customHeight="true" customFormat="true" s="9">
      <c r="A72" s="16">
        <v>45166</v>
      </c>
      <c r="B72" s="17" t="s">
        <v>17</v>
      </c>
      <c r="C72" s="17" t="s">
        <v>18</v>
      </c>
      <c r="D72" s="17" t="s">
        <v>22</v>
      </c>
      <c r="E72" s="17" t="s">
        <v>23</v>
      </c>
      <c r="F72" s="17"/>
      <c r="G72" s="18">
        <v>2090.9100</v>
      </c>
      <c r="H72" s="18">
        <v>0</v>
      </c>
      <c r="I72" s="18">
        <f ca="1">((I71 + G72) - H72)</f>
        <v>0</v>
      </c>
      <c r="J72" s="18">
        <v>209.0900</v>
      </c>
      <c r="K72" s="19">
        <v>10.0000</v>
      </c>
      <c r="L72" s="17" t="s">
        <v>21</v>
      </c>
    </row>
    <row r="73" ht="10.95" customHeight="true" customFormat="true" s="9">
      <c r="A73" s="16">
        <v>45166</v>
      </c>
      <c r="B73" s="17" t="s">
        <v>17</v>
      </c>
      <c r="C73" s="17" t="s">
        <v>18</v>
      </c>
      <c r="D73" s="17" t="s">
        <v>19</v>
      </c>
      <c r="E73" s="17" t="s">
        <v>20</v>
      </c>
      <c r="F73" s="17"/>
      <c r="G73" s="18">
        <v>0</v>
      </c>
      <c r="H73" s="18">
        <v>4863.7300</v>
      </c>
      <c r="I73" s="18">
        <f ca="1">((I72 + G73) - H73)</f>
        <v>0</v>
      </c>
      <c r="J73" s="18">
        <v>-486.3700</v>
      </c>
      <c r="K73" s="19">
        <v>10.0000</v>
      </c>
      <c r="L73" s="17" t="s">
        <v>21</v>
      </c>
    </row>
    <row r="74" ht="10.95" customHeight="true" customFormat="true" s="9">
      <c r="A74" s="16">
        <v>45166</v>
      </c>
      <c r="B74" s="17" t="s">
        <v>17</v>
      </c>
      <c r="C74" s="17" t="s">
        <v>18</v>
      </c>
      <c r="D74" s="17" t="s">
        <v>19</v>
      </c>
      <c r="E74" s="17" t="s">
        <v>20</v>
      </c>
      <c r="F74" s="17"/>
      <c r="G74" s="18">
        <v>0</v>
      </c>
      <c r="H74" s="18">
        <v>5846.5500</v>
      </c>
      <c r="I74" s="18">
        <f ca="1">((I73 + G74) - H74)</f>
        <v>0</v>
      </c>
      <c r="J74" s="18">
        <v>-584.6500</v>
      </c>
      <c r="K74" s="19">
        <v>10.0000</v>
      </c>
      <c r="L74" s="17" t="s">
        <v>21</v>
      </c>
    </row>
    <row r="75" ht="10.95" customHeight="true" customFormat="true" s="9">
      <c r="A75" s="16">
        <v>45166</v>
      </c>
      <c r="B75" s="17" t="s">
        <v>17</v>
      </c>
      <c r="C75" s="17" t="s">
        <v>18</v>
      </c>
      <c r="D75" s="17" t="s">
        <v>19</v>
      </c>
      <c r="E75" s="17" t="s">
        <v>24</v>
      </c>
      <c r="F75" s="17"/>
      <c r="G75" s="18">
        <v>0</v>
      </c>
      <c r="H75" s="18">
        <v>227.2700</v>
      </c>
      <c r="I75" s="18">
        <f ca="1">((I74 + G75) - H75)</f>
        <v>0</v>
      </c>
      <c r="J75" s="18">
        <v>-22.7300</v>
      </c>
      <c r="K75" s="19">
        <v>10.0000</v>
      </c>
      <c r="L75" s="17" t="s">
        <v>21</v>
      </c>
    </row>
    <row r="76" ht="10.95" customHeight="true" customFormat="true" s="9">
      <c r="A76" s="16">
        <v>45168</v>
      </c>
      <c r="B76" s="17" t="s">
        <v>17</v>
      </c>
      <c r="C76" s="17" t="s">
        <v>18</v>
      </c>
      <c r="D76" s="17" t="s">
        <v>19</v>
      </c>
      <c r="E76" s="17" t="s">
        <v>20</v>
      </c>
      <c r="F76" s="17"/>
      <c r="G76" s="18">
        <v>0</v>
      </c>
      <c r="H76" s="18">
        <v>2314.4600</v>
      </c>
      <c r="I76" s="18">
        <f ca="1">((I75 + G76) - H76)</f>
        <v>0</v>
      </c>
      <c r="J76" s="18">
        <v>-231.4500</v>
      </c>
      <c r="K76" s="19">
        <v>10.0000</v>
      </c>
      <c r="L76" s="17" t="s">
        <v>21</v>
      </c>
    </row>
    <row r="77" ht="10.95" customHeight="true" customFormat="true" s="9">
      <c r="A77" s="16">
        <v>45169</v>
      </c>
      <c r="B77" s="17" t="s">
        <v>17</v>
      </c>
      <c r="C77" s="17" t="s">
        <v>18</v>
      </c>
      <c r="D77" s="17" t="s">
        <v>19</v>
      </c>
      <c r="E77" s="17" t="s">
        <v>20</v>
      </c>
      <c r="F77" s="17"/>
      <c r="G77" s="18">
        <v>0</v>
      </c>
      <c r="H77" s="18">
        <v>2113.7700</v>
      </c>
      <c r="I77" s="18">
        <f ca="1">((I76 + G77) - H77)</f>
        <v>0</v>
      </c>
      <c r="J77" s="18">
        <v>-211.3800</v>
      </c>
      <c r="K77" s="19">
        <v>10.0000</v>
      </c>
      <c r="L77" s="17" t="s">
        <v>21</v>
      </c>
    </row>
    <row r="78" ht="10.95" customHeight="true" customFormat="true" s="9">
      <c r="A78" s="16">
        <v>45170</v>
      </c>
      <c r="B78" s="17" t="s">
        <v>17</v>
      </c>
      <c r="C78" s="17" t="s">
        <v>18</v>
      </c>
      <c r="D78" s="17" t="s">
        <v>19</v>
      </c>
      <c r="E78" s="17" t="s">
        <v>20</v>
      </c>
      <c r="F78" s="17"/>
      <c r="G78" s="18">
        <v>0</v>
      </c>
      <c r="H78" s="18">
        <v>3062.5900</v>
      </c>
      <c r="I78" s="18">
        <f ca="1">((I77 + G78) - H78)</f>
        <v>0</v>
      </c>
      <c r="J78" s="18">
        <v>-306.2600</v>
      </c>
      <c r="K78" s="19">
        <v>10.0000</v>
      </c>
      <c r="L78" s="17" t="s">
        <v>21</v>
      </c>
    </row>
    <row r="79" ht="10.95" customHeight="true" customFormat="true" s="9">
      <c r="A79" s="16">
        <v>45173</v>
      </c>
      <c r="B79" s="17" t="s">
        <v>17</v>
      </c>
      <c r="C79" s="17" t="s">
        <v>18</v>
      </c>
      <c r="D79" s="17" t="s">
        <v>19</v>
      </c>
      <c r="E79" s="17" t="s">
        <v>20</v>
      </c>
      <c r="F79" s="17"/>
      <c r="G79" s="18">
        <v>0</v>
      </c>
      <c r="H79" s="18">
        <v>7020.4100</v>
      </c>
      <c r="I79" s="18">
        <f ca="1">((I78 + G79) - H79)</f>
        <v>0</v>
      </c>
      <c r="J79" s="18">
        <v>-702.0400</v>
      </c>
      <c r="K79" s="19">
        <v>10.0000</v>
      </c>
      <c r="L79" s="17" t="s">
        <v>21</v>
      </c>
    </row>
    <row r="80" ht="10.95" customHeight="true" customFormat="true" s="9">
      <c r="A80" s="16">
        <v>45173</v>
      </c>
      <c r="B80" s="17" t="s">
        <v>17</v>
      </c>
      <c r="C80" s="17" t="s">
        <v>18</v>
      </c>
      <c r="D80" s="17" t="s">
        <v>19</v>
      </c>
      <c r="E80" s="17" t="s">
        <v>24</v>
      </c>
      <c r="F80" s="17"/>
      <c r="G80" s="18">
        <v>0</v>
      </c>
      <c r="H80" s="18">
        <v>90.9100</v>
      </c>
      <c r="I80" s="18">
        <f ca="1">((I79 + G80) - H80)</f>
        <v>0</v>
      </c>
      <c r="J80" s="18">
        <v>-9.0900</v>
      </c>
      <c r="K80" s="19">
        <v>10.0000</v>
      </c>
      <c r="L80" s="17" t="s">
        <v>21</v>
      </c>
    </row>
    <row r="81" ht="10.95" customHeight="true" customFormat="true" s="9">
      <c r="A81" s="16">
        <v>45173</v>
      </c>
      <c r="B81" s="17" t="s">
        <v>17</v>
      </c>
      <c r="C81" s="17" t="s">
        <v>18</v>
      </c>
      <c r="D81" s="17" t="s">
        <v>22</v>
      </c>
      <c r="E81" s="17" t="s">
        <v>23</v>
      </c>
      <c r="F81" s="17"/>
      <c r="G81" s="18">
        <v>2545.4500</v>
      </c>
      <c r="H81" s="18">
        <v>0</v>
      </c>
      <c r="I81" s="18">
        <f ca="1">((I80 + G81) - H81)</f>
        <v>0</v>
      </c>
      <c r="J81" s="18">
        <v>254.5500</v>
      </c>
      <c r="K81" s="19">
        <v>10.0000</v>
      </c>
      <c r="L81" s="17" t="s">
        <v>21</v>
      </c>
    </row>
    <row r="82" ht="10.95" customHeight="true" customFormat="true" s="9">
      <c r="A82" s="16">
        <v>45173</v>
      </c>
      <c r="B82" s="17" t="s">
        <v>17</v>
      </c>
      <c r="C82" s="17" t="s">
        <v>18</v>
      </c>
      <c r="D82" s="17" t="s">
        <v>19</v>
      </c>
      <c r="E82" s="17" t="s">
        <v>20</v>
      </c>
      <c r="F82" s="17"/>
      <c r="G82" s="18">
        <v>0</v>
      </c>
      <c r="H82" s="18">
        <v>5544.0000</v>
      </c>
      <c r="I82" s="18">
        <f ca="1">((I81 + G82) - H82)</f>
        <v>0</v>
      </c>
      <c r="J82" s="18">
        <v>-554.4000</v>
      </c>
      <c r="K82" s="19">
        <v>10.0000</v>
      </c>
      <c r="L82" s="17" t="s">
        <v>21</v>
      </c>
    </row>
    <row r="83" ht="10.95" customHeight="true" customFormat="true" s="9">
      <c r="A83" s="16">
        <v>45173</v>
      </c>
      <c r="B83" s="17" t="s">
        <v>17</v>
      </c>
      <c r="C83" s="17" t="s">
        <v>18</v>
      </c>
      <c r="D83" s="17" t="s">
        <v>19</v>
      </c>
      <c r="E83" s="17" t="s">
        <v>20</v>
      </c>
      <c r="F83" s="17"/>
      <c r="G83" s="18">
        <v>0</v>
      </c>
      <c r="H83" s="18">
        <v>2885.4100</v>
      </c>
      <c r="I83" s="18">
        <f ca="1">((I82 + G83) - H83)</f>
        <v>0</v>
      </c>
      <c r="J83" s="18">
        <v>-288.5400</v>
      </c>
      <c r="K83" s="19">
        <v>10.0000</v>
      </c>
      <c r="L83" s="17" t="s">
        <v>21</v>
      </c>
    </row>
    <row r="84" ht="10.95" customHeight="true" customFormat="true" s="9">
      <c r="A84" s="16">
        <v>45174</v>
      </c>
      <c r="B84" s="17" t="s">
        <v>17</v>
      </c>
      <c r="C84" s="17" t="s">
        <v>18</v>
      </c>
      <c r="D84" s="17" t="s">
        <v>19</v>
      </c>
      <c r="E84" s="17" t="s">
        <v>20</v>
      </c>
      <c r="F84" s="17"/>
      <c r="G84" s="18">
        <v>0</v>
      </c>
      <c r="H84" s="18">
        <v>12.2700</v>
      </c>
      <c r="I84" s="18">
        <f ca="1">((I83 + G84) - H84)</f>
        <v>0</v>
      </c>
      <c r="J84" s="18">
        <v>-1.2300</v>
      </c>
      <c r="K84" s="19">
        <v>10.0000</v>
      </c>
      <c r="L84" s="17" t="s">
        <v>21</v>
      </c>
    </row>
    <row r="85" ht="10.95" customHeight="true" customFormat="true" s="9">
      <c r="A85" s="16">
        <v>45175</v>
      </c>
      <c r="B85" s="17" t="s">
        <v>17</v>
      </c>
      <c r="C85" s="17" t="s">
        <v>18</v>
      </c>
      <c r="D85" s="17" t="s">
        <v>19</v>
      </c>
      <c r="E85" s="17" t="s">
        <v>20</v>
      </c>
      <c r="F85" s="17"/>
      <c r="G85" s="18">
        <v>0</v>
      </c>
      <c r="H85" s="18">
        <v>2175.5000</v>
      </c>
      <c r="I85" s="18">
        <f ca="1">((I84 + G85) - H85)</f>
        <v>0</v>
      </c>
      <c r="J85" s="18">
        <v>-217.5500</v>
      </c>
      <c r="K85" s="19">
        <v>10.0000</v>
      </c>
      <c r="L85" s="17" t="s">
        <v>21</v>
      </c>
    </row>
    <row r="86" ht="10.95" customHeight="true" customFormat="true" s="9">
      <c r="A86" s="16">
        <v>45176</v>
      </c>
      <c r="B86" s="17" t="s">
        <v>17</v>
      </c>
      <c r="C86" s="17" t="s">
        <v>18</v>
      </c>
      <c r="D86" s="17" t="s">
        <v>19</v>
      </c>
      <c r="E86" s="17" t="s">
        <v>20</v>
      </c>
      <c r="F86" s="17"/>
      <c r="G86" s="18">
        <v>0</v>
      </c>
      <c r="H86" s="18">
        <v>2108.2300</v>
      </c>
      <c r="I86" s="18">
        <f ca="1">((I85 + G86) - H86)</f>
        <v>0</v>
      </c>
      <c r="J86" s="18">
        <v>-210.8200</v>
      </c>
      <c r="K86" s="19">
        <v>10.0000</v>
      </c>
      <c r="L86" s="17" t="s">
        <v>21</v>
      </c>
    </row>
    <row r="87" ht="10.95" customHeight="true" customFormat="true" s="9">
      <c r="A87" s="16">
        <v>45177</v>
      </c>
      <c r="B87" s="17" t="s">
        <v>17</v>
      </c>
      <c r="C87" s="17" t="s">
        <v>18</v>
      </c>
      <c r="D87" s="17" t="s">
        <v>19</v>
      </c>
      <c r="E87" s="17" t="s">
        <v>20</v>
      </c>
      <c r="F87" s="17"/>
      <c r="G87" s="18">
        <v>0</v>
      </c>
      <c r="H87" s="18">
        <v>2570.0500</v>
      </c>
      <c r="I87" s="18">
        <f ca="1">((I86 + G87) - H87)</f>
        <v>0</v>
      </c>
      <c r="J87" s="18">
        <v>-257.0000</v>
      </c>
      <c r="K87" s="19">
        <v>10.0000</v>
      </c>
      <c r="L87" s="17" t="s">
        <v>21</v>
      </c>
    </row>
    <row r="88" ht="10.95" customHeight="true" customFormat="true" s="9">
      <c r="A88" s="16">
        <v>45180</v>
      </c>
      <c r="B88" s="17" t="s">
        <v>17</v>
      </c>
      <c r="C88" s="17" t="s">
        <v>18</v>
      </c>
      <c r="D88" s="17" t="s">
        <v>22</v>
      </c>
      <c r="E88" s="17" t="s">
        <v>23</v>
      </c>
      <c r="F88" s="17"/>
      <c r="G88" s="18">
        <v>1681.8200</v>
      </c>
      <c r="H88" s="18">
        <v>0</v>
      </c>
      <c r="I88" s="18">
        <f ca="1">((I87 + G88) - H88)</f>
        <v>0</v>
      </c>
      <c r="J88" s="18">
        <v>168.1800</v>
      </c>
      <c r="K88" s="19">
        <v>10.0000</v>
      </c>
      <c r="L88" s="17" t="s">
        <v>21</v>
      </c>
    </row>
    <row r="89" ht="10.95" customHeight="true" customFormat="true" s="9">
      <c r="A89" s="16">
        <v>45180</v>
      </c>
      <c r="B89" s="17" t="s">
        <v>17</v>
      </c>
      <c r="C89" s="17" t="s">
        <v>18</v>
      </c>
      <c r="D89" s="17" t="s">
        <v>19</v>
      </c>
      <c r="E89" s="17" t="s">
        <v>20</v>
      </c>
      <c r="F89" s="17"/>
      <c r="G89" s="18">
        <v>0</v>
      </c>
      <c r="H89" s="18">
        <v>2752.1400</v>
      </c>
      <c r="I89" s="18">
        <f ca="1">((I88 + G89) - H89)</f>
        <v>0</v>
      </c>
      <c r="J89" s="18">
        <v>-275.2100</v>
      </c>
      <c r="K89" s="19">
        <v>10.0000</v>
      </c>
      <c r="L89" s="17" t="s">
        <v>21</v>
      </c>
    </row>
    <row r="90" ht="10.95" customHeight="true" customFormat="true" s="9">
      <c r="A90" s="16">
        <v>45180</v>
      </c>
      <c r="B90" s="17" t="s">
        <v>17</v>
      </c>
      <c r="C90" s="17" t="s">
        <v>18</v>
      </c>
      <c r="D90" s="17" t="s">
        <v>19</v>
      </c>
      <c r="E90" s="17" t="s">
        <v>20</v>
      </c>
      <c r="F90" s="17"/>
      <c r="G90" s="18">
        <v>0</v>
      </c>
      <c r="H90" s="18">
        <v>5836.1800</v>
      </c>
      <c r="I90" s="18">
        <f ca="1">((I89 + G90) - H90)</f>
        <v>0</v>
      </c>
      <c r="J90" s="18">
        <v>-583.6200</v>
      </c>
      <c r="K90" s="19">
        <v>10.0000</v>
      </c>
      <c r="L90" s="17" t="s">
        <v>21</v>
      </c>
    </row>
    <row r="91" ht="10.95" customHeight="true" customFormat="true" s="9">
      <c r="A91" s="16">
        <v>45180</v>
      </c>
      <c r="B91" s="17" t="s">
        <v>17</v>
      </c>
      <c r="C91" s="17" t="s">
        <v>18</v>
      </c>
      <c r="D91" s="17" t="s">
        <v>19</v>
      </c>
      <c r="E91" s="17" t="s">
        <v>20</v>
      </c>
      <c r="F91" s="17"/>
      <c r="G91" s="18">
        <v>0</v>
      </c>
      <c r="H91" s="18">
        <v>5107.4500</v>
      </c>
      <c r="I91" s="18">
        <f ca="1">((I90 + G91) - H91)</f>
        <v>0</v>
      </c>
      <c r="J91" s="18">
        <v>-510.7500</v>
      </c>
      <c r="K91" s="19">
        <v>10.0000</v>
      </c>
      <c r="L91" s="17" t="s">
        <v>21</v>
      </c>
    </row>
    <row r="92" ht="10.95" customHeight="true" customFormat="true" s="9">
      <c r="A92" s="16">
        <v>45182</v>
      </c>
      <c r="B92" s="17" t="s">
        <v>17</v>
      </c>
      <c r="C92" s="17" t="s">
        <v>18</v>
      </c>
      <c r="D92" s="17" t="s">
        <v>19</v>
      </c>
      <c r="E92" s="17" t="s">
        <v>20</v>
      </c>
      <c r="F92" s="17"/>
      <c r="G92" s="18">
        <v>0</v>
      </c>
      <c r="H92" s="18">
        <v>2385.2300</v>
      </c>
      <c r="I92" s="18">
        <f ca="1">((I91 + G92) - H92)</f>
        <v>0</v>
      </c>
      <c r="J92" s="18">
        <v>-238.5200</v>
      </c>
      <c r="K92" s="19">
        <v>10.0000</v>
      </c>
      <c r="L92" s="17" t="s">
        <v>21</v>
      </c>
    </row>
    <row r="93" ht="10.95" customHeight="true" customFormat="true" s="9">
      <c r="A93" s="16">
        <v>45183</v>
      </c>
      <c r="B93" s="17" t="s">
        <v>17</v>
      </c>
      <c r="C93" s="17" t="s">
        <v>18</v>
      </c>
      <c r="D93" s="17" t="s">
        <v>19</v>
      </c>
      <c r="E93" s="17" t="s">
        <v>24</v>
      </c>
      <c r="F93" s="17"/>
      <c r="G93" s="18">
        <v>0</v>
      </c>
      <c r="H93" s="18">
        <v>181.7700</v>
      </c>
      <c r="I93" s="18">
        <f ca="1">((I92 + G93) - H93)</f>
        <v>0</v>
      </c>
      <c r="J93" s="18">
        <v>-18.1800</v>
      </c>
      <c r="K93" s="19">
        <v>10.0000</v>
      </c>
      <c r="L93" s="17" t="s">
        <v>21</v>
      </c>
    </row>
    <row r="94" ht="10.95" customHeight="true" customFormat="true" s="9">
      <c r="A94" s="16">
        <v>45183</v>
      </c>
      <c r="B94" s="17" t="s">
        <v>17</v>
      </c>
      <c r="C94" s="17" t="s">
        <v>18</v>
      </c>
      <c r="D94" s="17" t="s">
        <v>19</v>
      </c>
      <c r="E94" s="17" t="s">
        <v>20</v>
      </c>
      <c r="F94" s="17"/>
      <c r="G94" s="18">
        <v>0</v>
      </c>
      <c r="H94" s="18">
        <v>2382.9500</v>
      </c>
      <c r="I94" s="18">
        <f ca="1">((I93 + G94) - H94)</f>
        <v>0</v>
      </c>
      <c r="J94" s="18">
        <v>-238.3000</v>
      </c>
      <c r="K94" s="19">
        <v>10.0000</v>
      </c>
      <c r="L94" s="17" t="s">
        <v>21</v>
      </c>
    </row>
    <row r="95" ht="10.95" customHeight="true" customFormat="true" s="9">
      <c r="A95" s="16">
        <v>45184</v>
      </c>
      <c r="B95" s="17" t="s">
        <v>17</v>
      </c>
      <c r="C95" s="17" t="s">
        <v>18</v>
      </c>
      <c r="D95" s="17" t="s">
        <v>19</v>
      </c>
      <c r="E95" s="17" t="s">
        <v>20</v>
      </c>
      <c r="F95" s="17"/>
      <c r="G95" s="18">
        <v>0</v>
      </c>
      <c r="H95" s="18">
        <v>2340.0900</v>
      </c>
      <c r="I95" s="18">
        <f ca="1">((I94 + G95) - H95)</f>
        <v>0</v>
      </c>
      <c r="J95" s="18">
        <v>-234.0100</v>
      </c>
      <c r="K95" s="19">
        <v>10.0000</v>
      </c>
      <c r="L95" s="17" t="s">
        <v>21</v>
      </c>
    </row>
    <row r="96" ht="10.95" customHeight="true" customFormat="true" s="9">
      <c r="A96" s="16">
        <v>45187</v>
      </c>
      <c r="B96" s="17" t="s">
        <v>17</v>
      </c>
      <c r="C96" s="17" t="s">
        <v>18</v>
      </c>
      <c r="D96" s="17" t="s">
        <v>19</v>
      </c>
      <c r="E96" s="17" t="s">
        <v>24</v>
      </c>
      <c r="F96" s="17"/>
      <c r="G96" s="18">
        <v>0</v>
      </c>
      <c r="H96" s="18">
        <v>227.2700</v>
      </c>
      <c r="I96" s="18">
        <f ca="1">((I95 + G96) - H96)</f>
        <v>0</v>
      </c>
      <c r="J96" s="18">
        <v>-22.7300</v>
      </c>
      <c r="K96" s="19">
        <v>10.0000</v>
      </c>
      <c r="L96" s="17" t="s">
        <v>21</v>
      </c>
    </row>
    <row r="97" ht="10.95" customHeight="true" customFormat="true" s="9">
      <c r="A97" s="16">
        <v>45187</v>
      </c>
      <c r="B97" s="17" t="s">
        <v>17</v>
      </c>
      <c r="C97" s="17" t="s">
        <v>18</v>
      </c>
      <c r="D97" s="17" t="s">
        <v>19</v>
      </c>
      <c r="E97" s="17" t="s">
        <v>20</v>
      </c>
      <c r="F97" s="17"/>
      <c r="G97" s="18">
        <v>0</v>
      </c>
      <c r="H97" s="18">
        <v>5688.3600</v>
      </c>
      <c r="I97" s="18">
        <f ca="1">((I96 + G97) - H97)</f>
        <v>0</v>
      </c>
      <c r="J97" s="18">
        <v>-568.8400</v>
      </c>
      <c r="K97" s="19">
        <v>10.0000</v>
      </c>
      <c r="L97" s="17" t="s">
        <v>21</v>
      </c>
    </row>
    <row r="98" ht="10.95" customHeight="true" customFormat="true" s="9">
      <c r="A98" s="16">
        <v>45187</v>
      </c>
      <c r="B98" s="17" t="s">
        <v>17</v>
      </c>
      <c r="C98" s="17" t="s">
        <v>18</v>
      </c>
      <c r="D98" s="17" t="s">
        <v>22</v>
      </c>
      <c r="E98" s="17" t="s">
        <v>23</v>
      </c>
      <c r="F98" s="17"/>
      <c r="G98" s="18">
        <v>1727.2700</v>
      </c>
      <c r="H98" s="18">
        <v>0</v>
      </c>
      <c r="I98" s="18">
        <f ca="1">((I97 + G98) - H98)</f>
        <v>0</v>
      </c>
      <c r="J98" s="18">
        <v>172.7300</v>
      </c>
      <c r="K98" s="19">
        <v>10.0000</v>
      </c>
      <c r="L98" s="17" t="s">
        <v>21</v>
      </c>
    </row>
    <row r="99" ht="10.95" customHeight="true" customFormat="true" s="9">
      <c r="A99" s="16">
        <v>45187</v>
      </c>
      <c r="B99" s="17" t="s">
        <v>17</v>
      </c>
      <c r="C99" s="17" t="s">
        <v>18</v>
      </c>
      <c r="D99" s="17" t="s">
        <v>19</v>
      </c>
      <c r="E99" s="17" t="s">
        <v>20</v>
      </c>
      <c r="F99" s="17"/>
      <c r="G99" s="18">
        <v>0</v>
      </c>
      <c r="H99" s="18">
        <v>4718.8900</v>
      </c>
      <c r="I99" s="18">
        <f ca="1">((I98 + G99) - H99)</f>
        <v>0</v>
      </c>
      <c r="J99" s="18">
        <v>-471.8900</v>
      </c>
      <c r="K99" s="19">
        <v>10.0000</v>
      </c>
      <c r="L99" s="17" t="s">
        <v>21</v>
      </c>
    </row>
    <row r="100" ht="10.95" customHeight="true" customFormat="true" s="9">
      <c r="A100" s="16">
        <v>45187</v>
      </c>
      <c r="B100" s="17" t="s">
        <v>17</v>
      </c>
      <c r="C100" s="17" t="s">
        <v>18</v>
      </c>
      <c r="D100" s="17" t="s">
        <v>19</v>
      </c>
      <c r="E100" s="17" t="s">
        <v>20</v>
      </c>
      <c r="F100" s="17"/>
      <c r="G100" s="18">
        <v>0</v>
      </c>
      <c r="H100" s="18">
        <v>2816.1600</v>
      </c>
      <c r="I100" s="18">
        <f ca="1">((I99 + G100) - H100)</f>
        <v>0</v>
      </c>
      <c r="J100" s="18">
        <v>-281.6200</v>
      </c>
      <c r="K100" s="19">
        <v>10.0000</v>
      </c>
      <c r="L100" s="17" t="s">
        <v>21</v>
      </c>
    </row>
    <row r="101" ht="10.95" customHeight="true" customFormat="true" s="9">
      <c r="A101" s="16">
        <v>45189</v>
      </c>
      <c r="B101" s="17" t="s">
        <v>17</v>
      </c>
      <c r="C101" s="17" t="s">
        <v>18</v>
      </c>
      <c r="D101" s="17" t="s">
        <v>19</v>
      </c>
      <c r="E101" s="17" t="s">
        <v>24</v>
      </c>
      <c r="F101" s="17"/>
      <c r="G101" s="18">
        <v>0</v>
      </c>
      <c r="H101" s="18">
        <v>313.5900</v>
      </c>
      <c r="I101" s="18">
        <f ca="1">((I100 + G101) - H101)</f>
        <v>0</v>
      </c>
      <c r="J101" s="18">
        <v>-31.3600</v>
      </c>
      <c r="K101" s="19">
        <v>10.0000</v>
      </c>
      <c r="L101" s="17" t="s">
        <v>21</v>
      </c>
    </row>
    <row r="102" ht="10.95" customHeight="true" customFormat="true" s="9">
      <c r="A102" s="16">
        <v>45189</v>
      </c>
      <c r="B102" s="17" t="s">
        <v>17</v>
      </c>
      <c r="C102" s="17" t="s">
        <v>18</v>
      </c>
      <c r="D102" s="17" t="s">
        <v>19</v>
      </c>
      <c r="E102" s="17" t="s">
        <v>20</v>
      </c>
      <c r="F102" s="17"/>
      <c r="G102" s="18">
        <v>0</v>
      </c>
      <c r="H102" s="18">
        <v>2058.1600</v>
      </c>
      <c r="I102" s="18">
        <f ca="1">((I101 + G102) - H102)</f>
        <v>0</v>
      </c>
      <c r="J102" s="18">
        <v>-205.8200</v>
      </c>
      <c r="K102" s="19">
        <v>10.0000</v>
      </c>
      <c r="L102" s="17" t="s">
        <v>21</v>
      </c>
    </row>
    <row r="103" ht="10.95" customHeight="true" customFormat="true" s="9">
      <c r="A103" s="16">
        <v>45190</v>
      </c>
      <c r="B103" s="17" t="s">
        <v>17</v>
      </c>
      <c r="C103" s="17" t="s">
        <v>18</v>
      </c>
      <c r="D103" s="17" t="s">
        <v>19</v>
      </c>
      <c r="E103" s="17" t="s">
        <v>20</v>
      </c>
      <c r="F103" s="17"/>
      <c r="G103" s="18">
        <v>0</v>
      </c>
      <c r="H103" s="18">
        <v>1924.0000</v>
      </c>
      <c r="I103" s="18">
        <f ca="1">((I102 + G103) - H103)</f>
        <v>0</v>
      </c>
      <c r="J103" s="18">
        <v>-192.4000</v>
      </c>
      <c r="K103" s="19">
        <v>10.0000</v>
      </c>
      <c r="L103" s="17" t="s">
        <v>21</v>
      </c>
    </row>
    <row r="104" ht="10.95" customHeight="true" customFormat="true" s="9">
      <c r="A104" s="16">
        <v>45191</v>
      </c>
      <c r="B104" s="17" t="s">
        <v>17</v>
      </c>
      <c r="C104" s="17" t="s">
        <v>18</v>
      </c>
      <c r="D104" s="17" t="s">
        <v>19</v>
      </c>
      <c r="E104" s="17" t="s">
        <v>20</v>
      </c>
      <c r="F104" s="17"/>
      <c r="G104" s="18">
        <v>0</v>
      </c>
      <c r="H104" s="18">
        <v>2269.1400</v>
      </c>
      <c r="I104" s="18">
        <f ca="1">((I103 + G104) - H104)</f>
        <v>0</v>
      </c>
      <c r="J104" s="18">
        <v>-226.9100</v>
      </c>
      <c r="K104" s="19">
        <v>10.0000</v>
      </c>
      <c r="L104" s="17" t="s">
        <v>21</v>
      </c>
    </row>
    <row r="105" ht="10.95" customHeight="true" customFormat="true" s="9">
      <c r="A105" s="16">
        <v>45194</v>
      </c>
      <c r="B105" s="17" t="s">
        <v>17</v>
      </c>
      <c r="C105" s="17" t="s">
        <v>18</v>
      </c>
      <c r="D105" s="17" t="s">
        <v>22</v>
      </c>
      <c r="E105" s="17" t="s">
        <v>23</v>
      </c>
      <c r="F105" s="17"/>
      <c r="G105" s="18">
        <v>2283.1800</v>
      </c>
      <c r="H105" s="18">
        <v>0</v>
      </c>
      <c r="I105" s="18">
        <f ca="1">((I104 + G105) - H105)</f>
        <v>0</v>
      </c>
      <c r="J105" s="18">
        <v>228.3200</v>
      </c>
      <c r="K105" s="19">
        <v>10.0000</v>
      </c>
      <c r="L105" s="17" t="s">
        <v>21</v>
      </c>
    </row>
    <row r="106" ht="10.95" customHeight="true" customFormat="true" s="9">
      <c r="A106" s="16">
        <v>45194</v>
      </c>
      <c r="B106" s="17" t="s">
        <v>17</v>
      </c>
      <c r="C106" s="17" t="s">
        <v>18</v>
      </c>
      <c r="D106" s="17" t="s">
        <v>19</v>
      </c>
      <c r="E106" s="17" t="s">
        <v>20</v>
      </c>
      <c r="F106" s="17"/>
      <c r="G106" s="18">
        <v>0</v>
      </c>
      <c r="H106" s="18">
        <v>3243.7700</v>
      </c>
      <c r="I106" s="18">
        <f ca="1">((I105 + G106) - H106)</f>
        <v>0</v>
      </c>
      <c r="J106" s="18">
        <v>-324.3800</v>
      </c>
      <c r="K106" s="19">
        <v>10.0000</v>
      </c>
      <c r="L106" s="17" t="s">
        <v>21</v>
      </c>
    </row>
    <row r="107" ht="10.95" customHeight="true" customFormat="true" s="9">
      <c r="A107" s="16">
        <v>45194</v>
      </c>
      <c r="B107" s="17" t="s">
        <v>17</v>
      </c>
      <c r="C107" s="17" t="s">
        <v>18</v>
      </c>
      <c r="D107" s="17" t="s">
        <v>19</v>
      </c>
      <c r="E107" s="17" t="s">
        <v>20</v>
      </c>
      <c r="F107" s="17"/>
      <c r="G107" s="18">
        <v>0</v>
      </c>
      <c r="H107" s="18">
        <v>5404.0900</v>
      </c>
      <c r="I107" s="18">
        <f ca="1">((I106 + G107) - H107)</f>
        <v>0</v>
      </c>
      <c r="J107" s="18">
        <v>-540.4100</v>
      </c>
      <c r="K107" s="19">
        <v>10.0000</v>
      </c>
      <c r="L107" s="17" t="s">
        <v>21</v>
      </c>
    </row>
    <row r="108" ht="10.95" customHeight="true" customFormat="true" s="9">
      <c r="A108" s="16">
        <v>45194</v>
      </c>
      <c r="B108" s="17" t="s">
        <v>17</v>
      </c>
      <c r="C108" s="17" t="s">
        <v>18</v>
      </c>
      <c r="D108" s="17" t="s">
        <v>19</v>
      </c>
      <c r="E108" s="17" t="s">
        <v>20</v>
      </c>
      <c r="F108" s="17"/>
      <c r="G108" s="18">
        <v>0</v>
      </c>
      <c r="H108" s="18">
        <v>5855.2700</v>
      </c>
      <c r="I108" s="18">
        <f ca="1">((I107 + G108) - H108)</f>
        <v>0</v>
      </c>
      <c r="J108" s="18">
        <v>-585.5300</v>
      </c>
      <c r="K108" s="19">
        <v>10.0000</v>
      </c>
      <c r="L108" s="17" t="s">
        <v>21</v>
      </c>
    </row>
    <row r="109" ht="10.95" customHeight="true" customFormat="true" s="9">
      <c r="A109" s="16">
        <v>45196</v>
      </c>
      <c r="B109" s="17" t="s">
        <v>17</v>
      </c>
      <c r="C109" s="17" t="s">
        <v>18</v>
      </c>
      <c r="D109" s="17" t="s">
        <v>19</v>
      </c>
      <c r="E109" s="17" t="s">
        <v>20</v>
      </c>
      <c r="F109" s="17"/>
      <c r="G109" s="18">
        <v>0</v>
      </c>
      <c r="H109" s="18">
        <v>2262.1400</v>
      </c>
      <c r="I109" s="18">
        <f ca="1">((I108 + G109) - H109)</f>
        <v>0</v>
      </c>
      <c r="J109" s="18">
        <v>-226.2100</v>
      </c>
      <c r="K109" s="19">
        <v>10.0000</v>
      </c>
      <c r="L109" s="17" t="s">
        <v>21</v>
      </c>
    </row>
    <row r="110" ht="10.95" customHeight="true" customFormat="true" s="9">
      <c r="A110" s="16">
        <v>45197</v>
      </c>
      <c r="B110" s="17" t="s">
        <v>17</v>
      </c>
      <c r="C110" s="17" t="s">
        <v>18</v>
      </c>
      <c r="D110" s="17" t="s">
        <v>19</v>
      </c>
      <c r="E110" s="17" t="s">
        <v>20</v>
      </c>
      <c r="F110" s="17"/>
      <c r="G110" s="18">
        <v>0</v>
      </c>
      <c r="H110" s="18">
        <v>2252.5500</v>
      </c>
      <c r="I110" s="18">
        <f ca="1">((I109 + G110) - H110)</f>
        <v>0</v>
      </c>
      <c r="J110" s="18">
        <v>-225.2500</v>
      </c>
      <c r="K110" s="19">
        <v>10.0000</v>
      </c>
      <c r="L110" s="17" t="s">
        <v>21</v>
      </c>
    </row>
    <row r="111" ht="10.95" customHeight="true" customFormat="true" s="9">
      <c r="A111" s="16">
        <v>45198</v>
      </c>
      <c r="B111" s="17" t="s">
        <v>17</v>
      </c>
      <c r="C111" s="17" t="s">
        <v>18</v>
      </c>
      <c r="D111" s="17" t="s">
        <v>19</v>
      </c>
      <c r="E111" s="17" t="s">
        <v>20</v>
      </c>
      <c r="F111" s="17"/>
      <c r="G111" s="18">
        <v>0</v>
      </c>
      <c r="H111" s="18">
        <v>2589.4100</v>
      </c>
      <c r="I111" s="18">
        <f ca="1">((I110 + G111) - H111)</f>
        <v>0</v>
      </c>
      <c r="J111" s="18">
        <v>-258.9400</v>
      </c>
      <c r="K111" s="19">
        <v>10.0000</v>
      </c>
      <c r="L111" s="17" t="s">
        <v>21</v>
      </c>
    </row>
    <row r="112" ht="10.95" customHeight="true" customFormat="true" s="9">
      <c r="A112" s="16">
        <v>45199</v>
      </c>
      <c r="B112" s="17" t="s">
        <v>17</v>
      </c>
      <c r="C112" s="17" t="s">
        <v>18</v>
      </c>
      <c r="D112" s="17" t="s">
        <v>25</v>
      </c>
      <c r="E112" s="17" t="s">
        <v>26</v>
      </c>
      <c r="F112" s="17" t="s">
        <v>27</v>
      </c>
      <c r="G112" s="18">
        <v>0</v>
      </c>
      <c r="H112" s="18">
        <v>1638.0500</v>
      </c>
      <c r="I112" s="18">
        <f ca="1">((I111 + G112) - H112)</f>
        <v>0</v>
      </c>
      <c r="J112" s="18">
        <v>0</v>
      </c>
      <c r="K112" s="19">
        <v>0</v>
      </c>
      <c r="L112" s="17" t="s">
        <v>28</v>
      </c>
    </row>
    <row r="113" ht="10.95" customHeight="true" customFormat="true" s="9">
      <c r="A113" s="16">
        <v>45199</v>
      </c>
      <c r="B113" s="17" t="s">
        <v>17</v>
      </c>
      <c r="C113" s="17" t="s">
        <v>18</v>
      </c>
      <c r="D113" s="17" t="s">
        <v>25</v>
      </c>
      <c r="E113" s="17" t="s">
        <v>29</v>
      </c>
      <c r="F113" s="17" t="s">
        <v>27</v>
      </c>
      <c r="G113" s="18">
        <v>0</v>
      </c>
      <c r="H113" s="18">
        <v>7208.5500</v>
      </c>
      <c r="I113" s="18">
        <f ca="1">((I112 + G113) - H113)</f>
        <v>0</v>
      </c>
      <c r="J113" s="18">
        <v>-720.8600</v>
      </c>
      <c r="K113" s="19">
        <v>10.0000</v>
      </c>
      <c r="L113" s="17" t="s">
        <v>21</v>
      </c>
    </row>
    <row r="114" ht="10.95" customHeight="true" customFormat="true" s="9">
      <c r="A114" s="16">
        <v>45201</v>
      </c>
      <c r="B114" s="17" t="s">
        <v>17</v>
      </c>
      <c r="C114" s="17" t="s">
        <v>18</v>
      </c>
      <c r="D114" s="17" t="s">
        <v>19</v>
      </c>
      <c r="E114" s="17" t="s">
        <v>20</v>
      </c>
      <c r="F114" s="17"/>
      <c r="G114" s="18">
        <v>0</v>
      </c>
      <c r="H114" s="18">
        <v>4070.2300</v>
      </c>
      <c r="I114" s="18">
        <f ca="1">((I113 + G114) - H114)</f>
        <v>0</v>
      </c>
      <c r="J114" s="18">
        <v>-407.0200</v>
      </c>
      <c r="K114" s="19">
        <v>10.0000</v>
      </c>
      <c r="L114" s="17" t="s">
        <v>21</v>
      </c>
    </row>
    <row r="115" ht="10.95" customHeight="true" customFormat="true" s="9">
      <c r="A115" s="16">
        <v>45201</v>
      </c>
      <c r="B115" s="17" t="s">
        <v>17</v>
      </c>
      <c r="C115" s="17" t="s">
        <v>18</v>
      </c>
      <c r="D115" s="17" t="s">
        <v>19</v>
      </c>
      <c r="E115" s="17" t="s">
        <v>20</v>
      </c>
      <c r="F115" s="17"/>
      <c r="G115" s="18">
        <v>0</v>
      </c>
      <c r="H115" s="18">
        <v>3062.5000</v>
      </c>
      <c r="I115" s="18">
        <f ca="1">((I114 + G115) - H115)</f>
        <v>0</v>
      </c>
      <c r="J115" s="18">
        <v>-306.2500</v>
      </c>
      <c r="K115" s="19">
        <v>10.0000</v>
      </c>
      <c r="L115" s="17" t="s">
        <v>21</v>
      </c>
    </row>
    <row r="116" ht="10.95" customHeight="true" customFormat="true" s="9">
      <c r="A116" s="16">
        <v>45201</v>
      </c>
      <c r="B116" s="17" t="s">
        <v>17</v>
      </c>
      <c r="C116" s="17" t="s">
        <v>18</v>
      </c>
      <c r="D116" s="17" t="s">
        <v>19</v>
      </c>
      <c r="E116" s="17" t="s">
        <v>20</v>
      </c>
      <c r="F116" s="17"/>
      <c r="G116" s="18">
        <v>0</v>
      </c>
      <c r="H116" s="18">
        <v>5004.5000</v>
      </c>
      <c r="I116" s="18">
        <f ca="1">((I115 + G116) - H116)</f>
        <v>0</v>
      </c>
      <c r="J116" s="18">
        <v>-500.4500</v>
      </c>
      <c r="K116" s="19">
        <v>10.0000</v>
      </c>
      <c r="L116" s="17" t="s">
        <v>21</v>
      </c>
    </row>
    <row r="117" ht="10.95" customHeight="true" customFormat="true" s="9">
      <c r="A117" s="16">
        <v>45201</v>
      </c>
      <c r="B117" s="17" t="s">
        <v>17</v>
      </c>
      <c r="C117" s="17" t="s">
        <v>18</v>
      </c>
      <c r="D117" s="17" t="s">
        <v>22</v>
      </c>
      <c r="E117" s="17" t="s">
        <v>23</v>
      </c>
      <c r="F117" s="17"/>
      <c r="G117" s="18">
        <v>1272.7300</v>
      </c>
      <c r="H117" s="18">
        <v>0</v>
      </c>
      <c r="I117" s="18">
        <f ca="1">((I116 + G117) - H117)</f>
        <v>0</v>
      </c>
      <c r="J117" s="18">
        <v>127.2700</v>
      </c>
      <c r="K117" s="19">
        <v>10.0000</v>
      </c>
      <c r="L117" s="17" t="s">
        <v>21</v>
      </c>
    </row>
    <row r="118" ht="10.95" customHeight="true" customFormat="true" s="9">
      <c r="A118" s="16">
        <v>45203</v>
      </c>
      <c r="B118" s="17" t="s">
        <v>17</v>
      </c>
      <c r="C118" s="17" t="s">
        <v>18</v>
      </c>
      <c r="D118" s="17" t="s">
        <v>19</v>
      </c>
      <c r="E118" s="17" t="s">
        <v>24</v>
      </c>
      <c r="F118" s="17"/>
      <c r="G118" s="18">
        <v>0</v>
      </c>
      <c r="H118" s="18">
        <v>200.0900</v>
      </c>
      <c r="I118" s="18">
        <f ca="1">((I117 + G118) - H118)</f>
        <v>0</v>
      </c>
      <c r="J118" s="18">
        <v>-20.0100</v>
      </c>
      <c r="K118" s="19">
        <v>10.0000</v>
      </c>
      <c r="L118" s="17" t="s">
        <v>21</v>
      </c>
    </row>
    <row r="119" ht="10.95" customHeight="true" customFormat="true" s="9">
      <c r="A119" s="16">
        <v>45203</v>
      </c>
      <c r="B119" s="17" t="s">
        <v>17</v>
      </c>
      <c r="C119" s="17" t="s">
        <v>18</v>
      </c>
      <c r="D119" s="17" t="s">
        <v>19</v>
      </c>
      <c r="E119" s="17" t="s">
        <v>20</v>
      </c>
      <c r="F119" s="17"/>
      <c r="G119" s="18">
        <v>0</v>
      </c>
      <c r="H119" s="18">
        <v>2183.3200</v>
      </c>
      <c r="I119" s="18">
        <f ca="1">((I118 + G119) - H119)</f>
        <v>0</v>
      </c>
      <c r="J119" s="18">
        <v>-218.3300</v>
      </c>
      <c r="K119" s="19">
        <v>10.0000</v>
      </c>
      <c r="L119" s="17" t="s">
        <v>21</v>
      </c>
    </row>
    <row r="120" ht="10.95" customHeight="true" customFormat="true" s="9">
      <c r="A120" s="16">
        <v>45204</v>
      </c>
      <c r="B120" s="17" t="s">
        <v>17</v>
      </c>
      <c r="C120" s="17" t="s">
        <v>18</v>
      </c>
      <c r="D120" s="17" t="s">
        <v>19</v>
      </c>
      <c r="E120" s="17" t="s">
        <v>20</v>
      </c>
      <c r="F120" s="17"/>
      <c r="G120" s="18">
        <v>0</v>
      </c>
      <c r="H120" s="18">
        <v>2231.7700</v>
      </c>
      <c r="I120" s="18">
        <f ca="1">((I119 + G120) - H120)</f>
        <v>0</v>
      </c>
      <c r="J120" s="18">
        <v>-223.1800</v>
      </c>
      <c r="K120" s="19">
        <v>10.0000</v>
      </c>
      <c r="L120" s="17" t="s">
        <v>21</v>
      </c>
    </row>
    <row r="121" ht="10.95" customHeight="true" customFormat="true" s="9">
      <c r="A121" s="16">
        <v>45205</v>
      </c>
      <c r="B121" s="17" t="s">
        <v>17</v>
      </c>
      <c r="C121" s="17" t="s">
        <v>18</v>
      </c>
      <c r="D121" s="17" t="s">
        <v>19</v>
      </c>
      <c r="E121" s="17" t="s">
        <v>20</v>
      </c>
      <c r="F121" s="17"/>
      <c r="G121" s="18">
        <v>0</v>
      </c>
      <c r="H121" s="18">
        <v>2321.7300</v>
      </c>
      <c r="I121" s="18">
        <f ca="1">((I120 + G121) - H121)</f>
        <v>0</v>
      </c>
      <c r="J121" s="18">
        <v>-232.1700</v>
      </c>
      <c r="K121" s="19">
        <v>10.0000</v>
      </c>
      <c r="L121" s="17" t="s">
        <v>21</v>
      </c>
    </row>
    <row r="122" ht="10.95" customHeight="true" customFormat="true" s="9">
      <c r="A122" s="16">
        <v>45208</v>
      </c>
      <c r="B122" s="17" t="s">
        <v>17</v>
      </c>
      <c r="C122" s="17" t="s">
        <v>18</v>
      </c>
      <c r="D122" s="17" t="s">
        <v>19</v>
      </c>
      <c r="E122" s="17" t="s">
        <v>20</v>
      </c>
      <c r="F122" s="17"/>
      <c r="G122" s="18">
        <v>0</v>
      </c>
      <c r="H122" s="18">
        <v>5054.2700</v>
      </c>
      <c r="I122" s="18">
        <f ca="1">((I121 + G122) - H122)</f>
        <v>0</v>
      </c>
      <c r="J122" s="18">
        <v>-505.4300</v>
      </c>
      <c r="K122" s="19">
        <v>10.0000</v>
      </c>
      <c r="L122" s="17" t="s">
        <v>21</v>
      </c>
    </row>
    <row r="123" ht="10.95" customHeight="true" customFormat="true" s="9">
      <c r="A123" s="16">
        <v>45208</v>
      </c>
      <c r="B123" s="17" t="s">
        <v>17</v>
      </c>
      <c r="C123" s="17" t="s">
        <v>18</v>
      </c>
      <c r="D123" s="17" t="s">
        <v>19</v>
      </c>
      <c r="E123" s="17" t="s">
        <v>20</v>
      </c>
      <c r="F123" s="17"/>
      <c r="G123" s="18">
        <v>0</v>
      </c>
      <c r="H123" s="18">
        <v>2876.5000</v>
      </c>
      <c r="I123" s="18">
        <f ca="1">((I122 + G123) - H123)</f>
        <v>0</v>
      </c>
      <c r="J123" s="18">
        <v>-287.6500</v>
      </c>
      <c r="K123" s="19">
        <v>10.0000</v>
      </c>
      <c r="L123" s="17" t="s">
        <v>21</v>
      </c>
    </row>
    <row r="124" ht="10.95" customHeight="true" customFormat="true" s="9">
      <c r="A124" s="16">
        <v>45208</v>
      </c>
      <c r="B124" s="17" t="s">
        <v>17</v>
      </c>
      <c r="C124" s="17" t="s">
        <v>18</v>
      </c>
      <c r="D124" s="17" t="s">
        <v>22</v>
      </c>
      <c r="E124" s="17" t="s">
        <v>23</v>
      </c>
      <c r="F124" s="17"/>
      <c r="G124" s="18">
        <v>1863.6400</v>
      </c>
      <c r="H124" s="18">
        <v>0</v>
      </c>
      <c r="I124" s="18">
        <f ca="1">((I123 + G124) - H124)</f>
        <v>0</v>
      </c>
      <c r="J124" s="18">
        <v>186.3600</v>
      </c>
      <c r="K124" s="19">
        <v>10.0000</v>
      </c>
      <c r="L124" s="17" t="s">
        <v>21</v>
      </c>
    </row>
    <row r="125" ht="10.95" customHeight="true" customFormat="true" s="9">
      <c r="A125" s="16">
        <v>45208</v>
      </c>
      <c r="B125" s="17" t="s">
        <v>17</v>
      </c>
      <c r="C125" s="17" t="s">
        <v>18</v>
      </c>
      <c r="D125" s="17" t="s">
        <v>19</v>
      </c>
      <c r="E125" s="17" t="s">
        <v>20</v>
      </c>
      <c r="F125" s="17"/>
      <c r="G125" s="18">
        <v>0</v>
      </c>
      <c r="H125" s="18">
        <v>5331.3100</v>
      </c>
      <c r="I125" s="18">
        <f ca="1">((I124 + G125) - H125)</f>
        <v>0</v>
      </c>
      <c r="J125" s="18">
        <v>-533.1300</v>
      </c>
      <c r="K125" s="19">
        <v>10.0000</v>
      </c>
      <c r="L125" s="17" t="s">
        <v>21</v>
      </c>
    </row>
    <row r="126" ht="10.95" customHeight="true" customFormat="true" s="9">
      <c r="A126" s="16">
        <v>45210</v>
      </c>
      <c r="B126" s="17" t="s">
        <v>17</v>
      </c>
      <c r="C126" s="17" t="s">
        <v>18</v>
      </c>
      <c r="D126" s="17" t="s">
        <v>19</v>
      </c>
      <c r="E126" s="17" t="s">
        <v>20</v>
      </c>
      <c r="F126" s="17"/>
      <c r="G126" s="18">
        <v>0</v>
      </c>
      <c r="H126" s="18">
        <v>2212.8600</v>
      </c>
      <c r="I126" s="18">
        <f ca="1">((I125 + G126) - H126)</f>
        <v>0</v>
      </c>
      <c r="J126" s="18">
        <v>-221.2900</v>
      </c>
      <c r="K126" s="19">
        <v>10.0000</v>
      </c>
      <c r="L126" s="17" t="s">
        <v>21</v>
      </c>
    </row>
    <row r="127" ht="10.95" customHeight="true" customFormat="true" s="9">
      <c r="A127" s="16">
        <v>45210</v>
      </c>
      <c r="B127" s="17" t="s">
        <v>17</v>
      </c>
      <c r="C127" s="17" t="s">
        <v>18</v>
      </c>
      <c r="D127" s="17" t="s">
        <v>19</v>
      </c>
      <c r="E127" s="17" t="s">
        <v>24</v>
      </c>
      <c r="F127" s="17"/>
      <c r="G127" s="18">
        <v>0</v>
      </c>
      <c r="H127" s="18">
        <v>181.8200</v>
      </c>
      <c r="I127" s="18">
        <f ca="1">((I126 + G127) - H127)</f>
        <v>0</v>
      </c>
      <c r="J127" s="18">
        <v>-18.1800</v>
      </c>
      <c r="K127" s="19">
        <v>10.0000</v>
      </c>
      <c r="L127" s="17" t="s">
        <v>21</v>
      </c>
    </row>
    <row r="128" ht="10.95" customHeight="true" customFormat="true" s="9">
      <c r="A128" s="16">
        <v>45211</v>
      </c>
      <c r="B128" s="17" t="s">
        <v>17</v>
      </c>
      <c r="C128" s="17" t="s">
        <v>18</v>
      </c>
      <c r="D128" s="17" t="s">
        <v>19</v>
      </c>
      <c r="E128" s="17" t="s">
        <v>20</v>
      </c>
      <c r="F128" s="17"/>
      <c r="G128" s="18">
        <v>0</v>
      </c>
      <c r="H128" s="18">
        <v>1936.3600</v>
      </c>
      <c r="I128" s="18">
        <f ca="1">((I127 + G128) - H128)</f>
        <v>0</v>
      </c>
      <c r="J128" s="18">
        <v>-193.6400</v>
      </c>
      <c r="K128" s="19">
        <v>10.0000</v>
      </c>
      <c r="L128" s="17" t="s">
        <v>21</v>
      </c>
    </row>
    <row r="129" ht="10.95" customHeight="true" customFormat="true" s="9">
      <c r="A129" s="16">
        <v>45212</v>
      </c>
      <c r="B129" s="17" t="s">
        <v>17</v>
      </c>
      <c r="C129" s="17" t="s">
        <v>18</v>
      </c>
      <c r="D129" s="17" t="s">
        <v>19</v>
      </c>
      <c r="E129" s="17" t="s">
        <v>20</v>
      </c>
      <c r="F129" s="17"/>
      <c r="G129" s="18">
        <v>0</v>
      </c>
      <c r="H129" s="18">
        <v>2326.9500</v>
      </c>
      <c r="I129" s="18">
        <f ca="1">((I128 + G129) - H129)</f>
        <v>0</v>
      </c>
      <c r="J129" s="18">
        <v>-232.6900</v>
      </c>
      <c r="K129" s="19">
        <v>10.0000</v>
      </c>
      <c r="L129" s="17" t="s">
        <v>21</v>
      </c>
    </row>
    <row r="130" ht="10.95" customHeight="true" customFormat="true" s="9">
      <c r="A130" s="16">
        <v>45215</v>
      </c>
      <c r="B130" s="17" t="s">
        <v>17</v>
      </c>
      <c r="C130" s="17" t="s">
        <v>18</v>
      </c>
      <c r="D130" s="17" t="s">
        <v>22</v>
      </c>
      <c r="E130" s="17" t="s">
        <v>23</v>
      </c>
      <c r="F130" s="17"/>
      <c r="G130" s="18">
        <v>1818.1800</v>
      </c>
      <c r="H130" s="18">
        <v>0</v>
      </c>
      <c r="I130" s="18">
        <f ca="1">((I129 + G130) - H130)</f>
        <v>0</v>
      </c>
      <c r="J130" s="18">
        <v>181.8200</v>
      </c>
      <c r="K130" s="19">
        <v>10.0000</v>
      </c>
      <c r="L130" s="17" t="s">
        <v>21</v>
      </c>
    </row>
    <row r="131" ht="10.95" customHeight="true" customFormat="true" s="9">
      <c r="A131" s="16">
        <v>45215</v>
      </c>
      <c r="B131" s="17" t="s">
        <v>17</v>
      </c>
      <c r="C131" s="17" t="s">
        <v>18</v>
      </c>
      <c r="D131" s="17" t="s">
        <v>19</v>
      </c>
      <c r="E131" s="17" t="s">
        <v>20</v>
      </c>
      <c r="F131" s="17"/>
      <c r="G131" s="18">
        <v>0</v>
      </c>
      <c r="H131" s="18">
        <v>4922.3600</v>
      </c>
      <c r="I131" s="18">
        <f ca="1">((I130 + G131) - H131)</f>
        <v>0</v>
      </c>
      <c r="J131" s="18">
        <v>-492.2400</v>
      </c>
      <c r="K131" s="19">
        <v>10.0000</v>
      </c>
      <c r="L131" s="17" t="s">
        <v>21</v>
      </c>
    </row>
    <row r="132" ht="10.95" customHeight="true" customFormat="true" s="9">
      <c r="A132" s="16">
        <v>45215</v>
      </c>
      <c r="B132" s="17" t="s">
        <v>17</v>
      </c>
      <c r="C132" s="17" t="s">
        <v>18</v>
      </c>
      <c r="D132" s="17" t="s">
        <v>19</v>
      </c>
      <c r="E132" s="17" t="s">
        <v>20</v>
      </c>
      <c r="F132" s="17"/>
      <c r="G132" s="18">
        <v>0</v>
      </c>
      <c r="H132" s="18">
        <v>5264.6400</v>
      </c>
      <c r="I132" s="18">
        <f ca="1">((I131 + G132) - H132)</f>
        <v>0</v>
      </c>
      <c r="J132" s="18">
        <v>-526.4600</v>
      </c>
      <c r="K132" s="19">
        <v>10.0000</v>
      </c>
      <c r="L132" s="17" t="s">
        <v>21</v>
      </c>
    </row>
    <row r="133" ht="10.95" customHeight="true" customFormat="true" s="9">
      <c r="A133" s="16">
        <v>45215</v>
      </c>
      <c r="B133" s="17" t="s">
        <v>17</v>
      </c>
      <c r="C133" s="17" t="s">
        <v>18</v>
      </c>
      <c r="D133" s="17" t="s">
        <v>19</v>
      </c>
      <c r="E133" s="17" t="s">
        <v>20</v>
      </c>
      <c r="F133" s="17"/>
      <c r="G133" s="18">
        <v>0</v>
      </c>
      <c r="H133" s="18">
        <v>2625.9500</v>
      </c>
      <c r="I133" s="18">
        <f ca="1">((I132 + G133) - H133)</f>
        <v>0</v>
      </c>
      <c r="J133" s="18">
        <v>-262.6000</v>
      </c>
      <c r="K133" s="19">
        <v>10.0000</v>
      </c>
      <c r="L133" s="17" t="s">
        <v>21</v>
      </c>
    </row>
    <row r="134" ht="10.95" customHeight="true" customFormat="true" s="9">
      <c r="A134" s="16">
        <v>45217</v>
      </c>
      <c r="B134" s="17" t="s">
        <v>17</v>
      </c>
      <c r="C134" s="17" t="s">
        <v>18</v>
      </c>
      <c r="D134" s="17" t="s">
        <v>19</v>
      </c>
      <c r="E134" s="17" t="s">
        <v>24</v>
      </c>
      <c r="F134" s="17"/>
      <c r="G134" s="18">
        <v>0</v>
      </c>
      <c r="H134" s="18">
        <v>136.3600</v>
      </c>
      <c r="I134" s="18">
        <f ca="1">((I133 + G134) - H134)</f>
        <v>0</v>
      </c>
      <c r="J134" s="18">
        <v>-13.6400</v>
      </c>
      <c r="K134" s="19">
        <v>10.0000</v>
      </c>
      <c r="L134" s="17" t="s">
        <v>21</v>
      </c>
    </row>
    <row r="135" ht="10.95" customHeight="true" customFormat="true" s="9">
      <c r="A135" s="16">
        <v>45217</v>
      </c>
      <c r="B135" s="17" t="s">
        <v>17</v>
      </c>
      <c r="C135" s="17" t="s">
        <v>18</v>
      </c>
      <c r="D135" s="17" t="s">
        <v>19</v>
      </c>
      <c r="E135" s="17" t="s">
        <v>20</v>
      </c>
      <c r="F135" s="17"/>
      <c r="G135" s="18">
        <v>0</v>
      </c>
      <c r="H135" s="18">
        <v>2427.7300</v>
      </c>
      <c r="I135" s="18">
        <f ca="1">((I134 + G135) - H135)</f>
        <v>0</v>
      </c>
      <c r="J135" s="18">
        <v>-242.7700</v>
      </c>
      <c r="K135" s="19">
        <v>10.0000</v>
      </c>
      <c r="L135" s="17" t="s">
        <v>21</v>
      </c>
    </row>
    <row r="136" ht="10.95" customHeight="true" customFormat="true" s="9">
      <c r="A136" s="16">
        <v>45218</v>
      </c>
      <c r="B136" s="17" t="s">
        <v>17</v>
      </c>
      <c r="C136" s="17" t="s">
        <v>18</v>
      </c>
      <c r="D136" s="17" t="s">
        <v>19</v>
      </c>
      <c r="E136" s="17" t="s">
        <v>20</v>
      </c>
      <c r="F136" s="17"/>
      <c r="G136" s="18">
        <v>0</v>
      </c>
      <c r="H136" s="18">
        <v>2256.1400</v>
      </c>
      <c r="I136" s="18">
        <f ca="1">((I135 + G136) - H136)</f>
        <v>0</v>
      </c>
      <c r="J136" s="18">
        <v>-225.6100</v>
      </c>
      <c r="K136" s="19">
        <v>10.0000</v>
      </c>
      <c r="L136" s="17" t="s">
        <v>21</v>
      </c>
    </row>
    <row r="137" ht="10.95" customHeight="true" customFormat="true" s="9">
      <c r="A137" s="16">
        <v>45219</v>
      </c>
      <c r="B137" s="17" t="s">
        <v>17</v>
      </c>
      <c r="C137" s="17" t="s">
        <v>18</v>
      </c>
      <c r="D137" s="17" t="s">
        <v>19</v>
      </c>
      <c r="E137" s="17" t="s">
        <v>20</v>
      </c>
      <c r="F137" s="17"/>
      <c r="G137" s="18">
        <v>0</v>
      </c>
      <c r="H137" s="18">
        <v>2443.5000</v>
      </c>
      <c r="I137" s="18">
        <f ca="1">((I136 + G137) - H137)</f>
        <v>0</v>
      </c>
      <c r="J137" s="18">
        <v>-244.3500</v>
      </c>
      <c r="K137" s="19">
        <v>10.0000</v>
      </c>
      <c r="L137" s="17" t="s">
        <v>21</v>
      </c>
    </row>
    <row r="138" ht="10.95" customHeight="true" customFormat="true" s="9">
      <c r="A138" s="16">
        <v>45222</v>
      </c>
      <c r="B138" s="17" t="s">
        <v>17</v>
      </c>
      <c r="C138" s="17" t="s">
        <v>18</v>
      </c>
      <c r="D138" s="17" t="s">
        <v>19</v>
      </c>
      <c r="E138" s="17" t="s">
        <v>20</v>
      </c>
      <c r="F138" s="17"/>
      <c r="G138" s="18">
        <v>0</v>
      </c>
      <c r="H138" s="18">
        <v>5234.2700</v>
      </c>
      <c r="I138" s="18">
        <f ca="1">((I137 + G138) - H138)</f>
        <v>0</v>
      </c>
      <c r="J138" s="18">
        <v>-523.4300</v>
      </c>
      <c r="K138" s="19">
        <v>10.0000</v>
      </c>
      <c r="L138" s="17" t="s">
        <v>21</v>
      </c>
    </row>
    <row r="139" ht="10.95" customHeight="true" customFormat="true" s="9">
      <c r="A139" s="16">
        <v>45222</v>
      </c>
      <c r="B139" s="17" t="s">
        <v>17</v>
      </c>
      <c r="C139" s="17" t="s">
        <v>18</v>
      </c>
      <c r="D139" s="17" t="s">
        <v>19</v>
      </c>
      <c r="E139" s="17" t="s">
        <v>20</v>
      </c>
      <c r="F139" s="17"/>
      <c r="G139" s="18">
        <v>0</v>
      </c>
      <c r="H139" s="18">
        <v>2851.7700</v>
      </c>
      <c r="I139" s="18">
        <f ca="1">((I138 + G139) - H139)</f>
        <v>0</v>
      </c>
      <c r="J139" s="18">
        <v>-285.1800</v>
      </c>
      <c r="K139" s="19">
        <v>10.0000</v>
      </c>
      <c r="L139" s="17" t="s">
        <v>21</v>
      </c>
    </row>
    <row r="140" ht="10.95" customHeight="true" customFormat="true" s="9">
      <c r="A140" s="16">
        <v>45222</v>
      </c>
      <c r="B140" s="17" t="s">
        <v>17</v>
      </c>
      <c r="C140" s="17" t="s">
        <v>18</v>
      </c>
      <c r="D140" s="17" t="s">
        <v>19</v>
      </c>
      <c r="E140" s="17" t="s">
        <v>20</v>
      </c>
      <c r="F140" s="17"/>
      <c r="G140" s="18">
        <v>0</v>
      </c>
      <c r="H140" s="18">
        <v>4461.8200</v>
      </c>
      <c r="I140" s="18">
        <f ca="1">((I139 + G140) - H140)</f>
        <v>0</v>
      </c>
      <c r="J140" s="18">
        <v>-446.1800</v>
      </c>
      <c r="K140" s="19">
        <v>10.0000</v>
      </c>
      <c r="L140" s="17" t="s">
        <v>21</v>
      </c>
    </row>
    <row r="141" ht="10.95" customHeight="true" customFormat="true" s="9">
      <c r="A141" s="16">
        <v>45222</v>
      </c>
      <c r="B141" s="17" t="s">
        <v>17</v>
      </c>
      <c r="C141" s="17" t="s">
        <v>18</v>
      </c>
      <c r="D141" s="17" t="s">
        <v>22</v>
      </c>
      <c r="E141" s="17" t="s">
        <v>23</v>
      </c>
      <c r="F141" s="17"/>
      <c r="G141" s="18">
        <v>1594.8900</v>
      </c>
      <c r="H141" s="18">
        <v>0</v>
      </c>
      <c r="I141" s="18">
        <f ca="1">((I140 + G141) - H141)</f>
        <v>0</v>
      </c>
      <c r="J141" s="18">
        <v>159.4900</v>
      </c>
      <c r="K141" s="19">
        <v>10.0000</v>
      </c>
      <c r="L141" s="17" t="s">
        <v>21</v>
      </c>
    </row>
    <row r="142" ht="10.95" customHeight="true" customFormat="true" s="9">
      <c r="A142" s="16">
        <v>45224</v>
      </c>
      <c r="B142" s="17" t="s">
        <v>17</v>
      </c>
      <c r="C142" s="17" t="s">
        <v>18</v>
      </c>
      <c r="D142" s="17" t="s">
        <v>19</v>
      </c>
      <c r="E142" s="17" t="s">
        <v>20</v>
      </c>
      <c r="F142" s="17"/>
      <c r="G142" s="18">
        <v>0</v>
      </c>
      <c r="H142" s="18">
        <v>2447.7300</v>
      </c>
      <c r="I142" s="18">
        <f ca="1">((I141 + G142) - H142)</f>
        <v>0</v>
      </c>
      <c r="J142" s="18">
        <v>-244.7700</v>
      </c>
      <c r="K142" s="19">
        <v>10.0000</v>
      </c>
      <c r="L142" s="17" t="s">
        <v>21</v>
      </c>
    </row>
    <row r="143" ht="10.95" customHeight="true" customFormat="true" s="9">
      <c r="A143" s="16">
        <v>45225</v>
      </c>
      <c r="B143" s="17" t="s">
        <v>17</v>
      </c>
      <c r="C143" s="17" t="s">
        <v>18</v>
      </c>
      <c r="D143" s="17" t="s">
        <v>19</v>
      </c>
      <c r="E143" s="17" t="s">
        <v>20</v>
      </c>
      <c r="F143" s="17"/>
      <c r="G143" s="18">
        <v>0</v>
      </c>
      <c r="H143" s="18">
        <v>2240.0300</v>
      </c>
      <c r="I143" s="18">
        <f ca="1">((I142 + G143) - H143)</f>
        <v>0</v>
      </c>
      <c r="J143" s="18">
        <v>-224.0000</v>
      </c>
      <c r="K143" s="19">
        <v>10.0000</v>
      </c>
      <c r="L143" s="17" t="s">
        <v>21</v>
      </c>
    </row>
    <row r="144" ht="10.95" customHeight="true" customFormat="true" s="9">
      <c r="A144" s="16">
        <v>45226</v>
      </c>
      <c r="B144" s="17" t="s">
        <v>17</v>
      </c>
      <c r="C144" s="17" t="s">
        <v>18</v>
      </c>
      <c r="D144" s="17" t="s">
        <v>19</v>
      </c>
      <c r="E144" s="17" t="s">
        <v>20</v>
      </c>
      <c r="F144" s="17"/>
      <c r="G144" s="18">
        <v>0</v>
      </c>
      <c r="H144" s="18">
        <v>2542.0900</v>
      </c>
      <c r="I144" s="18">
        <f ca="1">((I143 + G144) - H144)</f>
        <v>0</v>
      </c>
      <c r="J144" s="18">
        <v>-254.2100</v>
      </c>
      <c r="K144" s="19">
        <v>10.0000</v>
      </c>
      <c r="L144" s="17" t="s">
        <v>21</v>
      </c>
    </row>
    <row r="145" ht="10.95" customHeight="true" customFormat="true" s="9">
      <c r="A145" s="16">
        <v>45229</v>
      </c>
      <c r="B145" s="17" t="s">
        <v>17</v>
      </c>
      <c r="C145" s="17" t="s">
        <v>18</v>
      </c>
      <c r="D145" s="17" t="s">
        <v>19</v>
      </c>
      <c r="E145" s="17" t="s">
        <v>20</v>
      </c>
      <c r="F145" s="17"/>
      <c r="G145" s="18">
        <v>0</v>
      </c>
      <c r="H145" s="18">
        <v>4753.7700</v>
      </c>
      <c r="I145" s="18">
        <f ca="1">((I144 + G145) - H145)</f>
        <v>0</v>
      </c>
      <c r="J145" s="18">
        <v>-475.3800</v>
      </c>
      <c r="K145" s="19">
        <v>10.0000</v>
      </c>
      <c r="L145" s="17" t="s">
        <v>21</v>
      </c>
    </row>
    <row r="146" ht="10.95" customHeight="true" customFormat="true" s="9">
      <c r="A146" s="16">
        <v>45229</v>
      </c>
      <c r="B146" s="17" t="s">
        <v>17</v>
      </c>
      <c r="C146" s="17" t="s">
        <v>18</v>
      </c>
      <c r="D146" s="17" t="s">
        <v>19</v>
      </c>
      <c r="E146" s="17" t="s">
        <v>20</v>
      </c>
      <c r="F146" s="17"/>
      <c r="G146" s="18">
        <v>0</v>
      </c>
      <c r="H146" s="18">
        <v>2988.6800</v>
      </c>
      <c r="I146" s="18">
        <f ca="1">((I145 + G146) - H146)</f>
        <v>0</v>
      </c>
      <c r="J146" s="18">
        <v>-298.8700</v>
      </c>
      <c r="K146" s="19">
        <v>10.0000</v>
      </c>
      <c r="L146" s="17" t="s">
        <v>21</v>
      </c>
    </row>
    <row r="147" ht="10.95" customHeight="true" customFormat="true" s="9">
      <c r="A147" s="16">
        <v>45229</v>
      </c>
      <c r="B147" s="17" t="s">
        <v>17</v>
      </c>
      <c r="C147" s="17" t="s">
        <v>18</v>
      </c>
      <c r="D147" s="17" t="s">
        <v>22</v>
      </c>
      <c r="E147" s="17" t="s">
        <v>23</v>
      </c>
      <c r="F147" s="17"/>
      <c r="G147" s="18">
        <v>1584.7200</v>
      </c>
      <c r="H147" s="18">
        <v>0</v>
      </c>
      <c r="I147" s="18">
        <f ca="1">((I146 + G147) - H147)</f>
        <v>0</v>
      </c>
      <c r="J147" s="18">
        <v>158.4700</v>
      </c>
      <c r="K147" s="19">
        <v>10.0000</v>
      </c>
      <c r="L147" s="17" t="s">
        <v>21</v>
      </c>
    </row>
    <row r="148" ht="10.95" customHeight="true" customFormat="true" s="9">
      <c r="A148" s="16">
        <v>45229</v>
      </c>
      <c r="B148" s="17" t="s">
        <v>17</v>
      </c>
      <c r="C148" s="17" t="s">
        <v>18</v>
      </c>
      <c r="D148" s="17" t="s">
        <v>19</v>
      </c>
      <c r="E148" s="17" t="s">
        <v>20</v>
      </c>
      <c r="F148" s="17"/>
      <c r="G148" s="18">
        <v>0</v>
      </c>
      <c r="H148" s="18">
        <v>5894.3600</v>
      </c>
      <c r="I148" s="18">
        <f ca="1">((I147 + G148) - H148)</f>
        <v>0</v>
      </c>
      <c r="J148" s="18">
        <v>-589.4400</v>
      </c>
      <c r="K148" s="19">
        <v>10.0000</v>
      </c>
      <c r="L148" s="17" t="s">
        <v>21</v>
      </c>
    </row>
    <row r="149" ht="10.95" customHeight="true" customFormat="true" s="9">
      <c r="A149" s="16">
        <v>45230</v>
      </c>
      <c r="B149" s="17" t="s">
        <v>17</v>
      </c>
      <c r="C149" s="17" t="s">
        <v>18</v>
      </c>
      <c r="D149" s="17" t="s">
        <v>19</v>
      </c>
      <c r="E149" s="17" t="s">
        <v>24</v>
      </c>
      <c r="F149" s="17"/>
      <c r="G149" s="18">
        <v>0</v>
      </c>
      <c r="H149" s="18">
        <v>272.7300</v>
      </c>
      <c r="I149" s="18">
        <f ca="1">((I148 + G149) - H149)</f>
        <v>0</v>
      </c>
      <c r="J149" s="18">
        <v>-27.2700</v>
      </c>
      <c r="K149" s="19">
        <v>10.0000</v>
      </c>
      <c r="L149" s="17" t="s">
        <v>21</v>
      </c>
    </row>
    <row r="150" ht="10.95" customHeight="true" customFormat="true" s="9">
      <c r="A150" s="16">
        <v>45231</v>
      </c>
      <c r="B150" s="17" t="s">
        <v>17</v>
      </c>
      <c r="C150" s="17" t="s">
        <v>18</v>
      </c>
      <c r="D150" s="17" t="s">
        <v>19</v>
      </c>
      <c r="E150" s="17" t="s">
        <v>20</v>
      </c>
      <c r="F150" s="17"/>
      <c r="G150" s="18">
        <v>0</v>
      </c>
      <c r="H150" s="18">
        <v>2321.5500</v>
      </c>
      <c r="I150" s="18">
        <f ca="1">((I149 + G150) - H150)</f>
        <v>0</v>
      </c>
      <c r="J150" s="18">
        <v>-232.1500</v>
      </c>
      <c r="K150" s="19">
        <v>10.0000</v>
      </c>
      <c r="L150" s="17" t="s">
        <v>21</v>
      </c>
    </row>
    <row r="151" ht="10.95" customHeight="true" customFormat="true" s="9">
      <c r="A151" s="16">
        <v>45232</v>
      </c>
      <c r="B151" s="17" t="s">
        <v>17</v>
      </c>
      <c r="C151" s="17" t="s">
        <v>18</v>
      </c>
      <c r="D151" s="17" t="s">
        <v>19</v>
      </c>
      <c r="E151" s="17" t="s">
        <v>20</v>
      </c>
      <c r="F151" s="17"/>
      <c r="G151" s="18">
        <v>0</v>
      </c>
      <c r="H151" s="18">
        <v>2164.8600</v>
      </c>
      <c r="I151" s="18">
        <f ca="1">((I150 + G151) - H151)</f>
        <v>0</v>
      </c>
      <c r="J151" s="18">
        <v>-216.4900</v>
      </c>
      <c r="K151" s="19">
        <v>10.0000</v>
      </c>
      <c r="L151" s="17" t="s">
        <v>21</v>
      </c>
    </row>
    <row r="152" ht="10.95" customHeight="true" customFormat="true" s="9">
      <c r="A152" s="16">
        <v>45233</v>
      </c>
      <c r="B152" s="17" t="s">
        <v>17</v>
      </c>
      <c r="C152" s="17" t="s">
        <v>18</v>
      </c>
      <c r="D152" s="17" t="s">
        <v>19</v>
      </c>
      <c r="E152" s="17" t="s">
        <v>20</v>
      </c>
      <c r="F152" s="17"/>
      <c r="G152" s="18">
        <v>0</v>
      </c>
      <c r="H152" s="18">
        <v>2464.9100</v>
      </c>
      <c r="I152" s="18">
        <f ca="1">((I151 + G152) - H152)</f>
        <v>0</v>
      </c>
      <c r="J152" s="18">
        <v>-246.4900</v>
      </c>
      <c r="K152" s="19">
        <v>10.0000</v>
      </c>
      <c r="L152" s="17" t="s">
        <v>21</v>
      </c>
    </row>
    <row r="153" ht="10.95" customHeight="true" customFormat="true" s="9">
      <c r="A153" s="16">
        <v>45236</v>
      </c>
      <c r="B153" s="17" t="s">
        <v>17</v>
      </c>
      <c r="C153" s="17" t="s">
        <v>18</v>
      </c>
      <c r="D153" s="17" t="s">
        <v>19</v>
      </c>
      <c r="E153" s="17" t="s">
        <v>20</v>
      </c>
      <c r="F153" s="17"/>
      <c r="G153" s="18">
        <v>0</v>
      </c>
      <c r="H153" s="18">
        <v>5045.2700</v>
      </c>
      <c r="I153" s="18">
        <f ca="1">((I152 + G153) - H153)</f>
        <v>0</v>
      </c>
      <c r="J153" s="18">
        <v>-504.5300</v>
      </c>
      <c r="K153" s="19">
        <v>10.0000</v>
      </c>
      <c r="L153" s="17" t="s">
        <v>21</v>
      </c>
    </row>
    <row r="154" ht="10.95" customHeight="true" customFormat="true" s="9">
      <c r="A154" s="16">
        <v>45236</v>
      </c>
      <c r="B154" s="17" t="s">
        <v>17</v>
      </c>
      <c r="C154" s="17" t="s">
        <v>18</v>
      </c>
      <c r="D154" s="17" t="s">
        <v>19</v>
      </c>
      <c r="E154" s="17" t="s">
        <v>24</v>
      </c>
      <c r="F154" s="17"/>
      <c r="G154" s="18">
        <v>0</v>
      </c>
      <c r="H154" s="18">
        <v>181.8200</v>
      </c>
      <c r="I154" s="18">
        <f ca="1">((I153 + G154) - H154)</f>
        <v>0</v>
      </c>
      <c r="J154" s="18">
        <v>-18.1800</v>
      </c>
      <c r="K154" s="19">
        <v>10.0000</v>
      </c>
      <c r="L154" s="17" t="s">
        <v>21</v>
      </c>
    </row>
    <row r="155" ht="10.95" customHeight="true" customFormat="true" s="9">
      <c r="A155" s="16">
        <v>45236</v>
      </c>
      <c r="B155" s="17" t="s">
        <v>17</v>
      </c>
      <c r="C155" s="17" t="s">
        <v>18</v>
      </c>
      <c r="D155" s="17" t="s">
        <v>19</v>
      </c>
      <c r="E155" s="17" t="s">
        <v>20</v>
      </c>
      <c r="F155" s="17"/>
      <c r="G155" s="18">
        <v>0</v>
      </c>
      <c r="H155" s="18">
        <v>5131.4500</v>
      </c>
      <c r="I155" s="18">
        <f ca="1">((I154 + G155) - H155)</f>
        <v>0</v>
      </c>
      <c r="J155" s="18">
        <v>-513.1500</v>
      </c>
      <c r="K155" s="19">
        <v>10.0000</v>
      </c>
      <c r="L155" s="17" t="s">
        <v>21</v>
      </c>
    </row>
    <row r="156" ht="10.95" customHeight="true" customFormat="true" s="9">
      <c r="A156" s="16">
        <v>45236</v>
      </c>
      <c r="B156" s="17" t="s">
        <v>17</v>
      </c>
      <c r="C156" s="17" t="s">
        <v>18</v>
      </c>
      <c r="D156" s="17" t="s">
        <v>19</v>
      </c>
      <c r="E156" s="17" t="s">
        <v>20</v>
      </c>
      <c r="F156" s="17"/>
      <c r="G156" s="18">
        <v>0</v>
      </c>
      <c r="H156" s="18">
        <v>3072.4500</v>
      </c>
      <c r="I156" s="18">
        <f ca="1">((I155 + G156) - H156)</f>
        <v>0</v>
      </c>
      <c r="J156" s="18">
        <v>-307.2500</v>
      </c>
      <c r="K156" s="19">
        <v>10.0000</v>
      </c>
      <c r="L156" s="17" t="s">
        <v>21</v>
      </c>
    </row>
    <row r="157" ht="10.95" customHeight="true" customFormat="true" s="9">
      <c r="A157" s="16">
        <v>45236</v>
      </c>
      <c r="B157" s="17" t="s">
        <v>17</v>
      </c>
      <c r="C157" s="17" t="s">
        <v>18</v>
      </c>
      <c r="D157" s="17" t="s">
        <v>22</v>
      </c>
      <c r="E157" s="17" t="s">
        <v>30</v>
      </c>
      <c r="F157" s="17"/>
      <c r="G157" s="18">
        <v>2272.7300</v>
      </c>
      <c r="H157" s="18">
        <v>0</v>
      </c>
      <c r="I157" s="18">
        <f ca="1">((I156 + G157) - H157)</f>
        <v>0</v>
      </c>
      <c r="J157" s="18">
        <v>227.2700</v>
      </c>
      <c r="K157" s="19">
        <v>10.0000</v>
      </c>
      <c r="L157" s="17" t="s">
        <v>21</v>
      </c>
    </row>
    <row r="158" ht="10.95" customHeight="true" customFormat="true" s="9">
      <c r="A158" s="16">
        <v>45238</v>
      </c>
      <c r="B158" s="17" t="s">
        <v>17</v>
      </c>
      <c r="C158" s="17" t="s">
        <v>18</v>
      </c>
      <c r="D158" s="17" t="s">
        <v>19</v>
      </c>
      <c r="E158" s="17" t="s">
        <v>20</v>
      </c>
      <c r="F158" s="17"/>
      <c r="G158" s="18">
        <v>0</v>
      </c>
      <c r="H158" s="18">
        <v>2659.8200</v>
      </c>
      <c r="I158" s="18">
        <f ca="1">((I157 + G158) - H158)</f>
        <v>0</v>
      </c>
      <c r="J158" s="18">
        <v>-265.9800</v>
      </c>
      <c r="K158" s="19">
        <v>10.0000</v>
      </c>
      <c r="L158" s="17" t="s">
        <v>21</v>
      </c>
    </row>
    <row r="159" ht="10.95" customHeight="true" customFormat="true" s="9">
      <c r="A159" s="16">
        <v>45239</v>
      </c>
      <c r="B159" s="17" t="s">
        <v>17</v>
      </c>
      <c r="C159" s="17" t="s">
        <v>18</v>
      </c>
      <c r="D159" s="17" t="s">
        <v>19</v>
      </c>
      <c r="E159" s="17" t="s">
        <v>20</v>
      </c>
      <c r="F159" s="17"/>
      <c r="G159" s="18">
        <v>0</v>
      </c>
      <c r="H159" s="18">
        <v>2046.5500</v>
      </c>
      <c r="I159" s="18">
        <f ca="1">((I158 + G159) - H159)</f>
        <v>0</v>
      </c>
      <c r="J159" s="18">
        <v>-204.6500</v>
      </c>
      <c r="K159" s="19">
        <v>10.0000</v>
      </c>
      <c r="L159" s="17" t="s">
        <v>21</v>
      </c>
    </row>
    <row r="160" ht="10.95" customHeight="true" customFormat="true" s="9">
      <c r="A160" s="16">
        <v>45240</v>
      </c>
      <c r="B160" s="17" t="s">
        <v>17</v>
      </c>
      <c r="C160" s="17" t="s">
        <v>18</v>
      </c>
      <c r="D160" s="17" t="s">
        <v>19</v>
      </c>
      <c r="E160" s="17" t="s">
        <v>20</v>
      </c>
      <c r="F160" s="17"/>
      <c r="G160" s="18">
        <v>0</v>
      </c>
      <c r="H160" s="18">
        <v>2124.9100</v>
      </c>
      <c r="I160" s="18">
        <f ca="1">((I159 + G160) - H160)</f>
        <v>0</v>
      </c>
      <c r="J160" s="18">
        <v>-212.4900</v>
      </c>
      <c r="K160" s="19">
        <v>10.0000</v>
      </c>
      <c r="L160" s="17" t="s">
        <v>21</v>
      </c>
    </row>
    <row r="161" ht="10.95" customHeight="true" customFormat="true" s="9">
      <c r="A161" s="16">
        <v>45243</v>
      </c>
      <c r="B161" s="17" t="s">
        <v>17</v>
      </c>
      <c r="C161" s="17" t="s">
        <v>18</v>
      </c>
      <c r="D161" s="17" t="s">
        <v>19</v>
      </c>
      <c r="E161" s="17" t="s">
        <v>20</v>
      </c>
      <c r="F161" s="17"/>
      <c r="G161" s="18">
        <v>0</v>
      </c>
      <c r="H161" s="18">
        <v>5451.3600</v>
      </c>
      <c r="I161" s="18">
        <f ca="1">((I160 + G161) - H161)</f>
        <v>0</v>
      </c>
      <c r="J161" s="18">
        <v>-545.1400</v>
      </c>
      <c r="K161" s="19">
        <v>10.0000</v>
      </c>
      <c r="L161" s="17" t="s">
        <v>21</v>
      </c>
    </row>
    <row r="162" ht="10.95" customHeight="true" customFormat="true" s="9">
      <c r="A162" s="16">
        <v>45243</v>
      </c>
      <c r="B162" s="17" t="s">
        <v>17</v>
      </c>
      <c r="C162" s="17" t="s">
        <v>18</v>
      </c>
      <c r="D162" s="17" t="s">
        <v>19</v>
      </c>
      <c r="E162" s="17" t="s">
        <v>20</v>
      </c>
      <c r="F162" s="17"/>
      <c r="G162" s="18">
        <v>0</v>
      </c>
      <c r="H162" s="18">
        <v>2520.0300</v>
      </c>
      <c r="I162" s="18">
        <f ca="1">((I161 + G162) - H162)</f>
        <v>0</v>
      </c>
      <c r="J162" s="18">
        <v>-252.0000</v>
      </c>
      <c r="K162" s="19">
        <v>10.0000</v>
      </c>
      <c r="L162" s="17" t="s">
        <v>21</v>
      </c>
    </row>
    <row r="163" ht="10.95" customHeight="true" customFormat="true" s="9">
      <c r="A163" s="16">
        <v>45243</v>
      </c>
      <c r="B163" s="17" t="s">
        <v>17</v>
      </c>
      <c r="C163" s="17" t="s">
        <v>18</v>
      </c>
      <c r="D163" s="17" t="s">
        <v>19</v>
      </c>
      <c r="E163" s="17" t="s">
        <v>24</v>
      </c>
      <c r="F163" s="17"/>
      <c r="G163" s="18">
        <v>0</v>
      </c>
      <c r="H163" s="18">
        <v>227.2700</v>
      </c>
      <c r="I163" s="18">
        <f ca="1">((I162 + G163) - H163)</f>
        <v>0</v>
      </c>
      <c r="J163" s="18">
        <v>-22.7300</v>
      </c>
      <c r="K163" s="19">
        <v>10.0000</v>
      </c>
      <c r="L163" s="17" t="s">
        <v>21</v>
      </c>
    </row>
    <row r="164" ht="10.95" customHeight="true" customFormat="true" s="9">
      <c r="A164" s="16">
        <v>45243</v>
      </c>
      <c r="B164" s="17" t="s">
        <v>17</v>
      </c>
      <c r="C164" s="17" t="s">
        <v>18</v>
      </c>
      <c r="D164" s="17" t="s">
        <v>19</v>
      </c>
      <c r="E164" s="17" t="s">
        <v>20</v>
      </c>
      <c r="F164" s="17"/>
      <c r="G164" s="18">
        <v>0</v>
      </c>
      <c r="H164" s="18">
        <v>4821.2700</v>
      </c>
      <c r="I164" s="18">
        <f ca="1">((I163 + G164) - H164)</f>
        <v>0</v>
      </c>
      <c r="J164" s="18">
        <v>-482.1300</v>
      </c>
      <c r="K164" s="19">
        <v>10.0000</v>
      </c>
      <c r="L164" s="17" t="s">
        <v>21</v>
      </c>
    </row>
    <row r="165" ht="10.95" customHeight="true" customFormat="true" s="9">
      <c r="A165" s="16">
        <v>45243</v>
      </c>
      <c r="B165" s="17" t="s">
        <v>17</v>
      </c>
      <c r="C165" s="17" t="s">
        <v>18</v>
      </c>
      <c r="D165" s="17" t="s">
        <v>22</v>
      </c>
      <c r="E165" s="17" t="s">
        <v>23</v>
      </c>
      <c r="F165" s="17"/>
      <c r="G165" s="18">
        <v>1916.2500</v>
      </c>
      <c r="H165" s="18">
        <v>0</v>
      </c>
      <c r="I165" s="18">
        <f ca="1">((I164 + G165) - H165)</f>
        <v>0</v>
      </c>
      <c r="J165" s="18">
        <v>191.6300</v>
      </c>
      <c r="K165" s="19">
        <v>10.0000</v>
      </c>
      <c r="L165" s="17" t="s">
        <v>21</v>
      </c>
    </row>
    <row r="166" ht="10.95" customHeight="true" customFormat="true" s="9">
      <c r="A166" s="16">
        <v>45245</v>
      </c>
      <c r="B166" s="17" t="s">
        <v>17</v>
      </c>
      <c r="C166" s="17" t="s">
        <v>18</v>
      </c>
      <c r="D166" s="17" t="s">
        <v>19</v>
      </c>
      <c r="E166" s="17" t="s">
        <v>20</v>
      </c>
      <c r="F166" s="17"/>
      <c r="G166" s="18">
        <v>0</v>
      </c>
      <c r="H166" s="18">
        <v>2021.3200</v>
      </c>
      <c r="I166" s="18">
        <f ca="1">((I165 + G166) - H166)</f>
        <v>0</v>
      </c>
      <c r="J166" s="18">
        <v>-202.1300</v>
      </c>
      <c r="K166" s="19">
        <v>10.0000</v>
      </c>
      <c r="L166" s="17" t="s">
        <v>21</v>
      </c>
    </row>
    <row r="167" ht="10.95" customHeight="true" customFormat="true" s="9">
      <c r="A167" s="16">
        <v>45246</v>
      </c>
      <c r="B167" s="17" t="s">
        <v>17</v>
      </c>
      <c r="C167" s="17" t="s">
        <v>18</v>
      </c>
      <c r="D167" s="17" t="s">
        <v>19</v>
      </c>
      <c r="E167" s="17" t="s">
        <v>20</v>
      </c>
      <c r="F167" s="17"/>
      <c r="G167" s="18">
        <v>0</v>
      </c>
      <c r="H167" s="18">
        <v>2959.0000</v>
      </c>
      <c r="I167" s="18">
        <f ca="1">((I166 + G167) - H167)</f>
        <v>0</v>
      </c>
      <c r="J167" s="18">
        <v>-295.9000</v>
      </c>
      <c r="K167" s="19">
        <v>10.0000</v>
      </c>
      <c r="L167" s="17" t="s">
        <v>21</v>
      </c>
    </row>
    <row r="168" ht="10.95" customHeight="true" customFormat="true" s="9">
      <c r="A168" s="16">
        <v>45247</v>
      </c>
      <c r="B168" s="17" t="s">
        <v>17</v>
      </c>
      <c r="C168" s="17" t="s">
        <v>18</v>
      </c>
      <c r="D168" s="17" t="s">
        <v>19</v>
      </c>
      <c r="E168" s="17" t="s">
        <v>20</v>
      </c>
      <c r="F168" s="17"/>
      <c r="G168" s="18">
        <v>0</v>
      </c>
      <c r="H168" s="18">
        <v>1999.5000</v>
      </c>
      <c r="I168" s="18">
        <f ca="1">((I167 + G168) - H168)</f>
        <v>0</v>
      </c>
      <c r="J168" s="18">
        <v>-199.9500</v>
      </c>
      <c r="K168" s="19">
        <v>10.0000</v>
      </c>
      <c r="L168" s="17" t="s">
        <v>21</v>
      </c>
    </row>
    <row r="169" ht="10.95" customHeight="true" customFormat="true" s="9">
      <c r="A169" s="16">
        <v>45250</v>
      </c>
      <c r="B169" s="17" t="s">
        <v>17</v>
      </c>
      <c r="C169" s="17" t="s">
        <v>18</v>
      </c>
      <c r="D169" s="17" t="s">
        <v>22</v>
      </c>
      <c r="E169" s="17" t="s">
        <v>23</v>
      </c>
      <c r="F169" s="17"/>
      <c r="G169" s="18">
        <v>2088.3500</v>
      </c>
      <c r="H169" s="18">
        <v>0</v>
      </c>
      <c r="I169" s="18">
        <f ca="1">((I168 + G169) - H169)</f>
        <v>0</v>
      </c>
      <c r="J169" s="18">
        <v>208.8400</v>
      </c>
      <c r="K169" s="19">
        <v>10.0000</v>
      </c>
      <c r="L169" s="17" t="s">
        <v>21</v>
      </c>
    </row>
    <row r="170" ht="10.95" customHeight="true" customFormat="true" s="9">
      <c r="A170" s="16">
        <v>45250</v>
      </c>
      <c r="B170" s="17" t="s">
        <v>17</v>
      </c>
      <c r="C170" s="17" t="s">
        <v>18</v>
      </c>
      <c r="D170" s="17" t="s">
        <v>19</v>
      </c>
      <c r="E170" s="17" t="s">
        <v>20</v>
      </c>
      <c r="F170" s="17"/>
      <c r="G170" s="18">
        <v>0</v>
      </c>
      <c r="H170" s="18">
        <v>5113.6400</v>
      </c>
      <c r="I170" s="18">
        <f ca="1">((I169 + G170) - H170)</f>
        <v>0</v>
      </c>
      <c r="J170" s="18">
        <v>-511.3600</v>
      </c>
      <c r="K170" s="19">
        <v>10.0000</v>
      </c>
      <c r="L170" s="17" t="s">
        <v>21</v>
      </c>
    </row>
    <row r="171" ht="10.95" customHeight="true" customFormat="true" s="9">
      <c r="A171" s="16">
        <v>45250</v>
      </c>
      <c r="B171" s="17" t="s">
        <v>17</v>
      </c>
      <c r="C171" s="17" t="s">
        <v>18</v>
      </c>
      <c r="D171" s="17" t="s">
        <v>19</v>
      </c>
      <c r="E171" s="17" t="s">
        <v>20</v>
      </c>
      <c r="F171" s="17"/>
      <c r="G171" s="18">
        <v>0</v>
      </c>
      <c r="H171" s="18">
        <v>5143.4500</v>
      </c>
      <c r="I171" s="18">
        <f ca="1">((I170 + G171) - H171)</f>
        <v>0</v>
      </c>
      <c r="J171" s="18">
        <v>-514.3500</v>
      </c>
      <c r="K171" s="19">
        <v>10.0000</v>
      </c>
      <c r="L171" s="17" t="s">
        <v>21</v>
      </c>
    </row>
    <row r="172" ht="10.95" customHeight="true" customFormat="true" s="9">
      <c r="A172" s="16">
        <v>45250</v>
      </c>
      <c r="B172" s="17" t="s">
        <v>17</v>
      </c>
      <c r="C172" s="17" t="s">
        <v>18</v>
      </c>
      <c r="D172" s="17" t="s">
        <v>19</v>
      </c>
      <c r="E172" s="17" t="s">
        <v>24</v>
      </c>
      <c r="F172" s="17"/>
      <c r="G172" s="18">
        <v>0</v>
      </c>
      <c r="H172" s="18">
        <v>181.8200</v>
      </c>
      <c r="I172" s="18">
        <f ca="1">((I171 + G172) - H172)</f>
        <v>0</v>
      </c>
      <c r="J172" s="18">
        <v>-18.1800</v>
      </c>
      <c r="K172" s="19">
        <v>10.0000</v>
      </c>
      <c r="L172" s="17" t="s">
        <v>21</v>
      </c>
    </row>
    <row r="173" ht="10.95" customHeight="true" customFormat="true" s="9">
      <c r="A173" s="16">
        <v>45250</v>
      </c>
      <c r="B173" s="17" t="s">
        <v>17</v>
      </c>
      <c r="C173" s="17" t="s">
        <v>18</v>
      </c>
      <c r="D173" s="17" t="s">
        <v>19</v>
      </c>
      <c r="E173" s="17" t="s">
        <v>20</v>
      </c>
      <c r="F173" s="17"/>
      <c r="G173" s="18">
        <v>0</v>
      </c>
      <c r="H173" s="18">
        <v>3072.0500</v>
      </c>
      <c r="I173" s="18">
        <f ca="1">((I172 + G173) - H173)</f>
        <v>0</v>
      </c>
      <c r="J173" s="18">
        <v>-307.2000</v>
      </c>
      <c r="K173" s="19">
        <v>10.0000</v>
      </c>
      <c r="L173" s="17" t="s">
        <v>21</v>
      </c>
    </row>
    <row r="174" ht="10.95" customHeight="true" customFormat="true" s="9">
      <c r="A174" s="16">
        <v>45252</v>
      </c>
      <c r="B174" s="17" t="s">
        <v>17</v>
      </c>
      <c r="C174" s="17" t="s">
        <v>18</v>
      </c>
      <c r="D174" s="17" t="s">
        <v>19</v>
      </c>
      <c r="E174" s="17" t="s">
        <v>20</v>
      </c>
      <c r="F174" s="17"/>
      <c r="G174" s="18">
        <v>0</v>
      </c>
      <c r="H174" s="18">
        <v>2174.6400</v>
      </c>
      <c r="I174" s="18">
        <f ca="1">((I173 + G174) - H174)</f>
        <v>0</v>
      </c>
      <c r="J174" s="18">
        <v>-217.4600</v>
      </c>
      <c r="K174" s="19">
        <v>10.0000</v>
      </c>
      <c r="L174" s="17" t="s">
        <v>21</v>
      </c>
    </row>
    <row r="175" ht="10.95" customHeight="true" customFormat="true" s="9">
      <c r="A175" s="16">
        <v>45253</v>
      </c>
      <c r="B175" s="17" t="s">
        <v>17</v>
      </c>
      <c r="C175" s="17" t="s">
        <v>18</v>
      </c>
      <c r="D175" s="17" t="s">
        <v>19</v>
      </c>
      <c r="E175" s="17" t="s">
        <v>20</v>
      </c>
      <c r="F175" s="17"/>
      <c r="G175" s="18">
        <v>0</v>
      </c>
      <c r="H175" s="18">
        <v>2182.1400</v>
      </c>
      <c r="I175" s="18">
        <f ca="1">((I174 + G175) - H175)</f>
        <v>0</v>
      </c>
      <c r="J175" s="18">
        <v>-218.2100</v>
      </c>
      <c r="K175" s="19">
        <v>10.0000</v>
      </c>
      <c r="L175" s="17" t="s">
        <v>21</v>
      </c>
    </row>
    <row r="176" ht="10.95" customHeight="true" customFormat="true" s="9">
      <c r="A176" s="16">
        <v>45254</v>
      </c>
      <c r="B176" s="17" t="s">
        <v>17</v>
      </c>
      <c r="C176" s="17" t="s">
        <v>18</v>
      </c>
      <c r="D176" s="17" t="s">
        <v>19</v>
      </c>
      <c r="E176" s="17" t="s">
        <v>20</v>
      </c>
      <c r="F176" s="17"/>
      <c r="G176" s="18">
        <v>0</v>
      </c>
      <c r="H176" s="18">
        <v>2643.7300</v>
      </c>
      <c r="I176" s="18">
        <f ca="1">((I175 + G176) - H176)</f>
        <v>0</v>
      </c>
      <c r="J176" s="18">
        <v>-264.3700</v>
      </c>
      <c r="K176" s="19">
        <v>10.0000</v>
      </c>
      <c r="L176" s="17" t="s">
        <v>21</v>
      </c>
    </row>
    <row r="177" ht="10.95" customHeight="true" customFormat="true" s="9">
      <c r="A177" s="16">
        <v>45257</v>
      </c>
      <c r="B177" s="17" t="s">
        <v>17</v>
      </c>
      <c r="C177" s="17" t="s">
        <v>18</v>
      </c>
      <c r="D177" s="17" t="s">
        <v>19</v>
      </c>
      <c r="E177" s="17" t="s">
        <v>24</v>
      </c>
      <c r="F177" s="17"/>
      <c r="G177" s="18">
        <v>0</v>
      </c>
      <c r="H177" s="18">
        <v>181.8200</v>
      </c>
      <c r="I177" s="18">
        <f ca="1">((I176 + G177) - H177)</f>
        <v>0</v>
      </c>
      <c r="J177" s="18">
        <v>-18.1800</v>
      </c>
      <c r="K177" s="19">
        <v>10.0000</v>
      </c>
      <c r="L177" s="17" t="s">
        <v>21</v>
      </c>
    </row>
    <row r="178" ht="10.95" customHeight="true" customFormat="true" s="9">
      <c r="A178" s="16">
        <v>45257</v>
      </c>
      <c r="B178" s="17" t="s">
        <v>17</v>
      </c>
      <c r="C178" s="17" t="s">
        <v>18</v>
      </c>
      <c r="D178" s="17" t="s">
        <v>19</v>
      </c>
      <c r="E178" s="17" t="s">
        <v>20</v>
      </c>
      <c r="F178" s="17"/>
      <c r="G178" s="18">
        <v>0</v>
      </c>
      <c r="H178" s="18">
        <v>5634.0900</v>
      </c>
      <c r="I178" s="18">
        <f ca="1">((I177 + G178) - H178)</f>
        <v>0</v>
      </c>
      <c r="J178" s="18">
        <v>-563.4100</v>
      </c>
      <c r="K178" s="19">
        <v>10.0000</v>
      </c>
      <c r="L178" s="17" t="s">
        <v>21</v>
      </c>
    </row>
    <row r="179" ht="10.95" customHeight="true" customFormat="true" s="9">
      <c r="A179" s="16">
        <v>45257</v>
      </c>
      <c r="B179" s="17" t="s">
        <v>17</v>
      </c>
      <c r="C179" s="17" t="s">
        <v>18</v>
      </c>
      <c r="D179" s="17" t="s">
        <v>22</v>
      </c>
      <c r="E179" s="17" t="s">
        <v>23</v>
      </c>
      <c r="F179" s="17"/>
      <c r="G179" s="18">
        <v>2319.2600</v>
      </c>
      <c r="H179" s="18">
        <v>0</v>
      </c>
      <c r="I179" s="18">
        <f ca="1">((I178 + G179) - H179)</f>
        <v>0</v>
      </c>
      <c r="J179" s="18">
        <v>231.9300</v>
      </c>
      <c r="K179" s="19">
        <v>10.0000</v>
      </c>
      <c r="L179" s="17" t="s">
        <v>21</v>
      </c>
    </row>
    <row r="180" ht="10.95" customHeight="true" customFormat="true" s="9">
      <c r="A180" s="16">
        <v>45257</v>
      </c>
      <c r="B180" s="17" t="s">
        <v>17</v>
      </c>
      <c r="C180" s="17" t="s">
        <v>18</v>
      </c>
      <c r="D180" s="17" t="s">
        <v>19</v>
      </c>
      <c r="E180" s="17" t="s">
        <v>20</v>
      </c>
      <c r="F180" s="17"/>
      <c r="G180" s="18">
        <v>0</v>
      </c>
      <c r="H180" s="18">
        <v>2821.7700</v>
      </c>
      <c r="I180" s="18">
        <f ca="1">((I179 + G180) - H180)</f>
        <v>0</v>
      </c>
      <c r="J180" s="18">
        <v>-282.1800</v>
      </c>
      <c r="K180" s="19">
        <v>10.0000</v>
      </c>
      <c r="L180" s="17" t="s">
        <v>21</v>
      </c>
    </row>
    <row r="181" ht="10.95" customHeight="true" customFormat="true" s="9">
      <c r="A181" s="16">
        <v>45257</v>
      </c>
      <c r="B181" s="17" t="s">
        <v>17</v>
      </c>
      <c r="C181" s="17" t="s">
        <v>18</v>
      </c>
      <c r="D181" s="17" t="s">
        <v>19</v>
      </c>
      <c r="E181" s="17" t="s">
        <v>20</v>
      </c>
      <c r="F181" s="17"/>
      <c r="G181" s="18">
        <v>0</v>
      </c>
      <c r="H181" s="18">
        <v>5195.3600</v>
      </c>
      <c r="I181" s="18">
        <f ca="1">((I180 + G181) - H181)</f>
        <v>0</v>
      </c>
      <c r="J181" s="18">
        <v>-519.5400</v>
      </c>
      <c r="K181" s="19">
        <v>10.0000</v>
      </c>
      <c r="L181" s="17" t="s">
        <v>21</v>
      </c>
    </row>
    <row r="182" ht="10.95" customHeight="true" customFormat="true" s="9">
      <c r="A182" s="16">
        <v>45259</v>
      </c>
      <c r="B182" s="17" t="s">
        <v>17</v>
      </c>
      <c r="C182" s="17" t="s">
        <v>18</v>
      </c>
      <c r="D182" s="17" t="s">
        <v>19</v>
      </c>
      <c r="E182" s="17" t="s">
        <v>20</v>
      </c>
      <c r="F182" s="17"/>
      <c r="G182" s="18">
        <v>0</v>
      </c>
      <c r="H182" s="18">
        <v>2347.0500</v>
      </c>
      <c r="I182" s="18">
        <f ca="1">((I181 + G182) - H182)</f>
        <v>0</v>
      </c>
      <c r="J182" s="18">
        <v>-234.7000</v>
      </c>
      <c r="K182" s="19">
        <v>10.0000</v>
      </c>
      <c r="L182" s="17" t="s">
        <v>21</v>
      </c>
    </row>
    <row r="183" ht="10.95" customHeight="true" customFormat="true" s="9">
      <c r="A183" s="16">
        <v>45260</v>
      </c>
      <c r="B183" s="17" t="s">
        <v>17</v>
      </c>
      <c r="C183" s="17" t="s">
        <v>18</v>
      </c>
      <c r="D183" s="17" t="s">
        <v>19</v>
      </c>
      <c r="E183" s="17" t="s">
        <v>20</v>
      </c>
      <c r="F183" s="17"/>
      <c r="G183" s="18">
        <v>0</v>
      </c>
      <c r="H183" s="18">
        <v>2222.5900</v>
      </c>
      <c r="I183" s="18">
        <f ca="1">((I182 + G183) - H183)</f>
        <v>0</v>
      </c>
      <c r="J183" s="18">
        <v>-222.2600</v>
      </c>
      <c r="K183" s="19">
        <v>10.0000</v>
      </c>
      <c r="L183" s="17" t="s">
        <v>21</v>
      </c>
    </row>
    <row r="184" ht="10.95" customHeight="true" customFormat="true" s="9">
      <c r="A184" s="16">
        <v>45261</v>
      </c>
      <c r="B184" s="17" t="s">
        <v>17</v>
      </c>
      <c r="C184" s="17" t="s">
        <v>18</v>
      </c>
      <c r="D184" s="17" t="s">
        <v>19</v>
      </c>
      <c r="E184" s="17" t="s">
        <v>20</v>
      </c>
      <c r="F184" s="17"/>
      <c r="G184" s="18">
        <v>0</v>
      </c>
      <c r="H184" s="18">
        <v>2197.6800</v>
      </c>
      <c r="I184" s="18">
        <f ca="1">((I183 + G184) - H184)</f>
        <v>0</v>
      </c>
      <c r="J184" s="18">
        <v>-219.7700</v>
      </c>
      <c r="K184" s="19">
        <v>10.0000</v>
      </c>
      <c r="L184" s="17" t="s">
        <v>21</v>
      </c>
    </row>
    <row r="185" ht="10.95" customHeight="true" customFormat="true" s="9">
      <c r="A185" s="16">
        <v>45264</v>
      </c>
      <c r="B185" s="17" t="s">
        <v>17</v>
      </c>
      <c r="C185" s="17" t="s">
        <v>18</v>
      </c>
      <c r="D185" s="17" t="s">
        <v>22</v>
      </c>
      <c r="E185" s="17" t="s">
        <v>23</v>
      </c>
      <c r="F185" s="17"/>
      <c r="G185" s="18">
        <v>2297.4500</v>
      </c>
      <c r="H185" s="18">
        <v>0</v>
      </c>
      <c r="I185" s="18">
        <f ca="1">((I184 + G185) - H185)</f>
        <v>0</v>
      </c>
      <c r="J185" s="18">
        <v>229.7400</v>
      </c>
      <c r="K185" s="19">
        <v>10.0000</v>
      </c>
      <c r="L185" s="17" t="s">
        <v>21</v>
      </c>
    </row>
    <row r="186" ht="10.95" customHeight="true" customFormat="true" s="9">
      <c r="A186" s="16">
        <v>45264</v>
      </c>
      <c r="B186" s="17" t="s">
        <v>17</v>
      </c>
      <c r="C186" s="17" t="s">
        <v>18</v>
      </c>
      <c r="D186" s="17" t="s">
        <v>19</v>
      </c>
      <c r="E186" s="17" t="s">
        <v>20</v>
      </c>
      <c r="F186" s="17"/>
      <c r="G186" s="18">
        <v>0</v>
      </c>
      <c r="H186" s="18">
        <v>4960.2700</v>
      </c>
      <c r="I186" s="18">
        <f ca="1">((I185 + G186) - H186)</f>
        <v>0</v>
      </c>
      <c r="J186" s="18">
        <v>-496.0300</v>
      </c>
      <c r="K186" s="19">
        <v>10.0000</v>
      </c>
      <c r="L186" s="17" t="s">
        <v>21</v>
      </c>
    </row>
    <row r="187" ht="10.95" customHeight="true" customFormat="true" s="9">
      <c r="A187" s="16">
        <v>45264</v>
      </c>
      <c r="B187" s="17" t="s">
        <v>17</v>
      </c>
      <c r="C187" s="17" t="s">
        <v>18</v>
      </c>
      <c r="D187" s="17" t="s">
        <v>19</v>
      </c>
      <c r="E187" s="17" t="s">
        <v>20</v>
      </c>
      <c r="F187" s="17"/>
      <c r="G187" s="18">
        <v>0</v>
      </c>
      <c r="H187" s="18">
        <v>5384.2700</v>
      </c>
      <c r="I187" s="18">
        <f ca="1">((I186 + G187) - H187)</f>
        <v>0</v>
      </c>
      <c r="J187" s="18">
        <v>-538.4300</v>
      </c>
      <c r="K187" s="19">
        <v>10.0000</v>
      </c>
      <c r="L187" s="17" t="s">
        <v>21</v>
      </c>
    </row>
    <row r="188" ht="10.95" customHeight="true" customFormat="true" s="9">
      <c r="A188" s="16">
        <v>45264</v>
      </c>
      <c r="B188" s="17" t="s">
        <v>17</v>
      </c>
      <c r="C188" s="17" t="s">
        <v>18</v>
      </c>
      <c r="D188" s="17" t="s">
        <v>19</v>
      </c>
      <c r="E188" s="17" t="s">
        <v>24</v>
      </c>
      <c r="F188" s="17"/>
      <c r="G188" s="18">
        <v>0</v>
      </c>
      <c r="H188" s="18">
        <v>272.7300</v>
      </c>
      <c r="I188" s="18">
        <f ca="1">((I187 + G188) - H188)</f>
        <v>0</v>
      </c>
      <c r="J188" s="18">
        <v>-27.2700</v>
      </c>
      <c r="K188" s="19">
        <v>10.0000</v>
      </c>
      <c r="L188" s="17" t="s">
        <v>21</v>
      </c>
    </row>
    <row r="189" ht="10.95" customHeight="true" customFormat="true" s="9">
      <c r="A189" s="16">
        <v>45264</v>
      </c>
      <c r="B189" s="17" t="s">
        <v>17</v>
      </c>
      <c r="C189" s="17" t="s">
        <v>18</v>
      </c>
      <c r="D189" s="17" t="s">
        <v>19</v>
      </c>
      <c r="E189" s="17" t="s">
        <v>20</v>
      </c>
      <c r="F189" s="17"/>
      <c r="G189" s="18">
        <v>0</v>
      </c>
      <c r="H189" s="18">
        <v>2693.9500</v>
      </c>
      <c r="I189" s="18">
        <f ca="1">((I188 + G189) - H189)</f>
        <v>0</v>
      </c>
      <c r="J189" s="18">
        <v>-269.4000</v>
      </c>
      <c r="K189" s="19">
        <v>10.0000</v>
      </c>
      <c r="L189" s="17" t="s">
        <v>21</v>
      </c>
    </row>
    <row r="190" ht="10.95" customHeight="true" customFormat="true" s="9">
      <c r="A190" s="16">
        <v>45266</v>
      </c>
      <c r="B190" s="17" t="s">
        <v>17</v>
      </c>
      <c r="C190" s="17" t="s">
        <v>18</v>
      </c>
      <c r="D190" s="17" t="s">
        <v>19</v>
      </c>
      <c r="E190" s="17" t="s">
        <v>20</v>
      </c>
      <c r="F190" s="17"/>
      <c r="G190" s="18">
        <v>0</v>
      </c>
      <c r="H190" s="18">
        <v>2332.5000</v>
      </c>
      <c r="I190" s="18">
        <f ca="1">((I189 + G190) - H190)</f>
        <v>0</v>
      </c>
      <c r="J190" s="18">
        <v>-233.2500</v>
      </c>
      <c r="K190" s="19">
        <v>10.0000</v>
      </c>
      <c r="L190" s="17" t="s">
        <v>21</v>
      </c>
    </row>
    <row r="191" ht="10.95" customHeight="true" customFormat="true" s="9">
      <c r="A191" s="16">
        <v>45267</v>
      </c>
      <c r="B191" s="17" t="s">
        <v>17</v>
      </c>
      <c r="C191" s="17" t="s">
        <v>18</v>
      </c>
      <c r="D191" s="17" t="s">
        <v>19</v>
      </c>
      <c r="E191" s="17" t="s">
        <v>20</v>
      </c>
      <c r="F191" s="17"/>
      <c r="G191" s="18">
        <v>0</v>
      </c>
      <c r="H191" s="18">
        <v>2812.4500</v>
      </c>
      <c r="I191" s="18">
        <f ca="1">((I190 + G191) - H191)</f>
        <v>0</v>
      </c>
      <c r="J191" s="18">
        <v>-281.2500</v>
      </c>
      <c r="K191" s="19">
        <v>10.0000</v>
      </c>
      <c r="L191" s="17" t="s">
        <v>21</v>
      </c>
    </row>
    <row r="192" ht="10.95" customHeight="true" customFormat="true" s="9">
      <c r="A192" s="16">
        <v>45268</v>
      </c>
      <c r="B192" s="17" t="s">
        <v>17</v>
      </c>
      <c r="C192" s="17" t="s">
        <v>18</v>
      </c>
      <c r="D192" s="17" t="s">
        <v>19</v>
      </c>
      <c r="E192" s="17" t="s">
        <v>20</v>
      </c>
      <c r="F192" s="17"/>
      <c r="G192" s="18">
        <v>0</v>
      </c>
      <c r="H192" s="18">
        <v>2349.7300</v>
      </c>
      <c r="I192" s="18">
        <f ca="1">((I191 + G192) - H192)</f>
        <v>0</v>
      </c>
      <c r="J192" s="18">
        <v>-234.9700</v>
      </c>
      <c r="K192" s="19">
        <v>10.0000</v>
      </c>
      <c r="L192" s="17" t="s">
        <v>21</v>
      </c>
    </row>
    <row r="193" ht="10.95" customHeight="true" customFormat="true" s="9">
      <c r="A193" s="16">
        <v>45271</v>
      </c>
      <c r="B193" s="17" t="s">
        <v>17</v>
      </c>
      <c r="C193" s="17" t="s">
        <v>18</v>
      </c>
      <c r="D193" s="17" t="s">
        <v>22</v>
      </c>
      <c r="E193" s="17" t="s">
        <v>23</v>
      </c>
      <c r="F193" s="17"/>
      <c r="G193" s="18">
        <v>2783.3200</v>
      </c>
      <c r="H193" s="18">
        <v>0</v>
      </c>
      <c r="I193" s="18">
        <f ca="1">((I192 + G193) - H193)</f>
        <v>0</v>
      </c>
      <c r="J193" s="18">
        <v>278.3300</v>
      </c>
      <c r="K193" s="19">
        <v>10.0000</v>
      </c>
      <c r="L193" s="17" t="s">
        <v>21</v>
      </c>
    </row>
    <row r="194" ht="10.95" customHeight="true" customFormat="true" s="9">
      <c r="A194" s="16">
        <v>45271</v>
      </c>
      <c r="B194" s="17" t="s">
        <v>17</v>
      </c>
      <c r="C194" s="17" t="s">
        <v>18</v>
      </c>
      <c r="D194" s="17" t="s">
        <v>19</v>
      </c>
      <c r="E194" s="17" t="s">
        <v>20</v>
      </c>
      <c r="F194" s="17"/>
      <c r="G194" s="18">
        <v>0</v>
      </c>
      <c r="H194" s="18">
        <v>4997.2700</v>
      </c>
      <c r="I194" s="18">
        <f ca="1">((I193 + G194) - H194)</f>
        <v>0</v>
      </c>
      <c r="J194" s="18">
        <v>-499.7300</v>
      </c>
      <c r="K194" s="19">
        <v>10.0000</v>
      </c>
      <c r="L194" s="17" t="s">
        <v>21</v>
      </c>
    </row>
    <row r="195" ht="10.95" customHeight="true" customFormat="true" s="9">
      <c r="A195" s="16">
        <v>45271</v>
      </c>
      <c r="B195" s="17" t="s">
        <v>17</v>
      </c>
      <c r="C195" s="17" t="s">
        <v>18</v>
      </c>
      <c r="D195" s="17" t="s">
        <v>19</v>
      </c>
      <c r="E195" s="17" t="s">
        <v>20</v>
      </c>
      <c r="F195" s="17"/>
      <c r="G195" s="18">
        <v>0</v>
      </c>
      <c r="H195" s="18">
        <v>5261.0900</v>
      </c>
      <c r="I195" s="18">
        <f ca="1">((I194 + G195) - H195)</f>
        <v>0</v>
      </c>
      <c r="J195" s="18">
        <v>-526.1100</v>
      </c>
      <c r="K195" s="19">
        <v>10.0000</v>
      </c>
      <c r="L195" s="17" t="s">
        <v>21</v>
      </c>
    </row>
    <row r="196" ht="10.95" customHeight="true" customFormat="true" s="9">
      <c r="A196" s="16">
        <v>45271</v>
      </c>
      <c r="B196" s="17" t="s">
        <v>17</v>
      </c>
      <c r="C196" s="17" t="s">
        <v>18</v>
      </c>
      <c r="D196" s="17" t="s">
        <v>19</v>
      </c>
      <c r="E196" s="17" t="s">
        <v>24</v>
      </c>
      <c r="F196" s="17"/>
      <c r="G196" s="18">
        <v>0</v>
      </c>
      <c r="H196" s="18">
        <v>136.3600</v>
      </c>
      <c r="I196" s="18">
        <f ca="1">((I195 + G196) - H196)</f>
        <v>0</v>
      </c>
      <c r="J196" s="18">
        <v>-13.6400</v>
      </c>
      <c r="K196" s="19">
        <v>10.0000</v>
      </c>
      <c r="L196" s="17" t="s">
        <v>21</v>
      </c>
    </row>
    <row r="197" ht="10.95" customHeight="true" customFormat="true" s="9">
      <c r="A197" s="16">
        <v>45271</v>
      </c>
      <c r="B197" s="17" t="s">
        <v>17</v>
      </c>
      <c r="C197" s="17" t="s">
        <v>18</v>
      </c>
      <c r="D197" s="17" t="s">
        <v>19</v>
      </c>
      <c r="E197" s="17" t="s">
        <v>20</v>
      </c>
      <c r="F197" s="17"/>
      <c r="G197" s="18">
        <v>0</v>
      </c>
      <c r="H197" s="18">
        <v>2790.9500</v>
      </c>
      <c r="I197" s="18">
        <f ca="1">((I196 + G197) - H197)</f>
        <v>0</v>
      </c>
      <c r="J197" s="18">
        <v>-279.1000</v>
      </c>
      <c r="K197" s="19">
        <v>10.0000</v>
      </c>
      <c r="L197" s="17" t="s">
        <v>21</v>
      </c>
    </row>
    <row r="198" ht="10.95" customHeight="true" customFormat="true" s="9">
      <c r="A198" s="16">
        <v>45273</v>
      </c>
      <c r="B198" s="17" t="s">
        <v>17</v>
      </c>
      <c r="C198" s="17" t="s">
        <v>18</v>
      </c>
      <c r="D198" s="17" t="s">
        <v>19</v>
      </c>
      <c r="E198" s="17" t="s">
        <v>20</v>
      </c>
      <c r="F198" s="17"/>
      <c r="G198" s="18">
        <v>0</v>
      </c>
      <c r="H198" s="18">
        <v>2345.4100</v>
      </c>
      <c r="I198" s="18">
        <f ca="1">((I197 + G198) - H198)</f>
        <v>0</v>
      </c>
      <c r="J198" s="18">
        <v>-234.5400</v>
      </c>
      <c r="K198" s="19">
        <v>10.0000</v>
      </c>
      <c r="L198" s="17" t="s">
        <v>21</v>
      </c>
    </row>
    <row r="199" ht="10.95" customHeight="true" customFormat="true" s="9">
      <c r="A199" s="16">
        <v>45274</v>
      </c>
      <c r="B199" s="17" t="s">
        <v>17</v>
      </c>
      <c r="C199" s="17" t="s">
        <v>18</v>
      </c>
      <c r="D199" s="17" t="s">
        <v>19</v>
      </c>
      <c r="E199" s="17" t="s">
        <v>20</v>
      </c>
      <c r="F199" s="17"/>
      <c r="G199" s="18">
        <v>0</v>
      </c>
      <c r="H199" s="18">
        <v>2280.4500</v>
      </c>
      <c r="I199" s="18">
        <f ca="1">((I198 + G199) - H199)</f>
        <v>0</v>
      </c>
      <c r="J199" s="18">
        <v>-228.0500</v>
      </c>
      <c r="K199" s="19">
        <v>10.0000</v>
      </c>
      <c r="L199" s="17" t="s">
        <v>21</v>
      </c>
    </row>
    <row r="200" ht="10.95" customHeight="true" customFormat="true" s="9">
      <c r="A200" s="16">
        <v>45275</v>
      </c>
      <c r="B200" s="17" t="s">
        <v>17</v>
      </c>
      <c r="C200" s="17" t="s">
        <v>18</v>
      </c>
      <c r="D200" s="17" t="s">
        <v>19</v>
      </c>
      <c r="E200" s="17" t="s">
        <v>20</v>
      </c>
      <c r="F200" s="17"/>
      <c r="G200" s="18">
        <v>0</v>
      </c>
      <c r="H200" s="18">
        <v>2514.7700</v>
      </c>
      <c r="I200" s="18">
        <f ca="1">((I199 + G200) - H200)</f>
        <v>0</v>
      </c>
      <c r="J200" s="18">
        <v>-251.4800</v>
      </c>
      <c r="K200" s="19">
        <v>10.0000</v>
      </c>
      <c r="L200" s="17" t="s">
        <v>21</v>
      </c>
    </row>
    <row r="201" ht="10.95" customHeight="true" customFormat="true" s="9">
      <c r="A201" s="16">
        <v>45278</v>
      </c>
      <c r="B201" s="17" t="s">
        <v>17</v>
      </c>
      <c r="C201" s="17" t="s">
        <v>18</v>
      </c>
      <c r="D201" s="17" t="s">
        <v>22</v>
      </c>
      <c r="E201" s="17" t="s">
        <v>23</v>
      </c>
      <c r="F201" s="17"/>
      <c r="G201" s="18">
        <v>2000.0000</v>
      </c>
      <c r="H201" s="18">
        <v>0</v>
      </c>
      <c r="I201" s="18">
        <f ca="1">((I200 + G201) - H201)</f>
        <v>0</v>
      </c>
      <c r="J201" s="18">
        <v>200.0000</v>
      </c>
      <c r="K201" s="19">
        <v>10.0000</v>
      </c>
      <c r="L201" s="17" t="s">
        <v>21</v>
      </c>
    </row>
    <row r="202" ht="10.95" customHeight="true" customFormat="true" s="9">
      <c r="A202" s="16">
        <v>45278</v>
      </c>
      <c r="B202" s="17" t="s">
        <v>17</v>
      </c>
      <c r="C202" s="17" t="s">
        <v>18</v>
      </c>
      <c r="D202" s="17" t="s">
        <v>19</v>
      </c>
      <c r="E202" s="17" t="s">
        <v>24</v>
      </c>
      <c r="F202" s="17"/>
      <c r="G202" s="18">
        <v>0</v>
      </c>
      <c r="H202" s="18">
        <v>113.6400</v>
      </c>
      <c r="I202" s="18">
        <f ca="1">((I201 + G202) - H202)</f>
        <v>0</v>
      </c>
      <c r="J202" s="18">
        <v>-11.3600</v>
      </c>
      <c r="K202" s="19">
        <v>10.0000</v>
      </c>
      <c r="L202" s="17" t="s">
        <v>21</v>
      </c>
    </row>
    <row r="203" ht="10.95" customHeight="true" customFormat="true" s="9">
      <c r="A203" s="16">
        <v>45278</v>
      </c>
      <c r="B203" s="17" t="s">
        <v>17</v>
      </c>
      <c r="C203" s="17" t="s">
        <v>18</v>
      </c>
      <c r="D203" s="17" t="s">
        <v>19</v>
      </c>
      <c r="E203" s="17" t="s">
        <v>20</v>
      </c>
      <c r="F203" s="17"/>
      <c r="G203" s="18">
        <v>0</v>
      </c>
      <c r="H203" s="18">
        <v>2704.2700</v>
      </c>
      <c r="I203" s="18">
        <f ca="1">((I202 + G203) - H203)</f>
        <v>0</v>
      </c>
      <c r="J203" s="18">
        <v>-270.4300</v>
      </c>
      <c r="K203" s="19">
        <v>10.0000</v>
      </c>
      <c r="L203" s="17" t="s">
        <v>21</v>
      </c>
    </row>
    <row r="204" ht="10.95" customHeight="true" customFormat="true" s="9">
      <c r="A204" s="16">
        <v>45278</v>
      </c>
      <c r="B204" s="17" t="s">
        <v>17</v>
      </c>
      <c r="C204" s="17" t="s">
        <v>18</v>
      </c>
      <c r="D204" s="17" t="s">
        <v>19</v>
      </c>
      <c r="E204" s="17" t="s">
        <v>20</v>
      </c>
      <c r="F204" s="17"/>
      <c r="G204" s="18">
        <v>0</v>
      </c>
      <c r="H204" s="18">
        <v>5108.6400</v>
      </c>
      <c r="I204" s="18">
        <f ca="1">((I203 + G204) - H204)</f>
        <v>0</v>
      </c>
      <c r="J204" s="18">
        <v>-510.8600</v>
      </c>
      <c r="K204" s="19">
        <v>10.0000</v>
      </c>
      <c r="L204" s="17" t="s">
        <v>21</v>
      </c>
    </row>
    <row r="205" ht="10.95" customHeight="true" customFormat="true" s="9">
      <c r="A205" s="16">
        <v>45278</v>
      </c>
      <c r="B205" s="17" t="s">
        <v>17</v>
      </c>
      <c r="C205" s="17" t="s">
        <v>18</v>
      </c>
      <c r="D205" s="17" t="s">
        <v>19</v>
      </c>
      <c r="E205" s="17" t="s">
        <v>20</v>
      </c>
      <c r="F205" s="17"/>
      <c r="G205" s="18">
        <v>0</v>
      </c>
      <c r="H205" s="18">
        <v>5162.6500</v>
      </c>
      <c r="I205" s="18">
        <f ca="1">((I204 + G205) - H205)</f>
        <v>0</v>
      </c>
      <c r="J205" s="18">
        <v>-516.2600</v>
      </c>
      <c r="K205" s="19">
        <v>10.0000</v>
      </c>
      <c r="L205" s="17" t="s">
        <v>21</v>
      </c>
    </row>
    <row r="206" ht="10.95" customHeight="true" customFormat="true" s="9">
      <c r="A206" s="16">
        <v>45279</v>
      </c>
      <c r="B206" s="17" t="s">
        <v>17</v>
      </c>
      <c r="C206" s="17" t="s">
        <v>18</v>
      </c>
      <c r="D206" s="17" t="s">
        <v>19</v>
      </c>
      <c r="E206" s="17" t="s">
        <v>20</v>
      </c>
      <c r="F206" s="17"/>
      <c r="G206" s="18">
        <v>0</v>
      </c>
      <c r="H206" s="18">
        <v>6.3600</v>
      </c>
      <c r="I206" s="18">
        <f ca="1">((I205 + G206) - H206)</f>
        <v>0</v>
      </c>
      <c r="J206" s="18">
        <v>-0.6400</v>
      </c>
      <c r="K206" s="19">
        <v>10.0000</v>
      </c>
      <c r="L206" s="17" t="s">
        <v>21</v>
      </c>
    </row>
    <row r="207" ht="10.95" customHeight="true" customFormat="true" s="9">
      <c r="A207" s="16">
        <v>45280</v>
      </c>
      <c r="B207" s="17" t="s">
        <v>17</v>
      </c>
      <c r="C207" s="17" t="s">
        <v>18</v>
      </c>
      <c r="D207" s="17" t="s">
        <v>19</v>
      </c>
      <c r="E207" s="17" t="s">
        <v>20</v>
      </c>
      <c r="F207" s="17"/>
      <c r="G207" s="18">
        <v>0</v>
      </c>
      <c r="H207" s="18">
        <v>2487.1800</v>
      </c>
      <c r="I207" s="18">
        <f ca="1">((I206 + G207) - H207)</f>
        <v>0</v>
      </c>
      <c r="J207" s="18">
        <v>-248.7200</v>
      </c>
      <c r="K207" s="19">
        <v>10.0000</v>
      </c>
      <c r="L207" s="17" t="s">
        <v>21</v>
      </c>
    </row>
    <row r="208" ht="10.95" customHeight="true" customFormat="true" s="9">
      <c r="A208" s="16">
        <v>45281</v>
      </c>
      <c r="B208" s="17" t="s">
        <v>17</v>
      </c>
      <c r="C208" s="17" t="s">
        <v>18</v>
      </c>
      <c r="D208" s="17" t="s">
        <v>19</v>
      </c>
      <c r="E208" s="17" t="s">
        <v>20</v>
      </c>
      <c r="F208" s="17"/>
      <c r="G208" s="18">
        <v>0</v>
      </c>
      <c r="H208" s="18">
        <v>2432.0900</v>
      </c>
      <c r="I208" s="18">
        <f ca="1">((I207 + G208) - H208)</f>
        <v>0</v>
      </c>
      <c r="J208" s="18">
        <v>-243.2100</v>
      </c>
      <c r="K208" s="19">
        <v>10.0000</v>
      </c>
      <c r="L208" s="17" t="s">
        <v>21</v>
      </c>
    </row>
    <row r="209" ht="10.95" customHeight="true" customFormat="true" s="9">
      <c r="A209" s="16">
        <v>45282</v>
      </c>
      <c r="B209" s="17" t="s">
        <v>17</v>
      </c>
      <c r="C209" s="17" t="s">
        <v>18</v>
      </c>
      <c r="D209" s="17" t="s">
        <v>19</v>
      </c>
      <c r="E209" s="17" t="s">
        <v>20</v>
      </c>
      <c r="F209" s="17"/>
      <c r="G209" s="18">
        <v>0</v>
      </c>
      <c r="H209" s="18">
        <v>3063.6400</v>
      </c>
      <c r="I209" s="18">
        <f ca="1">((I208 + G209) - H209)</f>
        <v>0</v>
      </c>
      <c r="J209" s="18">
        <v>-306.3600</v>
      </c>
      <c r="K209" s="19">
        <v>10.0000</v>
      </c>
      <c r="L209" s="17" t="s">
        <v>21</v>
      </c>
    </row>
    <row r="210" ht="10.95" customHeight="true" customFormat="true" s="9">
      <c r="A210" s="16">
        <v>45287</v>
      </c>
      <c r="B210" s="17" t="s">
        <v>17</v>
      </c>
      <c r="C210" s="17" t="s">
        <v>18</v>
      </c>
      <c r="D210" s="17" t="s">
        <v>19</v>
      </c>
      <c r="E210" s="17" t="s">
        <v>20</v>
      </c>
      <c r="F210" s="17"/>
      <c r="G210" s="18">
        <v>0</v>
      </c>
      <c r="H210" s="18">
        <v>3904.1800</v>
      </c>
      <c r="I210" s="18">
        <f ca="1">((I209 + G210) - H210)</f>
        <v>0</v>
      </c>
      <c r="J210" s="18">
        <v>-390.4200</v>
      </c>
      <c r="K210" s="19">
        <v>10.0000</v>
      </c>
      <c r="L210" s="17" t="s">
        <v>21</v>
      </c>
    </row>
    <row r="211" ht="10.95" customHeight="true" customFormat="true" s="9">
      <c r="A211" s="16">
        <v>45287</v>
      </c>
      <c r="B211" s="17" t="s">
        <v>17</v>
      </c>
      <c r="C211" s="17" t="s">
        <v>18</v>
      </c>
      <c r="D211" s="17" t="s">
        <v>22</v>
      </c>
      <c r="E211" s="17" t="s">
        <v>23</v>
      </c>
      <c r="F211" s="17"/>
      <c r="G211" s="18">
        <v>1431.8200</v>
      </c>
      <c r="H211" s="18">
        <v>0</v>
      </c>
      <c r="I211" s="18">
        <f ca="1">((I210 + G211) - H211)</f>
        <v>0</v>
      </c>
      <c r="J211" s="18">
        <v>143.1800</v>
      </c>
      <c r="K211" s="19">
        <v>10.0000</v>
      </c>
      <c r="L211" s="17" t="s">
        <v>21</v>
      </c>
    </row>
    <row r="212" ht="10.95" customHeight="true" customFormat="true" s="9">
      <c r="A212" s="16">
        <v>45287</v>
      </c>
      <c r="B212" s="17" t="s">
        <v>17</v>
      </c>
      <c r="C212" s="17" t="s">
        <v>18</v>
      </c>
      <c r="D212" s="17" t="s">
        <v>19</v>
      </c>
      <c r="E212" s="17" t="s">
        <v>20</v>
      </c>
      <c r="F212" s="17"/>
      <c r="G212" s="18">
        <v>0</v>
      </c>
      <c r="H212" s="18">
        <v>10230.0900</v>
      </c>
      <c r="I212" s="18">
        <f ca="1">((I211 + G212) - H212)</f>
        <v>0</v>
      </c>
      <c r="J212" s="18">
        <v>-1023.0100</v>
      </c>
      <c r="K212" s="19">
        <v>10.0000</v>
      </c>
      <c r="L212" s="17" t="s">
        <v>21</v>
      </c>
    </row>
    <row r="213" ht="10.95" customHeight="true" customFormat="true" s="9">
      <c r="A213" s="16">
        <v>45287</v>
      </c>
      <c r="B213" s="17" t="s">
        <v>17</v>
      </c>
      <c r="C213" s="17" t="s">
        <v>18</v>
      </c>
      <c r="D213" s="17" t="s">
        <v>19</v>
      </c>
      <c r="E213" s="17" t="s">
        <v>20</v>
      </c>
      <c r="F213" s="17"/>
      <c r="G213" s="18">
        <v>0</v>
      </c>
      <c r="H213" s="18">
        <v>5113.1800</v>
      </c>
      <c r="I213" s="18">
        <f ca="1">((I212 + G213) - H213)</f>
        <v>0</v>
      </c>
      <c r="J213" s="18">
        <v>-511.3200</v>
      </c>
      <c r="K213" s="19">
        <v>10.0000</v>
      </c>
      <c r="L213" s="17" t="s">
        <v>21</v>
      </c>
    </row>
    <row r="214" ht="10.95" customHeight="true" customFormat="true" s="9">
      <c r="A214" s="16">
        <v>45291</v>
      </c>
      <c r="B214" s="17" t="s">
        <v>17</v>
      </c>
      <c r="C214" s="17" t="s">
        <v>18</v>
      </c>
      <c r="D214" s="17" t="s">
        <v>25</v>
      </c>
      <c r="E214" s="17" t="s">
        <v>31</v>
      </c>
      <c r="F214" s="17" t="s">
        <v>32</v>
      </c>
      <c r="G214" s="18">
        <v>11985.7100</v>
      </c>
      <c r="H214" s="18">
        <v>0</v>
      </c>
      <c r="I214" s="18">
        <f ca="1">((I213 + G214) - H214)</f>
        <v>0</v>
      </c>
      <c r="J214" s="18">
        <v>0</v>
      </c>
      <c r="K214" s="19">
        <v>0</v>
      </c>
      <c r="L214" s="17" t="s">
        <v>28</v>
      </c>
    </row>
    <row r="215" ht="10.95" customHeight="true" customFormat="true" s="9">
      <c r="A215" s="16">
        <v>45291</v>
      </c>
      <c r="B215" s="17" t="s">
        <v>17</v>
      </c>
      <c r="C215" s="17" t="s">
        <v>18</v>
      </c>
      <c r="D215" s="17" t="s">
        <v>25</v>
      </c>
      <c r="E215" s="17" t="s">
        <v>33</v>
      </c>
      <c r="F215" s="17" t="s">
        <v>32</v>
      </c>
      <c r="G215" s="18">
        <v>0</v>
      </c>
      <c r="H215" s="18">
        <v>8008.1900</v>
      </c>
      <c r="I215" s="18">
        <f ca="1">((I214 + G215) - H215)</f>
        <v>0</v>
      </c>
      <c r="J215" s="18">
        <v>0</v>
      </c>
      <c r="K215" s="19">
        <v>0</v>
      </c>
      <c r="L215" s="17" t="s">
        <v>28</v>
      </c>
    </row>
    <row r="216" ht="10.95" customHeight="true" customFormat="true" s="9">
      <c r="A216" s="16">
        <v>45313</v>
      </c>
      <c r="B216" s="17" t="s">
        <v>17</v>
      </c>
      <c r="C216" s="17" t="s">
        <v>18</v>
      </c>
      <c r="D216" s="17" t="s">
        <v>19</v>
      </c>
      <c r="E216" s="17" t="s">
        <v>20</v>
      </c>
      <c r="F216" s="17"/>
      <c r="G216" s="18">
        <v>0</v>
      </c>
      <c r="H216" s="18">
        <v>3476.8600</v>
      </c>
      <c r="I216" s="18">
        <f ca="1">((I215 + G216) - H216)</f>
        <v>0</v>
      </c>
      <c r="J216" s="18">
        <v>-347.6900</v>
      </c>
      <c r="K216" s="19">
        <v>10.0000</v>
      </c>
      <c r="L216" s="17" t="s">
        <v>21</v>
      </c>
    </row>
    <row r="217" ht="10.95" customHeight="true" customFormat="true" s="9">
      <c r="A217" s="16">
        <v>45313</v>
      </c>
      <c r="B217" s="17" t="s">
        <v>17</v>
      </c>
      <c r="C217" s="17" t="s">
        <v>18</v>
      </c>
      <c r="D217" s="17" t="s">
        <v>19</v>
      </c>
      <c r="E217" s="17" t="s">
        <v>20</v>
      </c>
      <c r="F217" s="17"/>
      <c r="G217" s="18">
        <v>0</v>
      </c>
      <c r="H217" s="18">
        <v>2338.9500</v>
      </c>
      <c r="I217" s="18">
        <f ca="1">((I216 + G217) - H217)</f>
        <v>0</v>
      </c>
      <c r="J217" s="18">
        <v>-233.9000</v>
      </c>
      <c r="K217" s="19">
        <v>10.0000</v>
      </c>
      <c r="L217" s="17" t="s">
        <v>21</v>
      </c>
    </row>
    <row r="218" ht="10.95" customHeight="true" customFormat="true" s="9">
      <c r="A218" s="16">
        <v>45313</v>
      </c>
      <c r="B218" s="17" t="s">
        <v>17</v>
      </c>
      <c r="C218" s="17" t="s">
        <v>18</v>
      </c>
      <c r="D218" s="17" t="s">
        <v>19</v>
      </c>
      <c r="E218" s="17" t="s">
        <v>20</v>
      </c>
      <c r="F218" s="17"/>
      <c r="G218" s="18">
        <v>0</v>
      </c>
      <c r="H218" s="18">
        <v>4097.1400</v>
      </c>
      <c r="I218" s="18">
        <f ca="1">((I217 + G218) - H218)</f>
        <v>0</v>
      </c>
      <c r="J218" s="18">
        <v>-409.7100</v>
      </c>
      <c r="K218" s="19">
        <v>10.0000</v>
      </c>
      <c r="L218" s="17" t="s">
        <v>21</v>
      </c>
    </row>
    <row r="219" ht="10.95" customHeight="true" customFormat="true" s="9">
      <c r="A219" s="16">
        <v>45313</v>
      </c>
      <c r="B219" s="17" t="s">
        <v>17</v>
      </c>
      <c r="C219" s="17" t="s">
        <v>18</v>
      </c>
      <c r="D219" s="17" t="s">
        <v>22</v>
      </c>
      <c r="E219" s="17" t="s">
        <v>34</v>
      </c>
      <c r="F219" s="17"/>
      <c r="G219" s="18">
        <v>90.9100</v>
      </c>
      <c r="H219" s="18">
        <v>0</v>
      </c>
      <c r="I219" s="18">
        <f ca="1">((I218 + G219) - H219)</f>
        <v>0</v>
      </c>
      <c r="J219" s="18">
        <v>9.0900</v>
      </c>
      <c r="K219" s="19">
        <v>10.0000</v>
      </c>
      <c r="L219" s="17" t="s">
        <v>21</v>
      </c>
    </row>
    <row r="220" ht="10.95" customHeight="true" customFormat="true" s="9">
      <c r="A220" s="16">
        <v>45315</v>
      </c>
      <c r="B220" s="17" t="s">
        <v>17</v>
      </c>
      <c r="C220" s="17" t="s">
        <v>18</v>
      </c>
      <c r="D220" s="17" t="s">
        <v>19</v>
      </c>
      <c r="E220" s="17" t="s">
        <v>20</v>
      </c>
      <c r="F220" s="17"/>
      <c r="G220" s="18">
        <v>0</v>
      </c>
      <c r="H220" s="18">
        <v>1968.3600</v>
      </c>
      <c r="I220" s="18">
        <f ca="1">((I219 + G220) - H220)</f>
        <v>0</v>
      </c>
      <c r="J220" s="18">
        <v>-196.8400</v>
      </c>
      <c r="K220" s="19">
        <v>10.0000</v>
      </c>
      <c r="L220" s="17" t="s">
        <v>21</v>
      </c>
    </row>
    <row r="221" ht="10.95" customHeight="true" customFormat="true" s="9">
      <c r="A221" s="16">
        <v>45316</v>
      </c>
      <c r="B221" s="17" t="s">
        <v>17</v>
      </c>
      <c r="C221" s="17" t="s">
        <v>18</v>
      </c>
      <c r="D221" s="17" t="s">
        <v>19</v>
      </c>
      <c r="E221" s="17" t="s">
        <v>20</v>
      </c>
      <c r="F221" s="17"/>
      <c r="G221" s="18">
        <v>0</v>
      </c>
      <c r="H221" s="18">
        <v>1971.2700</v>
      </c>
      <c r="I221" s="18">
        <f ca="1">((I220 + G221) - H221)</f>
        <v>0</v>
      </c>
      <c r="J221" s="18">
        <v>-197.1300</v>
      </c>
      <c r="K221" s="19">
        <v>10.0000</v>
      </c>
      <c r="L221" s="17" t="s">
        <v>21</v>
      </c>
    </row>
    <row r="222" ht="10.95" customHeight="true" customFormat="true" s="9">
      <c r="A222" s="16">
        <v>45320</v>
      </c>
      <c r="B222" s="17" t="s">
        <v>17</v>
      </c>
      <c r="C222" s="17" t="s">
        <v>18</v>
      </c>
      <c r="D222" s="17" t="s">
        <v>19</v>
      </c>
      <c r="E222" s="17" t="s">
        <v>20</v>
      </c>
      <c r="F222" s="17"/>
      <c r="G222" s="18">
        <v>0</v>
      </c>
      <c r="H222" s="18">
        <v>2336.7300</v>
      </c>
      <c r="I222" s="18">
        <f ca="1">((I221 + G222) - H222)</f>
        <v>0</v>
      </c>
      <c r="J222" s="18">
        <v>-233.6700</v>
      </c>
      <c r="K222" s="19">
        <v>10.0000</v>
      </c>
      <c r="L222" s="17" t="s">
        <v>21</v>
      </c>
    </row>
    <row r="223" ht="10.95" customHeight="true" customFormat="true" s="9">
      <c r="A223" s="16">
        <v>45320</v>
      </c>
      <c r="B223" s="17" t="s">
        <v>17</v>
      </c>
      <c r="C223" s="17" t="s">
        <v>18</v>
      </c>
      <c r="D223" s="17" t="s">
        <v>19</v>
      </c>
      <c r="E223" s="17" t="s">
        <v>20</v>
      </c>
      <c r="F223" s="17"/>
      <c r="G223" s="18">
        <v>0</v>
      </c>
      <c r="H223" s="18">
        <v>3335.2700</v>
      </c>
      <c r="I223" s="18">
        <f ca="1">((I222 + G223) - H223)</f>
        <v>0</v>
      </c>
      <c r="J223" s="18">
        <v>-333.5300</v>
      </c>
      <c r="K223" s="19">
        <v>10.0000</v>
      </c>
      <c r="L223" s="17" t="s">
        <v>21</v>
      </c>
    </row>
    <row r="224" ht="10.95" customHeight="true" customFormat="true" s="9">
      <c r="A224" s="16">
        <v>45320</v>
      </c>
      <c r="B224" s="17" t="s">
        <v>17</v>
      </c>
      <c r="C224" s="17" t="s">
        <v>18</v>
      </c>
      <c r="D224" s="17" t="s">
        <v>19</v>
      </c>
      <c r="E224" s="17" t="s">
        <v>20</v>
      </c>
      <c r="F224" s="17"/>
      <c r="G224" s="18">
        <v>0</v>
      </c>
      <c r="H224" s="18">
        <v>4113.7700</v>
      </c>
      <c r="I224" s="18">
        <f ca="1">((I223 + G224) - H224)</f>
        <v>0</v>
      </c>
      <c r="J224" s="18">
        <v>-411.3800</v>
      </c>
      <c r="K224" s="19">
        <v>10.0000</v>
      </c>
      <c r="L224" s="17" t="s">
        <v>21</v>
      </c>
    </row>
    <row r="225" ht="10.95" customHeight="true" customFormat="true" s="9">
      <c r="A225" s="16">
        <v>45320</v>
      </c>
      <c r="B225" s="17" t="s">
        <v>17</v>
      </c>
      <c r="C225" s="17" t="s">
        <v>18</v>
      </c>
      <c r="D225" s="17" t="s">
        <v>19</v>
      </c>
      <c r="E225" s="17" t="s">
        <v>20</v>
      </c>
      <c r="F225" s="17"/>
      <c r="G225" s="18">
        <v>0</v>
      </c>
      <c r="H225" s="18">
        <v>4280.3200</v>
      </c>
      <c r="I225" s="18">
        <f ca="1">((I224 + G225) - H225)</f>
        <v>0</v>
      </c>
      <c r="J225" s="18">
        <v>-428.0300</v>
      </c>
      <c r="K225" s="19">
        <v>10.0000</v>
      </c>
      <c r="L225" s="17" t="s">
        <v>21</v>
      </c>
    </row>
    <row r="226" ht="10.95" customHeight="true" customFormat="true" s="9">
      <c r="A226" s="16">
        <v>45320</v>
      </c>
      <c r="B226" s="17" t="s">
        <v>17</v>
      </c>
      <c r="C226" s="17" t="s">
        <v>18</v>
      </c>
      <c r="D226" s="17" t="s">
        <v>22</v>
      </c>
      <c r="E226" s="17" t="s">
        <v>34</v>
      </c>
      <c r="F226" s="17"/>
      <c r="G226" s="18">
        <v>1205.4500</v>
      </c>
      <c r="H226" s="18">
        <v>0</v>
      </c>
      <c r="I226" s="18">
        <f ca="1">((I225 + G226) - H226)</f>
        <v>0</v>
      </c>
      <c r="J226" s="18">
        <v>120.5500</v>
      </c>
      <c r="K226" s="19">
        <v>10.0000</v>
      </c>
      <c r="L226" s="17" t="s">
        <v>21</v>
      </c>
    </row>
    <row r="227" ht="10.95" customHeight="true" customFormat="true" s="9">
      <c r="A227" s="16">
        <v>45322</v>
      </c>
      <c r="B227" s="17" t="s">
        <v>17</v>
      </c>
      <c r="C227" s="17" t="s">
        <v>18</v>
      </c>
      <c r="D227" s="17" t="s">
        <v>19</v>
      </c>
      <c r="E227" s="17" t="s">
        <v>20</v>
      </c>
      <c r="F227" s="17"/>
      <c r="G227" s="18">
        <v>0</v>
      </c>
      <c r="H227" s="18">
        <v>2262.6800</v>
      </c>
      <c r="I227" s="18">
        <f ca="1">((I226 + G227) - H227)</f>
        <v>0</v>
      </c>
      <c r="J227" s="18">
        <v>-226.2700</v>
      </c>
      <c r="K227" s="19">
        <v>10.0000</v>
      </c>
      <c r="L227" s="17" t="s">
        <v>21</v>
      </c>
    </row>
    <row r="228" ht="10.95" customHeight="true" customFormat="true" s="9">
      <c r="A228" s="16">
        <v>45323</v>
      </c>
      <c r="B228" s="17" t="s">
        <v>17</v>
      </c>
      <c r="C228" s="17" t="s">
        <v>18</v>
      </c>
      <c r="D228" s="17" t="s">
        <v>19</v>
      </c>
      <c r="E228" s="17" t="s">
        <v>20</v>
      </c>
      <c r="F228" s="17"/>
      <c r="G228" s="18">
        <v>0</v>
      </c>
      <c r="H228" s="18">
        <v>1892.2300</v>
      </c>
      <c r="I228" s="18">
        <f ca="1">((I227 + G228) - H228)</f>
        <v>0</v>
      </c>
      <c r="J228" s="18">
        <v>-189.2200</v>
      </c>
      <c r="K228" s="19">
        <v>10.0000</v>
      </c>
      <c r="L228" s="17" t="s">
        <v>21</v>
      </c>
    </row>
    <row r="229" ht="10.95" customHeight="true" customFormat="true" s="9">
      <c r="A229" s="16">
        <v>45324</v>
      </c>
      <c r="B229" s="17" t="s">
        <v>17</v>
      </c>
      <c r="C229" s="17" t="s">
        <v>18</v>
      </c>
      <c r="D229" s="17" t="s">
        <v>19</v>
      </c>
      <c r="E229" s="17" t="s">
        <v>20</v>
      </c>
      <c r="F229" s="17"/>
      <c r="G229" s="18">
        <v>0</v>
      </c>
      <c r="H229" s="18">
        <v>2024.4100</v>
      </c>
      <c r="I229" s="18">
        <f ca="1">((I228 + G229) - H229)</f>
        <v>0</v>
      </c>
      <c r="J229" s="18">
        <v>-202.4400</v>
      </c>
      <c r="K229" s="19">
        <v>10.0000</v>
      </c>
      <c r="L229" s="17" t="s">
        <v>21</v>
      </c>
    </row>
    <row r="230" ht="10.95" customHeight="true" customFormat="true" s="9">
      <c r="A230" s="16">
        <v>45327</v>
      </c>
      <c r="B230" s="17" t="s">
        <v>17</v>
      </c>
      <c r="C230" s="17" t="s">
        <v>18</v>
      </c>
      <c r="D230" s="17" t="s">
        <v>19</v>
      </c>
      <c r="E230" s="17" t="s">
        <v>20</v>
      </c>
      <c r="F230" s="17"/>
      <c r="G230" s="18">
        <v>0</v>
      </c>
      <c r="H230" s="18">
        <v>2308.6400</v>
      </c>
      <c r="I230" s="18">
        <f ca="1">((I229 + G230) - H230)</f>
        <v>0</v>
      </c>
      <c r="J230" s="18">
        <v>-230.8600</v>
      </c>
      <c r="K230" s="19">
        <v>10.0000</v>
      </c>
      <c r="L230" s="17" t="s">
        <v>21</v>
      </c>
    </row>
    <row r="231" ht="10.95" customHeight="true" customFormat="true" s="9">
      <c r="A231" s="16">
        <v>45327</v>
      </c>
      <c r="B231" s="17" t="s">
        <v>17</v>
      </c>
      <c r="C231" s="17" t="s">
        <v>18</v>
      </c>
      <c r="D231" s="17" t="s">
        <v>19</v>
      </c>
      <c r="E231" s="17" t="s">
        <v>24</v>
      </c>
      <c r="F231" s="17"/>
      <c r="G231" s="18">
        <v>0</v>
      </c>
      <c r="H231" s="18">
        <v>297.5500</v>
      </c>
      <c r="I231" s="18">
        <f ca="1">((I230 + G231) - H231)</f>
        <v>0</v>
      </c>
      <c r="J231" s="18">
        <v>-29.7500</v>
      </c>
      <c r="K231" s="19">
        <v>10.0000</v>
      </c>
      <c r="L231" s="17" t="s">
        <v>21</v>
      </c>
    </row>
    <row r="232" ht="10.95" customHeight="true" customFormat="true" s="9">
      <c r="A232" s="16">
        <v>45327</v>
      </c>
      <c r="B232" s="17" t="s">
        <v>17</v>
      </c>
      <c r="C232" s="17" t="s">
        <v>18</v>
      </c>
      <c r="D232" s="17" t="s">
        <v>19</v>
      </c>
      <c r="E232" s="17" t="s">
        <v>24</v>
      </c>
      <c r="F232" s="17"/>
      <c r="G232" s="18">
        <v>0</v>
      </c>
      <c r="H232" s="18">
        <v>154.5500</v>
      </c>
      <c r="I232" s="18">
        <f ca="1">((I231 + G232) - H232)</f>
        <v>0</v>
      </c>
      <c r="J232" s="18">
        <v>-15.4500</v>
      </c>
      <c r="K232" s="19">
        <v>10.0000</v>
      </c>
      <c r="L232" s="17" t="s">
        <v>21</v>
      </c>
    </row>
    <row r="233" ht="10.95" customHeight="true" customFormat="true" s="9">
      <c r="A233" s="16">
        <v>45327</v>
      </c>
      <c r="B233" s="17" t="s">
        <v>17</v>
      </c>
      <c r="C233" s="17" t="s">
        <v>18</v>
      </c>
      <c r="D233" s="17" t="s">
        <v>19</v>
      </c>
      <c r="E233" s="17" t="s">
        <v>20</v>
      </c>
      <c r="F233" s="17"/>
      <c r="G233" s="18">
        <v>0</v>
      </c>
      <c r="H233" s="18">
        <v>5101.0000</v>
      </c>
      <c r="I233" s="18">
        <f ca="1">((I232 + G233) - H233)</f>
        <v>0</v>
      </c>
      <c r="J233" s="18">
        <v>-510.1000</v>
      </c>
      <c r="K233" s="19">
        <v>10.0000</v>
      </c>
      <c r="L233" s="17" t="s">
        <v>21</v>
      </c>
    </row>
    <row r="234" ht="10.95" customHeight="true" customFormat="true" s="9">
      <c r="A234" s="16">
        <v>45327</v>
      </c>
      <c r="B234" s="17" t="s">
        <v>17</v>
      </c>
      <c r="C234" s="17" t="s">
        <v>18</v>
      </c>
      <c r="D234" s="17" t="s">
        <v>19</v>
      </c>
      <c r="E234" s="17" t="s">
        <v>20</v>
      </c>
      <c r="F234" s="17"/>
      <c r="G234" s="18">
        <v>0</v>
      </c>
      <c r="H234" s="18">
        <v>4568.6800</v>
      </c>
      <c r="I234" s="18">
        <f ca="1">((I233 + G234) - H234)</f>
        <v>0</v>
      </c>
      <c r="J234" s="18">
        <v>-456.8700</v>
      </c>
      <c r="K234" s="19">
        <v>10.0000</v>
      </c>
      <c r="L234" s="17" t="s">
        <v>21</v>
      </c>
    </row>
    <row r="235" ht="10.95" customHeight="true" customFormat="true" s="9">
      <c r="A235" s="16">
        <v>45327</v>
      </c>
      <c r="B235" s="17" t="s">
        <v>17</v>
      </c>
      <c r="C235" s="17" t="s">
        <v>18</v>
      </c>
      <c r="D235" s="17" t="s">
        <v>22</v>
      </c>
      <c r="E235" s="17" t="s">
        <v>34</v>
      </c>
      <c r="F235" s="17"/>
      <c r="G235" s="18">
        <v>1339.0900</v>
      </c>
      <c r="H235" s="18">
        <v>0</v>
      </c>
      <c r="I235" s="18">
        <f ca="1">((I234 + G235) - H235)</f>
        <v>0</v>
      </c>
      <c r="J235" s="18">
        <v>133.9100</v>
      </c>
      <c r="K235" s="19">
        <v>10.0000</v>
      </c>
      <c r="L235" s="17" t="s">
        <v>21</v>
      </c>
    </row>
    <row r="236" ht="10.95" customHeight="true" customFormat="true" s="9">
      <c r="A236" s="16">
        <v>45329</v>
      </c>
      <c r="B236" s="17" t="s">
        <v>17</v>
      </c>
      <c r="C236" s="17" t="s">
        <v>18</v>
      </c>
      <c r="D236" s="17" t="s">
        <v>19</v>
      </c>
      <c r="E236" s="17" t="s">
        <v>20</v>
      </c>
      <c r="F236" s="17"/>
      <c r="G236" s="18">
        <v>0</v>
      </c>
      <c r="H236" s="18">
        <v>2037.0500</v>
      </c>
      <c r="I236" s="18">
        <f ca="1">((I235 + G236) - H236)</f>
        <v>0</v>
      </c>
      <c r="J236" s="18">
        <v>-203.7000</v>
      </c>
      <c r="K236" s="19">
        <v>10.0000</v>
      </c>
      <c r="L236" s="17" t="s">
        <v>21</v>
      </c>
    </row>
    <row r="237" ht="10.95" customHeight="true" customFormat="true" s="9">
      <c r="A237" s="16">
        <v>45330</v>
      </c>
      <c r="B237" s="17" t="s">
        <v>17</v>
      </c>
      <c r="C237" s="17" t="s">
        <v>18</v>
      </c>
      <c r="D237" s="17" t="s">
        <v>19</v>
      </c>
      <c r="E237" s="17" t="s">
        <v>20</v>
      </c>
      <c r="F237" s="17"/>
      <c r="G237" s="18">
        <v>0</v>
      </c>
      <c r="H237" s="18">
        <v>2082.6400</v>
      </c>
      <c r="I237" s="18">
        <f ca="1">((I236 + G237) - H237)</f>
        <v>0</v>
      </c>
      <c r="J237" s="18">
        <v>-208.2600</v>
      </c>
      <c r="K237" s="19">
        <v>10.0000</v>
      </c>
      <c r="L237" s="17" t="s">
        <v>21</v>
      </c>
    </row>
    <row r="238" ht="10.95" customHeight="true" customFormat="true" s="9">
      <c r="A238" s="16">
        <v>45331</v>
      </c>
      <c r="B238" s="17" t="s">
        <v>17</v>
      </c>
      <c r="C238" s="17" t="s">
        <v>18</v>
      </c>
      <c r="D238" s="17" t="s">
        <v>19</v>
      </c>
      <c r="E238" s="17" t="s">
        <v>20</v>
      </c>
      <c r="F238" s="17"/>
      <c r="G238" s="18">
        <v>0</v>
      </c>
      <c r="H238" s="18">
        <v>2132.0500</v>
      </c>
      <c r="I238" s="18">
        <f ca="1">((I237 + G238) - H238)</f>
        <v>0</v>
      </c>
      <c r="J238" s="18">
        <v>-213.2000</v>
      </c>
      <c r="K238" s="19">
        <v>10.0000</v>
      </c>
      <c r="L238" s="17" t="s">
        <v>21</v>
      </c>
    </row>
    <row r="239" ht="10.95" customHeight="true" customFormat="true" s="9">
      <c r="A239" s="16">
        <v>45334</v>
      </c>
      <c r="B239" s="17" t="s">
        <v>17</v>
      </c>
      <c r="C239" s="17" t="s">
        <v>18</v>
      </c>
      <c r="D239" s="17" t="s">
        <v>19</v>
      </c>
      <c r="E239" s="17" t="s">
        <v>20</v>
      </c>
      <c r="F239" s="17"/>
      <c r="G239" s="18">
        <v>0</v>
      </c>
      <c r="H239" s="18">
        <v>4871.0000</v>
      </c>
      <c r="I239" s="18">
        <f ca="1">((I238 + G239) - H239)</f>
        <v>0</v>
      </c>
      <c r="J239" s="18">
        <v>-487.1000</v>
      </c>
      <c r="K239" s="19">
        <v>10.0000</v>
      </c>
      <c r="L239" s="17" t="s">
        <v>21</v>
      </c>
    </row>
    <row r="240" ht="10.95" customHeight="true" customFormat="true" s="9">
      <c r="A240" s="16">
        <v>45334</v>
      </c>
      <c r="B240" s="17" t="s">
        <v>17</v>
      </c>
      <c r="C240" s="17" t="s">
        <v>18</v>
      </c>
      <c r="D240" s="17" t="s">
        <v>19</v>
      </c>
      <c r="E240" s="17" t="s">
        <v>20</v>
      </c>
      <c r="F240" s="17"/>
      <c r="G240" s="18">
        <v>0</v>
      </c>
      <c r="H240" s="18">
        <v>5076.0000</v>
      </c>
      <c r="I240" s="18">
        <f ca="1">((I239 + G240) - H240)</f>
        <v>0</v>
      </c>
      <c r="J240" s="18">
        <v>-507.6000</v>
      </c>
      <c r="K240" s="19">
        <v>10.0000</v>
      </c>
      <c r="L240" s="17" t="s">
        <v>21</v>
      </c>
    </row>
    <row r="241" ht="10.95" customHeight="true" customFormat="true" s="9">
      <c r="A241" s="16">
        <v>45334</v>
      </c>
      <c r="B241" s="17" t="s">
        <v>17</v>
      </c>
      <c r="C241" s="17" t="s">
        <v>18</v>
      </c>
      <c r="D241" s="17" t="s">
        <v>19</v>
      </c>
      <c r="E241" s="17" t="s">
        <v>20</v>
      </c>
      <c r="F241" s="17"/>
      <c r="G241" s="18">
        <v>0</v>
      </c>
      <c r="H241" s="18">
        <v>2464.7300</v>
      </c>
      <c r="I241" s="18">
        <f ca="1">((I240 + G241) - H241)</f>
        <v>0</v>
      </c>
      <c r="J241" s="18">
        <v>-246.4700</v>
      </c>
      <c r="K241" s="19">
        <v>10.0000</v>
      </c>
      <c r="L241" s="17" t="s">
        <v>21</v>
      </c>
    </row>
    <row r="242" ht="10.95" customHeight="true" customFormat="true" s="9">
      <c r="A242" s="16">
        <v>45334</v>
      </c>
      <c r="B242" s="17" t="s">
        <v>17</v>
      </c>
      <c r="C242" s="17" t="s">
        <v>18</v>
      </c>
      <c r="D242" s="17" t="s">
        <v>22</v>
      </c>
      <c r="E242" s="17" t="s">
        <v>34</v>
      </c>
      <c r="F242" s="17"/>
      <c r="G242" s="18">
        <v>2573.1800</v>
      </c>
      <c r="H242" s="18">
        <v>0</v>
      </c>
      <c r="I242" s="18">
        <f ca="1">((I241 + G242) - H242)</f>
        <v>0</v>
      </c>
      <c r="J242" s="18">
        <v>257.3200</v>
      </c>
      <c r="K242" s="19">
        <v>10.0000</v>
      </c>
      <c r="L242" s="17" t="s">
        <v>21</v>
      </c>
    </row>
    <row r="243" ht="10.95" customHeight="true" customFormat="true" s="9">
      <c r="A243" s="16">
        <v>45336</v>
      </c>
      <c r="B243" s="17" t="s">
        <v>17</v>
      </c>
      <c r="C243" s="17" t="s">
        <v>18</v>
      </c>
      <c r="D243" s="17" t="s">
        <v>19</v>
      </c>
      <c r="E243" s="17" t="s">
        <v>20</v>
      </c>
      <c r="F243" s="17"/>
      <c r="G243" s="18">
        <v>0</v>
      </c>
      <c r="H243" s="18">
        <v>1929.3600</v>
      </c>
      <c r="I243" s="18">
        <f ca="1">((I242 + G243) - H243)</f>
        <v>0</v>
      </c>
      <c r="J243" s="18">
        <v>-192.9400</v>
      </c>
      <c r="K243" s="19">
        <v>10.0000</v>
      </c>
      <c r="L243" s="17" t="s">
        <v>21</v>
      </c>
    </row>
    <row r="244" ht="10.95" customHeight="true" customFormat="true" s="9">
      <c r="A244" s="16">
        <v>45337</v>
      </c>
      <c r="B244" s="17" t="s">
        <v>17</v>
      </c>
      <c r="C244" s="17" t="s">
        <v>18</v>
      </c>
      <c r="D244" s="17" t="s">
        <v>19</v>
      </c>
      <c r="E244" s="17" t="s">
        <v>20</v>
      </c>
      <c r="F244" s="17"/>
      <c r="G244" s="18">
        <v>0</v>
      </c>
      <c r="H244" s="18">
        <v>2159.0900</v>
      </c>
      <c r="I244" s="18">
        <f ca="1">((I243 + G244) - H244)</f>
        <v>0</v>
      </c>
      <c r="J244" s="18">
        <v>-215.9100</v>
      </c>
      <c r="K244" s="19">
        <v>10.0000</v>
      </c>
      <c r="L244" s="17" t="s">
        <v>21</v>
      </c>
    </row>
    <row r="245" ht="10.95" customHeight="true" customFormat="true" s="9">
      <c r="A245" s="16">
        <v>45338</v>
      </c>
      <c r="B245" s="17" t="s">
        <v>17</v>
      </c>
      <c r="C245" s="17" t="s">
        <v>18</v>
      </c>
      <c r="D245" s="17" t="s">
        <v>19</v>
      </c>
      <c r="E245" s="17" t="s">
        <v>20</v>
      </c>
      <c r="F245" s="17"/>
      <c r="G245" s="18">
        <v>0</v>
      </c>
      <c r="H245" s="18">
        <v>2094.2300</v>
      </c>
      <c r="I245" s="18">
        <f ca="1">((I244 + G245) - H245)</f>
        <v>0</v>
      </c>
      <c r="J245" s="18">
        <v>-209.4200</v>
      </c>
      <c r="K245" s="19">
        <v>10.0000</v>
      </c>
      <c r="L245" s="17" t="s">
        <v>21</v>
      </c>
    </row>
    <row r="246" ht="10.95" customHeight="true" customFormat="true" s="9">
      <c r="A246" s="16">
        <v>45338</v>
      </c>
      <c r="B246" s="17" t="s">
        <v>17</v>
      </c>
      <c r="C246" s="17" t="s">
        <v>18</v>
      </c>
      <c r="D246" s="17" t="s">
        <v>19</v>
      </c>
      <c r="E246" s="17" t="s">
        <v>24</v>
      </c>
      <c r="F246" s="17"/>
      <c r="G246" s="18">
        <v>0</v>
      </c>
      <c r="H246" s="18">
        <v>281.8200</v>
      </c>
      <c r="I246" s="18">
        <f ca="1">((I245 + G246) - H246)</f>
        <v>0</v>
      </c>
      <c r="J246" s="18">
        <v>-28.1800</v>
      </c>
      <c r="K246" s="19">
        <v>10.0000</v>
      </c>
      <c r="L246" s="17" t="s">
        <v>21</v>
      </c>
    </row>
    <row r="247" ht="10.95" customHeight="true" customFormat="true" s="9">
      <c r="A247" s="16">
        <v>45341</v>
      </c>
      <c r="B247" s="17" t="s">
        <v>17</v>
      </c>
      <c r="C247" s="17" t="s">
        <v>18</v>
      </c>
      <c r="D247" s="17" t="s">
        <v>19</v>
      </c>
      <c r="E247" s="17" t="s">
        <v>20</v>
      </c>
      <c r="F247" s="17"/>
      <c r="G247" s="18">
        <v>0</v>
      </c>
      <c r="H247" s="18">
        <v>4958.4500</v>
      </c>
      <c r="I247" s="18">
        <f ca="1">((I246 + G247) - H247)</f>
        <v>0</v>
      </c>
      <c r="J247" s="18">
        <v>-495.8500</v>
      </c>
      <c r="K247" s="19">
        <v>10.0000</v>
      </c>
      <c r="L247" s="17" t="s">
        <v>21</v>
      </c>
    </row>
    <row r="248" ht="10.95" customHeight="true" customFormat="true" s="9">
      <c r="A248" s="16">
        <v>45341</v>
      </c>
      <c r="B248" s="17" t="s">
        <v>17</v>
      </c>
      <c r="C248" s="17" t="s">
        <v>18</v>
      </c>
      <c r="D248" s="17" t="s">
        <v>19</v>
      </c>
      <c r="E248" s="17" t="s">
        <v>20</v>
      </c>
      <c r="F248" s="17"/>
      <c r="G248" s="18">
        <v>0</v>
      </c>
      <c r="H248" s="18">
        <v>4990.0000</v>
      </c>
      <c r="I248" s="18">
        <f ca="1">((I247 + G248) - H248)</f>
        <v>0</v>
      </c>
      <c r="J248" s="18">
        <v>-499.0000</v>
      </c>
      <c r="K248" s="19">
        <v>10.0000</v>
      </c>
      <c r="L248" s="17" t="s">
        <v>21</v>
      </c>
    </row>
    <row r="249" ht="10.95" customHeight="true" customFormat="true" s="9">
      <c r="A249" s="16">
        <v>45341</v>
      </c>
      <c r="B249" s="17" t="s">
        <v>17</v>
      </c>
      <c r="C249" s="17" t="s">
        <v>18</v>
      </c>
      <c r="D249" s="17" t="s">
        <v>22</v>
      </c>
      <c r="E249" s="17" t="s">
        <v>34</v>
      </c>
      <c r="F249" s="17"/>
      <c r="G249" s="18">
        <v>2252.5000</v>
      </c>
      <c r="H249" s="18">
        <v>0</v>
      </c>
      <c r="I249" s="18">
        <f ca="1">((I248 + G249) - H249)</f>
        <v>0</v>
      </c>
      <c r="J249" s="18">
        <v>225.2500</v>
      </c>
      <c r="K249" s="19">
        <v>10.0000</v>
      </c>
      <c r="L249" s="17" t="s">
        <v>21</v>
      </c>
    </row>
    <row r="250" ht="10.95" customHeight="true" customFormat="true" s="9">
      <c r="A250" s="16">
        <v>45341</v>
      </c>
      <c r="B250" s="17" t="s">
        <v>17</v>
      </c>
      <c r="C250" s="17" t="s">
        <v>18</v>
      </c>
      <c r="D250" s="17" t="s">
        <v>19</v>
      </c>
      <c r="E250" s="17" t="s">
        <v>20</v>
      </c>
      <c r="F250" s="17"/>
      <c r="G250" s="18">
        <v>0</v>
      </c>
      <c r="H250" s="18">
        <v>2697.0900</v>
      </c>
      <c r="I250" s="18">
        <f ca="1">((I249 + G250) - H250)</f>
        <v>0</v>
      </c>
      <c r="J250" s="18">
        <v>-269.7100</v>
      </c>
      <c r="K250" s="19">
        <v>10.0000</v>
      </c>
      <c r="L250" s="17" t="s">
        <v>21</v>
      </c>
    </row>
    <row r="251" ht="10.95" customHeight="true" customFormat="true" s="9">
      <c r="A251" s="16">
        <v>45341</v>
      </c>
      <c r="B251" s="17" t="s">
        <v>17</v>
      </c>
      <c r="C251" s="17" t="s">
        <v>18</v>
      </c>
      <c r="D251" s="17" t="s">
        <v>19</v>
      </c>
      <c r="E251" s="17" t="s">
        <v>24</v>
      </c>
      <c r="F251" s="17"/>
      <c r="G251" s="18">
        <v>0</v>
      </c>
      <c r="H251" s="18">
        <v>181.8200</v>
      </c>
      <c r="I251" s="18">
        <f ca="1">((I250 + G251) - H251)</f>
        <v>0</v>
      </c>
      <c r="J251" s="18">
        <v>-18.1800</v>
      </c>
      <c r="K251" s="19">
        <v>10.0000</v>
      </c>
      <c r="L251" s="17" t="s">
        <v>21</v>
      </c>
    </row>
    <row r="252" ht="10.95" customHeight="true" customFormat="true" s="9">
      <c r="A252" s="16">
        <v>45343</v>
      </c>
      <c r="B252" s="17" t="s">
        <v>17</v>
      </c>
      <c r="C252" s="17" t="s">
        <v>18</v>
      </c>
      <c r="D252" s="17" t="s">
        <v>19</v>
      </c>
      <c r="E252" s="17" t="s">
        <v>20</v>
      </c>
      <c r="F252" s="17"/>
      <c r="G252" s="18">
        <v>0</v>
      </c>
      <c r="H252" s="18">
        <v>1920.0900</v>
      </c>
      <c r="I252" s="18">
        <f ca="1">((I251 + G252) - H252)</f>
        <v>0</v>
      </c>
      <c r="J252" s="18">
        <v>-192.0100</v>
      </c>
      <c r="K252" s="19">
        <v>10.0000</v>
      </c>
      <c r="L252" s="17" t="s">
        <v>21</v>
      </c>
    </row>
    <row r="253" ht="10.95" customHeight="true" customFormat="true" s="9">
      <c r="A253" s="16">
        <v>45344</v>
      </c>
      <c r="B253" s="17" t="s">
        <v>17</v>
      </c>
      <c r="C253" s="17" t="s">
        <v>18</v>
      </c>
      <c r="D253" s="17" t="s">
        <v>19</v>
      </c>
      <c r="E253" s="17" t="s">
        <v>20</v>
      </c>
      <c r="F253" s="17"/>
      <c r="G253" s="18">
        <v>0</v>
      </c>
      <c r="H253" s="18">
        <v>2124.5000</v>
      </c>
      <c r="I253" s="18">
        <f ca="1">((I252 + G253) - H253)</f>
        <v>0</v>
      </c>
      <c r="J253" s="18">
        <v>-212.4500</v>
      </c>
      <c r="K253" s="19">
        <v>10.0000</v>
      </c>
      <c r="L253" s="17" t="s">
        <v>21</v>
      </c>
    </row>
    <row r="254" ht="10.95" customHeight="true" customFormat="true" s="9">
      <c r="A254" s="16">
        <v>45345</v>
      </c>
      <c r="B254" s="17" t="s">
        <v>17</v>
      </c>
      <c r="C254" s="17" t="s">
        <v>18</v>
      </c>
      <c r="D254" s="17" t="s">
        <v>19</v>
      </c>
      <c r="E254" s="17" t="s">
        <v>20</v>
      </c>
      <c r="F254" s="17"/>
      <c r="G254" s="18">
        <v>0</v>
      </c>
      <c r="H254" s="18">
        <v>2194.3200</v>
      </c>
      <c r="I254" s="18">
        <f ca="1">((I253 + G254) - H254)</f>
        <v>0</v>
      </c>
      <c r="J254" s="18">
        <v>-219.4300</v>
      </c>
      <c r="K254" s="19">
        <v>10.0000</v>
      </c>
      <c r="L254" s="17" t="s">
        <v>21</v>
      </c>
    </row>
    <row r="255" ht="10.95" customHeight="true" customFormat="true" s="9">
      <c r="A255" s="16">
        <v>45348</v>
      </c>
      <c r="B255" s="17" t="s">
        <v>17</v>
      </c>
      <c r="C255" s="17" t="s">
        <v>18</v>
      </c>
      <c r="D255" s="17" t="s">
        <v>19</v>
      </c>
      <c r="E255" s="17" t="s">
        <v>20</v>
      </c>
      <c r="F255" s="17"/>
      <c r="G255" s="18">
        <v>0</v>
      </c>
      <c r="H255" s="18">
        <v>4658.7700</v>
      </c>
      <c r="I255" s="18">
        <f ca="1">((I254 + G255) - H255)</f>
        <v>0</v>
      </c>
      <c r="J255" s="18">
        <v>-465.8800</v>
      </c>
      <c r="K255" s="19">
        <v>10.0000</v>
      </c>
      <c r="L255" s="17" t="s">
        <v>21</v>
      </c>
    </row>
    <row r="256" ht="10.95" customHeight="true" customFormat="true" s="9">
      <c r="A256" s="16">
        <v>45348</v>
      </c>
      <c r="B256" s="17" t="s">
        <v>17</v>
      </c>
      <c r="C256" s="17" t="s">
        <v>18</v>
      </c>
      <c r="D256" s="17" t="s">
        <v>19</v>
      </c>
      <c r="E256" s="17" t="s">
        <v>20</v>
      </c>
      <c r="F256" s="17"/>
      <c r="G256" s="18">
        <v>0</v>
      </c>
      <c r="H256" s="18">
        <v>5513.8500</v>
      </c>
      <c r="I256" s="18">
        <f ca="1">((I255 + G256) - H256)</f>
        <v>0</v>
      </c>
      <c r="J256" s="18">
        <v>-551.3900</v>
      </c>
      <c r="K256" s="19">
        <v>10.0000</v>
      </c>
      <c r="L256" s="17" t="s">
        <v>21</v>
      </c>
    </row>
    <row r="257" ht="10.95" customHeight="true" customFormat="true" s="9">
      <c r="A257" s="16">
        <v>45348</v>
      </c>
      <c r="B257" s="17" t="s">
        <v>17</v>
      </c>
      <c r="C257" s="17" t="s">
        <v>18</v>
      </c>
      <c r="D257" s="17" t="s">
        <v>19</v>
      </c>
      <c r="E257" s="17" t="s">
        <v>20</v>
      </c>
      <c r="F257" s="17"/>
      <c r="G257" s="18">
        <v>0</v>
      </c>
      <c r="H257" s="18">
        <v>2473.7700</v>
      </c>
      <c r="I257" s="18">
        <f ca="1">((I256 + G257) - H257)</f>
        <v>0</v>
      </c>
      <c r="J257" s="18">
        <v>-247.3800</v>
      </c>
      <c r="K257" s="19">
        <v>10.0000</v>
      </c>
      <c r="L257" s="17" t="s">
        <v>21</v>
      </c>
    </row>
    <row r="258" ht="10.95" customHeight="true" customFormat="true" s="9">
      <c r="A258" s="16">
        <v>45348</v>
      </c>
      <c r="B258" s="17" t="s">
        <v>17</v>
      </c>
      <c r="C258" s="17" t="s">
        <v>18</v>
      </c>
      <c r="D258" s="17" t="s">
        <v>19</v>
      </c>
      <c r="E258" s="17" t="s">
        <v>24</v>
      </c>
      <c r="F258" s="17"/>
      <c r="G258" s="18">
        <v>0</v>
      </c>
      <c r="H258" s="18">
        <v>136.3600</v>
      </c>
      <c r="I258" s="18">
        <f ca="1">((I257 + G258) - H258)</f>
        <v>0</v>
      </c>
      <c r="J258" s="18">
        <v>-13.6400</v>
      </c>
      <c r="K258" s="19">
        <v>10.0000</v>
      </c>
      <c r="L258" s="17" t="s">
        <v>21</v>
      </c>
    </row>
    <row r="259" ht="10.95" customHeight="true" customFormat="true" s="9">
      <c r="A259" s="16">
        <v>45348</v>
      </c>
      <c r="B259" s="17" t="s">
        <v>17</v>
      </c>
      <c r="C259" s="17" t="s">
        <v>18</v>
      </c>
      <c r="D259" s="17" t="s">
        <v>22</v>
      </c>
      <c r="E259" s="17" t="s">
        <v>35</v>
      </c>
      <c r="F259" s="17"/>
      <c r="G259" s="18">
        <v>2181.8200</v>
      </c>
      <c r="H259" s="18">
        <v>0</v>
      </c>
      <c r="I259" s="18">
        <f ca="1">((I258 + G259) - H259)</f>
        <v>0</v>
      </c>
      <c r="J259" s="18">
        <v>218.1800</v>
      </c>
      <c r="K259" s="19">
        <v>10.0000</v>
      </c>
      <c r="L259" s="17" t="s">
        <v>21</v>
      </c>
    </row>
    <row r="260" ht="10.95" customHeight="true" customFormat="true" s="9">
      <c r="A260" s="16">
        <v>45350</v>
      </c>
      <c r="B260" s="17" t="s">
        <v>17</v>
      </c>
      <c r="C260" s="17" t="s">
        <v>18</v>
      </c>
      <c r="D260" s="17" t="s">
        <v>19</v>
      </c>
      <c r="E260" s="17" t="s">
        <v>20</v>
      </c>
      <c r="F260" s="17"/>
      <c r="G260" s="18">
        <v>0</v>
      </c>
      <c r="H260" s="18">
        <v>847.4100</v>
      </c>
      <c r="I260" s="18">
        <f ca="1">((I259 + G260) - H260)</f>
        <v>0</v>
      </c>
      <c r="J260" s="18">
        <v>-84.7400</v>
      </c>
      <c r="K260" s="19">
        <v>10.0000</v>
      </c>
      <c r="L260" s="17" t="s">
        <v>21</v>
      </c>
    </row>
    <row r="261" ht="10.95" customHeight="true" customFormat="true" s="9">
      <c r="A261" s="16">
        <v>45351</v>
      </c>
      <c r="B261" s="17" t="s">
        <v>17</v>
      </c>
      <c r="C261" s="17" t="s">
        <v>18</v>
      </c>
      <c r="D261" s="17" t="s">
        <v>19</v>
      </c>
      <c r="E261" s="17" t="s">
        <v>20</v>
      </c>
      <c r="F261" s="17"/>
      <c r="G261" s="18">
        <v>0</v>
      </c>
      <c r="H261" s="18">
        <v>1763.1400</v>
      </c>
      <c r="I261" s="18">
        <f ca="1">((I260 + G261) - H261)</f>
        <v>0</v>
      </c>
      <c r="J261" s="18">
        <v>-176.3100</v>
      </c>
      <c r="K261" s="19">
        <v>10.0000</v>
      </c>
      <c r="L261" s="17" t="s">
        <v>21</v>
      </c>
    </row>
    <row r="262" ht="10.95" customHeight="true" customFormat="true" s="9">
      <c r="A262" s="16">
        <v>45352</v>
      </c>
      <c r="B262" s="17" t="s">
        <v>17</v>
      </c>
      <c r="C262" s="17" t="s">
        <v>18</v>
      </c>
      <c r="D262" s="17" t="s">
        <v>19</v>
      </c>
      <c r="E262" s="17" t="s">
        <v>20</v>
      </c>
      <c r="F262" s="17"/>
      <c r="G262" s="18">
        <v>0</v>
      </c>
      <c r="H262" s="18">
        <v>2107.2300</v>
      </c>
      <c r="I262" s="18">
        <f ca="1">((I261 + G262) - H262)</f>
        <v>0</v>
      </c>
      <c r="J262" s="18">
        <v>-210.7200</v>
      </c>
      <c r="K262" s="19">
        <v>10.0000</v>
      </c>
      <c r="L262" s="17" t="s">
        <v>21</v>
      </c>
    </row>
    <row r="263" ht="10.95" customHeight="true" customFormat="true" s="9">
      <c r="A263" s="16">
        <v>45355</v>
      </c>
      <c r="B263" s="17" t="s">
        <v>17</v>
      </c>
      <c r="C263" s="17" t="s">
        <v>18</v>
      </c>
      <c r="D263" s="17" t="s">
        <v>19</v>
      </c>
      <c r="E263" s="17" t="s">
        <v>20</v>
      </c>
      <c r="F263" s="17"/>
      <c r="G263" s="18">
        <v>0</v>
      </c>
      <c r="H263" s="18">
        <v>4723.9500</v>
      </c>
      <c r="I263" s="18">
        <f ca="1">((I262 + G263) - H263)</f>
        <v>0</v>
      </c>
      <c r="J263" s="18">
        <v>-472.4000</v>
      </c>
      <c r="K263" s="19">
        <v>10.0000</v>
      </c>
      <c r="L263" s="17" t="s">
        <v>21</v>
      </c>
    </row>
    <row r="264" ht="10.95" customHeight="true" customFormat="true" s="9">
      <c r="A264" s="16">
        <v>45355</v>
      </c>
      <c r="B264" s="17" t="s">
        <v>17</v>
      </c>
      <c r="C264" s="17" t="s">
        <v>18</v>
      </c>
      <c r="D264" s="17" t="s">
        <v>19</v>
      </c>
      <c r="E264" s="17" t="s">
        <v>24</v>
      </c>
      <c r="F264" s="17"/>
      <c r="G264" s="18">
        <v>0</v>
      </c>
      <c r="H264" s="18">
        <v>90.9100</v>
      </c>
      <c r="I264" s="18">
        <f ca="1">((I263 + G264) - H264)</f>
        <v>0</v>
      </c>
      <c r="J264" s="18">
        <v>-9.0900</v>
      </c>
      <c r="K264" s="19">
        <v>10.0000</v>
      </c>
      <c r="L264" s="17" t="s">
        <v>21</v>
      </c>
    </row>
    <row r="265" ht="10.95" customHeight="true" customFormat="true" s="9">
      <c r="A265" s="16">
        <v>45355</v>
      </c>
      <c r="B265" s="17" t="s">
        <v>17</v>
      </c>
      <c r="C265" s="17" t="s">
        <v>18</v>
      </c>
      <c r="D265" s="17" t="s">
        <v>19</v>
      </c>
      <c r="E265" s="17" t="s">
        <v>20</v>
      </c>
      <c r="F265" s="17"/>
      <c r="G265" s="18">
        <v>0</v>
      </c>
      <c r="H265" s="18">
        <v>5310.2300</v>
      </c>
      <c r="I265" s="18">
        <f ca="1">((I264 + G265) - H265)</f>
        <v>0</v>
      </c>
      <c r="J265" s="18">
        <v>-531.0200</v>
      </c>
      <c r="K265" s="19">
        <v>10.0000</v>
      </c>
      <c r="L265" s="17" t="s">
        <v>21</v>
      </c>
    </row>
    <row r="266" ht="10.95" customHeight="true" customFormat="true" s="9">
      <c r="A266" s="16">
        <v>45355</v>
      </c>
      <c r="B266" s="17" t="s">
        <v>17</v>
      </c>
      <c r="C266" s="17" t="s">
        <v>18</v>
      </c>
      <c r="D266" s="17" t="s">
        <v>19</v>
      </c>
      <c r="E266" s="17" t="s">
        <v>20</v>
      </c>
      <c r="F266" s="17"/>
      <c r="G266" s="18">
        <v>0</v>
      </c>
      <c r="H266" s="18">
        <v>2699.1800</v>
      </c>
      <c r="I266" s="18">
        <f ca="1">((I265 + G266) - H266)</f>
        <v>0</v>
      </c>
      <c r="J266" s="18">
        <v>-269.9200</v>
      </c>
      <c r="K266" s="19">
        <v>10.0000</v>
      </c>
      <c r="L266" s="17" t="s">
        <v>21</v>
      </c>
    </row>
    <row r="267" ht="10.95" customHeight="true" customFormat="true" s="9">
      <c r="A267" s="16">
        <v>45355</v>
      </c>
      <c r="B267" s="17" t="s">
        <v>17</v>
      </c>
      <c r="C267" s="17" t="s">
        <v>18</v>
      </c>
      <c r="D267" s="17" t="s">
        <v>22</v>
      </c>
      <c r="E267" s="17" t="s">
        <v>36</v>
      </c>
      <c r="F267" s="17"/>
      <c r="G267" s="18">
        <v>1095.9100</v>
      </c>
      <c r="H267" s="18">
        <v>0</v>
      </c>
      <c r="I267" s="18">
        <f ca="1">((I266 + G267) - H267)</f>
        <v>0</v>
      </c>
      <c r="J267" s="18">
        <v>109.5900</v>
      </c>
      <c r="K267" s="19">
        <v>10.0000</v>
      </c>
      <c r="L267" s="17" t="s">
        <v>21</v>
      </c>
    </row>
    <row r="268" ht="10.95" customHeight="true" customFormat="true" s="9">
      <c r="A268" s="16">
        <v>45357</v>
      </c>
      <c r="B268" s="17" t="s">
        <v>17</v>
      </c>
      <c r="C268" s="17" t="s">
        <v>18</v>
      </c>
      <c r="D268" s="17" t="s">
        <v>19</v>
      </c>
      <c r="E268" s="17" t="s">
        <v>20</v>
      </c>
      <c r="F268" s="17"/>
      <c r="G268" s="18">
        <v>0</v>
      </c>
      <c r="H268" s="18">
        <v>2129.6800</v>
      </c>
      <c r="I268" s="18">
        <f ca="1">((I267 + G268) - H268)</f>
        <v>0</v>
      </c>
      <c r="J268" s="18">
        <v>-212.9700</v>
      </c>
      <c r="K268" s="19">
        <v>10.0000</v>
      </c>
      <c r="L268" s="17" t="s">
        <v>21</v>
      </c>
    </row>
    <row r="269" ht="10.95" customHeight="true" customFormat="true" s="9">
      <c r="A269" s="16">
        <v>45358</v>
      </c>
      <c r="B269" s="17" t="s">
        <v>17</v>
      </c>
      <c r="C269" s="17" t="s">
        <v>18</v>
      </c>
      <c r="D269" s="17" t="s">
        <v>19</v>
      </c>
      <c r="E269" s="17" t="s">
        <v>20</v>
      </c>
      <c r="F269" s="17"/>
      <c r="G269" s="18">
        <v>0</v>
      </c>
      <c r="H269" s="18">
        <v>2615.6800</v>
      </c>
      <c r="I269" s="18">
        <f ca="1">((I268 + G269) - H269)</f>
        <v>0</v>
      </c>
      <c r="J269" s="18">
        <v>-261.5700</v>
      </c>
      <c r="K269" s="19">
        <v>10.0000</v>
      </c>
      <c r="L269" s="17" t="s">
        <v>21</v>
      </c>
    </row>
    <row r="270" ht="10.95" customHeight="true" customFormat="true" s="9">
      <c r="A270" s="16">
        <v>45359</v>
      </c>
      <c r="B270" s="17" t="s">
        <v>17</v>
      </c>
      <c r="C270" s="17" t="s">
        <v>18</v>
      </c>
      <c r="D270" s="17" t="s">
        <v>19</v>
      </c>
      <c r="E270" s="17" t="s">
        <v>20</v>
      </c>
      <c r="F270" s="17"/>
      <c r="G270" s="18">
        <v>0</v>
      </c>
      <c r="H270" s="18">
        <v>2252.6800</v>
      </c>
      <c r="I270" s="18">
        <f ca="1">((I269 + G270) - H270)</f>
        <v>0</v>
      </c>
      <c r="J270" s="18">
        <v>-225.2700</v>
      </c>
      <c r="K270" s="19">
        <v>10.0000</v>
      </c>
      <c r="L270" s="17" t="s">
        <v>21</v>
      </c>
    </row>
    <row r="271" ht="10.95" customHeight="true" customFormat="true" s="9">
      <c r="A271" s="16">
        <v>45362</v>
      </c>
      <c r="B271" s="17" t="s">
        <v>17</v>
      </c>
      <c r="C271" s="17" t="s">
        <v>18</v>
      </c>
      <c r="D271" s="17" t="s">
        <v>19</v>
      </c>
      <c r="E271" s="17" t="s">
        <v>20</v>
      </c>
      <c r="F271" s="17"/>
      <c r="G271" s="18">
        <v>0</v>
      </c>
      <c r="H271" s="18">
        <v>5015.0000</v>
      </c>
      <c r="I271" s="18">
        <f ca="1">((I270 + G271) - H271)</f>
        <v>0</v>
      </c>
      <c r="J271" s="18">
        <v>-501.5000</v>
      </c>
      <c r="K271" s="19">
        <v>10.0000</v>
      </c>
      <c r="L271" s="17" t="s">
        <v>21</v>
      </c>
    </row>
    <row r="272" ht="10.95" customHeight="true" customFormat="true" s="9">
      <c r="A272" s="16">
        <v>45362</v>
      </c>
      <c r="B272" s="17" t="s">
        <v>17</v>
      </c>
      <c r="C272" s="17" t="s">
        <v>18</v>
      </c>
      <c r="D272" s="17" t="s">
        <v>19</v>
      </c>
      <c r="E272" s="17" t="s">
        <v>20</v>
      </c>
      <c r="F272" s="17"/>
      <c r="G272" s="18">
        <v>0</v>
      </c>
      <c r="H272" s="18">
        <v>2516.1800</v>
      </c>
      <c r="I272" s="18">
        <f ca="1">((I271 + G272) - H272)</f>
        <v>0</v>
      </c>
      <c r="J272" s="18">
        <v>-251.6200</v>
      </c>
      <c r="K272" s="19">
        <v>10.0000</v>
      </c>
      <c r="L272" s="17" t="s">
        <v>21</v>
      </c>
    </row>
    <row r="273" ht="10.95" customHeight="true" customFormat="true" s="9">
      <c r="A273" s="16">
        <v>45362</v>
      </c>
      <c r="B273" s="17" t="s">
        <v>17</v>
      </c>
      <c r="C273" s="17" t="s">
        <v>18</v>
      </c>
      <c r="D273" s="17" t="s">
        <v>22</v>
      </c>
      <c r="E273" s="17" t="s">
        <v>34</v>
      </c>
      <c r="F273" s="17"/>
      <c r="G273" s="18">
        <v>2634.5500</v>
      </c>
      <c r="H273" s="18">
        <v>0</v>
      </c>
      <c r="I273" s="18">
        <f ca="1">((I272 + G273) - H273)</f>
        <v>0</v>
      </c>
      <c r="J273" s="18">
        <v>263.4500</v>
      </c>
      <c r="K273" s="19">
        <v>10.0000</v>
      </c>
      <c r="L273" s="17" t="s">
        <v>21</v>
      </c>
    </row>
    <row r="274" ht="10.95" customHeight="true" customFormat="true" s="9">
      <c r="A274" s="16">
        <v>45362</v>
      </c>
      <c r="B274" s="17" t="s">
        <v>17</v>
      </c>
      <c r="C274" s="17" t="s">
        <v>18</v>
      </c>
      <c r="D274" s="17" t="s">
        <v>19</v>
      </c>
      <c r="E274" s="17" t="s">
        <v>20</v>
      </c>
      <c r="F274" s="17"/>
      <c r="G274" s="18">
        <v>0</v>
      </c>
      <c r="H274" s="18">
        <v>4701.4500</v>
      </c>
      <c r="I274" s="18">
        <f ca="1">((I273 + G274) - H274)</f>
        <v>0</v>
      </c>
      <c r="J274" s="18">
        <v>-470.1500</v>
      </c>
      <c r="K274" s="19">
        <v>10.0000</v>
      </c>
      <c r="L274" s="17" t="s">
        <v>21</v>
      </c>
    </row>
    <row r="275" ht="10.95" customHeight="true" customFormat="true" s="9">
      <c r="A275" s="16">
        <v>45364</v>
      </c>
      <c r="B275" s="17" t="s">
        <v>17</v>
      </c>
      <c r="C275" s="17" t="s">
        <v>18</v>
      </c>
      <c r="D275" s="17" t="s">
        <v>19</v>
      </c>
      <c r="E275" s="17" t="s">
        <v>20</v>
      </c>
      <c r="F275" s="17"/>
      <c r="G275" s="18">
        <v>0</v>
      </c>
      <c r="H275" s="18">
        <v>1972.2700</v>
      </c>
      <c r="I275" s="18">
        <f ca="1">((I274 + G275) - H275)</f>
        <v>0</v>
      </c>
      <c r="J275" s="18">
        <v>-197.2300</v>
      </c>
      <c r="K275" s="19">
        <v>10.0000</v>
      </c>
      <c r="L275" s="17" t="s">
        <v>21</v>
      </c>
    </row>
    <row r="276" ht="10.95" customHeight="true" customFormat="true" s="9">
      <c r="A276" s="16">
        <v>45364</v>
      </c>
      <c r="B276" s="17" t="s">
        <v>17</v>
      </c>
      <c r="C276" s="17" t="s">
        <v>18</v>
      </c>
      <c r="D276" s="17" t="s">
        <v>19</v>
      </c>
      <c r="E276" s="17" t="s">
        <v>24</v>
      </c>
      <c r="F276" s="17"/>
      <c r="G276" s="18">
        <v>0</v>
      </c>
      <c r="H276" s="18">
        <v>154.7300</v>
      </c>
      <c r="I276" s="18">
        <f ca="1">((I275 + G276) - H276)</f>
        <v>0</v>
      </c>
      <c r="J276" s="18">
        <v>-15.4700</v>
      </c>
      <c r="K276" s="19">
        <v>10.0000</v>
      </c>
      <c r="L276" s="17" t="s">
        <v>21</v>
      </c>
    </row>
    <row r="277" ht="10.95" customHeight="true" customFormat="true" s="9">
      <c r="A277" s="16">
        <v>45365</v>
      </c>
      <c r="B277" s="17" t="s">
        <v>17</v>
      </c>
      <c r="C277" s="17" t="s">
        <v>18</v>
      </c>
      <c r="D277" s="17" t="s">
        <v>19</v>
      </c>
      <c r="E277" s="17" t="s">
        <v>20</v>
      </c>
      <c r="F277" s="17"/>
      <c r="G277" s="18">
        <v>0</v>
      </c>
      <c r="H277" s="18">
        <v>2114.4100</v>
      </c>
      <c r="I277" s="18">
        <f ca="1">((I276 + G277) - H277)</f>
        <v>0</v>
      </c>
      <c r="J277" s="18">
        <v>-211.4400</v>
      </c>
      <c r="K277" s="19">
        <v>10.0000</v>
      </c>
      <c r="L277" s="17" t="s">
        <v>21</v>
      </c>
    </row>
    <row r="278" ht="10.95" customHeight="true" customFormat="true" s="9">
      <c r="A278" s="16">
        <v>45366</v>
      </c>
      <c r="B278" s="17" t="s">
        <v>17</v>
      </c>
      <c r="C278" s="17" t="s">
        <v>18</v>
      </c>
      <c r="D278" s="17" t="s">
        <v>19</v>
      </c>
      <c r="E278" s="17" t="s">
        <v>20</v>
      </c>
      <c r="F278" s="17"/>
      <c r="G278" s="18">
        <v>0</v>
      </c>
      <c r="H278" s="18">
        <v>2115.4100</v>
      </c>
      <c r="I278" s="18">
        <f ca="1">((I277 + G278) - H278)</f>
        <v>0</v>
      </c>
      <c r="J278" s="18">
        <v>-211.5400</v>
      </c>
      <c r="K278" s="19">
        <v>10.0000</v>
      </c>
      <c r="L278" s="17" t="s">
        <v>21</v>
      </c>
    </row>
    <row r="279" ht="10.95" customHeight="true" customFormat="true" s="9">
      <c r="A279" s="16">
        <v>45369</v>
      </c>
      <c r="B279" s="17" t="s">
        <v>17</v>
      </c>
      <c r="C279" s="17" t="s">
        <v>18</v>
      </c>
      <c r="D279" s="17" t="s">
        <v>19</v>
      </c>
      <c r="E279" s="17" t="s">
        <v>20</v>
      </c>
      <c r="F279" s="17"/>
      <c r="G279" s="18">
        <v>0</v>
      </c>
      <c r="H279" s="18">
        <v>2475.5900</v>
      </c>
      <c r="I279" s="18">
        <f ca="1">((I278 + G279) - H279)</f>
        <v>0</v>
      </c>
      <c r="J279" s="18">
        <v>-247.5600</v>
      </c>
      <c r="K279" s="19">
        <v>10.0000</v>
      </c>
      <c r="L279" s="17" t="s">
        <v>21</v>
      </c>
    </row>
    <row r="280" ht="10.95" customHeight="true" customFormat="true" s="9">
      <c r="A280" s="16">
        <v>45369</v>
      </c>
      <c r="B280" s="17" t="s">
        <v>17</v>
      </c>
      <c r="C280" s="17" t="s">
        <v>18</v>
      </c>
      <c r="D280" s="17" t="s">
        <v>19</v>
      </c>
      <c r="E280" s="17" t="s">
        <v>24</v>
      </c>
      <c r="F280" s="17"/>
      <c r="G280" s="18">
        <v>0</v>
      </c>
      <c r="H280" s="18">
        <v>154.5500</v>
      </c>
      <c r="I280" s="18">
        <f ca="1">((I279 + G280) - H280)</f>
        <v>0</v>
      </c>
      <c r="J280" s="18">
        <v>-15.4500</v>
      </c>
      <c r="K280" s="19">
        <v>10.0000</v>
      </c>
      <c r="L280" s="17" t="s">
        <v>21</v>
      </c>
    </row>
    <row r="281" ht="10.95" customHeight="true" customFormat="true" s="9">
      <c r="A281" s="16">
        <v>45369</v>
      </c>
      <c r="B281" s="17" t="s">
        <v>17</v>
      </c>
      <c r="C281" s="17" t="s">
        <v>18</v>
      </c>
      <c r="D281" s="17" t="s">
        <v>19</v>
      </c>
      <c r="E281" s="17" t="s">
        <v>20</v>
      </c>
      <c r="F281" s="17"/>
      <c r="G281" s="18">
        <v>0</v>
      </c>
      <c r="H281" s="18">
        <v>5236.1400</v>
      </c>
      <c r="I281" s="18">
        <f ca="1">((I280 + G281) - H281)</f>
        <v>0</v>
      </c>
      <c r="J281" s="18">
        <v>-523.6100</v>
      </c>
      <c r="K281" s="19">
        <v>10.0000</v>
      </c>
      <c r="L281" s="17" t="s">
        <v>21</v>
      </c>
    </row>
    <row r="282" ht="10.95" customHeight="true" customFormat="true" s="9">
      <c r="A282" s="16">
        <v>45369</v>
      </c>
      <c r="B282" s="17" t="s">
        <v>17</v>
      </c>
      <c r="C282" s="17" t="s">
        <v>18</v>
      </c>
      <c r="D282" s="17" t="s">
        <v>22</v>
      </c>
      <c r="E282" s="17" t="s">
        <v>37</v>
      </c>
      <c r="F282" s="17"/>
      <c r="G282" s="18">
        <v>2309.0900</v>
      </c>
      <c r="H282" s="18">
        <v>0</v>
      </c>
      <c r="I282" s="18">
        <f ca="1">((I281 + G282) - H282)</f>
        <v>0</v>
      </c>
      <c r="J282" s="18">
        <v>230.9100</v>
      </c>
      <c r="K282" s="19">
        <v>10.0000</v>
      </c>
      <c r="L282" s="17" t="s">
        <v>21</v>
      </c>
    </row>
    <row r="283" ht="10.95" customHeight="true" customFormat="true" s="9">
      <c r="A283" s="16">
        <v>45369</v>
      </c>
      <c r="B283" s="17" t="s">
        <v>17</v>
      </c>
      <c r="C283" s="17" t="s">
        <v>18</v>
      </c>
      <c r="D283" s="17" t="s">
        <v>19</v>
      </c>
      <c r="E283" s="17" t="s">
        <v>20</v>
      </c>
      <c r="F283" s="17"/>
      <c r="G283" s="18">
        <v>0</v>
      </c>
      <c r="H283" s="18">
        <v>5191.5500</v>
      </c>
      <c r="I283" s="18">
        <f ca="1">((I282 + G283) - H283)</f>
        <v>0</v>
      </c>
      <c r="J283" s="18">
        <v>-519.1500</v>
      </c>
      <c r="K283" s="19">
        <v>10.0000</v>
      </c>
      <c r="L283" s="17" t="s">
        <v>21</v>
      </c>
    </row>
    <row r="284" ht="10.95" customHeight="true" customFormat="true" s="9">
      <c r="A284" s="16">
        <v>45371</v>
      </c>
      <c r="B284" s="17" t="s">
        <v>17</v>
      </c>
      <c r="C284" s="17" t="s">
        <v>18</v>
      </c>
      <c r="D284" s="17" t="s">
        <v>19</v>
      </c>
      <c r="E284" s="17" t="s">
        <v>20</v>
      </c>
      <c r="F284" s="17"/>
      <c r="G284" s="18">
        <v>0</v>
      </c>
      <c r="H284" s="18">
        <v>1896.4100</v>
      </c>
      <c r="I284" s="18">
        <f ca="1">((I283 + G284) - H284)</f>
        <v>0</v>
      </c>
      <c r="J284" s="18">
        <v>-189.6400</v>
      </c>
      <c r="K284" s="19">
        <v>10.0000</v>
      </c>
      <c r="L284" s="17" t="s">
        <v>21</v>
      </c>
    </row>
    <row r="285" ht="10.95" customHeight="true" customFormat="true" s="9">
      <c r="A285" s="16">
        <v>45372</v>
      </c>
      <c r="B285" s="17" t="s">
        <v>17</v>
      </c>
      <c r="C285" s="17" t="s">
        <v>18</v>
      </c>
      <c r="D285" s="17" t="s">
        <v>19</v>
      </c>
      <c r="E285" s="17" t="s">
        <v>20</v>
      </c>
      <c r="F285" s="17"/>
      <c r="G285" s="18">
        <v>0</v>
      </c>
      <c r="H285" s="18">
        <v>2027.9100</v>
      </c>
      <c r="I285" s="18">
        <f ca="1">((I284 + G285) - H285)</f>
        <v>0</v>
      </c>
      <c r="J285" s="18">
        <v>-202.7900</v>
      </c>
      <c r="K285" s="19">
        <v>10.0000</v>
      </c>
      <c r="L285" s="17" t="s">
        <v>21</v>
      </c>
    </row>
    <row r="286" ht="10.95" customHeight="true" customFormat="true" s="9">
      <c r="A286" s="16">
        <v>45373</v>
      </c>
      <c r="B286" s="17" t="s">
        <v>17</v>
      </c>
      <c r="C286" s="17" t="s">
        <v>18</v>
      </c>
      <c r="D286" s="17" t="s">
        <v>19</v>
      </c>
      <c r="E286" s="17" t="s">
        <v>20</v>
      </c>
      <c r="F286" s="17"/>
      <c r="G286" s="18">
        <v>0</v>
      </c>
      <c r="H286" s="18">
        <v>2159.1800</v>
      </c>
      <c r="I286" s="18">
        <f ca="1">((I285 + G286) - H286)</f>
        <v>0</v>
      </c>
      <c r="J286" s="18">
        <v>-215.9200</v>
      </c>
      <c r="K286" s="19">
        <v>10.0000</v>
      </c>
      <c r="L286" s="17" t="s">
        <v>21</v>
      </c>
    </row>
    <row r="287" ht="10.95" customHeight="true" customFormat="true" s="9">
      <c r="A287" s="16">
        <v>45376</v>
      </c>
      <c r="B287" s="17" t="s">
        <v>17</v>
      </c>
      <c r="C287" s="17" t="s">
        <v>18</v>
      </c>
      <c r="D287" s="17" t="s">
        <v>19</v>
      </c>
      <c r="E287" s="17" t="s">
        <v>24</v>
      </c>
      <c r="F287" s="17"/>
      <c r="G287" s="18">
        <v>0</v>
      </c>
      <c r="H287" s="18">
        <v>181.8200</v>
      </c>
      <c r="I287" s="18">
        <f ca="1">((I286 + G287) - H287)</f>
        <v>0</v>
      </c>
      <c r="J287" s="18">
        <v>-18.1800</v>
      </c>
      <c r="K287" s="19">
        <v>10.0000</v>
      </c>
      <c r="L287" s="17" t="s">
        <v>21</v>
      </c>
    </row>
    <row r="288" ht="10.95" customHeight="true" customFormat="true" s="9">
      <c r="A288" s="16">
        <v>45376</v>
      </c>
      <c r="B288" s="17" t="s">
        <v>17</v>
      </c>
      <c r="C288" s="17" t="s">
        <v>18</v>
      </c>
      <c r="D288" s="17" t="s">
        <v>22</v>
      </c>
      <c r="E288" s="17" t="s">
        <v>35</v>
      </c>
      <c r="F288" s="17"/>
      <c r="G288" s="18">
        <v>2050.0000</v>
      </c>
      <c r="H288" s="18">
        <v>0</v>
      </c>
      <c r="I288" s="18">
        <f ca="1">((I287 + G288) - H288)</f>
        <v>0</v>
      </c>
      <c r="J288" s="18">
        <v>205.0000</v>
      </c>
      <c r="K288" s="19">
        <v>10.0000</v>
      </c>
      <c r="L288" s="17" t="s">
        <v>21</v>
      </c>
    </row>
    <row r="289" ht="10.95" customHeight="true" customFormat="true" s="9">
      <c r="A289" s="16">
        <v>45376</v>
      </c>
      <c r="B289" s="17" t="s">
        <v>17</v>
      </c>
      <c r="C289" s="17" t="s">
        <v>18</v>
      </c>
      <c r="D289" s="17" t="s">
        <v>19</v>
      </c>
      <c r="E289" s="17" t="s">
        <v>20</v>
      </c>
      <c r="F289" s="17"/>
      <c r="G289" s="18">
        <v>0</v>
      </c>
      <c r="H289" s="18">
        <v>2678.8600</v>
      </c>
      <c r="I289" s="18">
        <f ca="1">((I288 + G289) - H289)</f>
        <v>0</v>
      </c>
      <c r="J289" s="18">
        <v>-267.8900</v>
      </c>
      <c r="K289" s="19">
        <v>10.0000</v>
      </c>
      <c r="L289" s="17" t="s">
        <v>21</v>
      </c>
    </row>
    <row r="290" ht="10.95" customHeight="true" customFormat="true" s="9">
      <c r="A290" s="16">
        <v>45376</v>
      </c>
      <c r="B290" s="17" t="s">
        <v>17</v>
      </c>
      <c r="C290" s="17" t="s">
        <v>18</v>
      </c>
      <c r="D290" s="17" t="s">
        <v>19</v>
      </c>
      <c r="E290" s="17" t="s">
        <v>20</v>
      </c>
      <c r="F290" s="17"/>
      <c r="G290" s="18">
        <v>0</v>
      </c>
      <c r="H290" s="18">
        <v>4909.7300</v>
      </c>
      <c r="I290" s="18">
        <f ca="1">((I289 + G290) - H290)</f>
        <v>0</v>
      </c>
      <c r="J290" s="18">
        <v>-490.9700</v>
      </c>
      <c r="K290" s="19">
        <v>10.0000</v>
      </c>
      <c r="L290" s="17" t="s">
        <v>21</v>
      </c>
    </row>
    <row r="291" ht="10.95" customHeight="true" customFormat="true" s="9">
      <c r="A291" s="16">
        <v>45376</v>
      </c>
      <c r="B291" s="17" t="s">
        <v>17</v>
      </c>
      <c r="C291" s="17" t="s">
        <v>18</v>
      </c>
      <c r="D291" s="17" t="s">
        <v>19</v>
      </c>
      <c r="E291" s="17" t="s">
        <v>20</v>
      </c>
      <c r="F291" s="17"/>
      <c r="G291" s="18">
        <v>0</v>
      </c>
      <c r="H291" s="18">
        <v>5270.1400</v>
      </c>
      <c r="I291" s="18">
        <f ca="1">((I290 + G291) - H291)</f>
        <v>0</v>
      </c>
      <c r="J291" s="18">
        <v>-527.0100</v>
      </c>
      <c r="K291" s="19">
        <v>10.0000</v>
      </c>
      <c r="L291" s="17" t="s">
        <v>21</v>
      </c>
    </row>
    <row r="292" ht="10.95" customHeight="true" customFormat="true" s="9">
      <c r="A292" s="16">
        <v>45378</v>
      </c>
      <c r="B292" s="17" t="s">
        <v>17</v>
      </c>
      <c r="C292" s="17" t="s">
        <v>18</v>
      </c>
      <c r="D292" s="17" t="s">
        <v>19</v>
      </c>
      <c r="E292" s="17" t="s">
        <v>20</v>
      </c>
      <c r="F292" s="17"/>
      <c r="G292" s="18">
        <v>0</v>
      </c>
      <c r="H292" s="18">
        <v>2421.1400</v>
      </c>
      <c r="I292" s="18">
        <f ca="1">((I291 + G292) - H292)</f>
        <v>0</v>
      </c>
      <c r="J292" s="18">
        <v>-242.1100</v>
      </c>
      <c r="K292" s="19">
        <v>10.0000</v>
      </c>
      <c r="L292" s="17" t="s">
        <v>21</v>
      </c>
    </row>
    <row r="293" ht="10.95" customHeight="true" customFormat="true" s="9">
      <c r="A293" s="16">
        <v>45379</v>
      </c>
      <c r="B293" s="17" t="s">
        <v>17</v>
      </c>
      <c r="C293" s="17" t="s">
        <v>18</v>
      </c>
      <c r="D293" s="17" t="s">
        <v>19</v>
      </c>
      <c r="E293" s="17" t="s">
        <v>20</v>
      </c>
      <c r="F293" s="17"/>
      <c r="G293" s="18">
        <v>0</v>
      </c>
      <c r="H293" s="18">
        <v>2108.2300</v>
      </c>
      <c r="I293" s="18">
        <f ca="1">((I292 + G293) - H293)</f>
        <v>0</v>
      </c>
      <c r="J293" s="18">
        <v>-210.8200</v>
      </c>
      <c r="K293" s="19">
        <v>10.0000</v>
      </c>
      <c r="L293" s="17" t="s">
        <v>21</v>
      </c>
    </row>
    <row r="294" ht="10.95" customHeight="true" customFormat="true" s="9">
      <c r="A294" s="16">
        <v>45382</v>
      </c>
      <c r="B294" s="17" t="s">
        <v>17</v>
      </c>
      <c r="C294" s="17" t="s">
        <v>18</v>
      </c>
      <c r="D294" s="17" t="s">
        <v>25</v>
      </c>
      <c r="E294" s="17" t="s">
        <v>38</v>
      </c>
      <c r="F294" s="17" t="s">
        <v>39</v>
      </c>
      <c r="G294" s="18">
        <v>0</v>
      </c>
      <c r="H294" s="18">
        <v>6157.4000</v>
      </c>
      <c r="I294" s="18">
        <f ca="1">((I293 + G294) - H294)</f>
        <v>0</v>
      </c>
      <c r="J294" s="18">
        <v>0</v>
      </c>
      <c r="K294" s="19">
        <v>0</v>
      </c>
      <c r="L294" s="17" t="s">
        <v>28</v>
      </c>
    </row>
    <row r="295" ht="10.95" customHeight="true" customFormat="true" s="9">
      <c r="A295" s="16">
        <v>45382</v>
      </c>
      <c r="B295" s="17" t="s">
        <v>17</v>
      </c>
      <c r="C295" s="17" t="s">
        <v>18</v>
      </c>
      <c r="D295" s="17" t="s">
        <v>25</v>
      </c>
      <c r="E295" s="17" t="s">
        <v>40</v>
      </c>
      <c r="F295" s="17" t="s">
        <v>39</v>
      </c>
      <c r="G295" s="18">
        <v>0</v>
      </c>
      <c r="H295" s="18">
        <v>15465.3500</v>
      </c>
      <c r="I295" s="18">
        <f ca="1">((I294 + G295) - H295)</f>
        <v>0</v>
      </c>
      <c r="J295" s="18">
        <v>0</v>
      </c>
      <c r="K295" s="19">
        <v>0</v>
      </c>
      <c r="L295" s="17" t="s">
        <v>28</v>
      </c>
    </row>
    <row r="296" ht="10.95" customHeight="true" customFormat="true" s="9">
      <c r="A296" s="16">
        <v>45384</v>
      </c>
      <c r="B296" s="17" t="s">
        <v>17</v>
      </c>
      <c r="C296" s="17" t="s">
        <v>18</v>
      </c>
      <c r="D296" s="17" t="s">
        <v>19</v>
      </c>
      <c r="E296" s="17" t="s">
        <v>20</v>
      </c>
      <c r="F296" s="17"/>
      <c r="G296" s="18">
        <v>0</v>
      </c>
      <c r="H296" s="18">
        <v>4464.1800</v>
      </c>
      <c r="I296" s="18">
        <f ca="1">((I295 + G296) - H296)</f>
        <v>0</v>
      </c>
      <c r="J296" s="18">
        <v>-446.4200</v>
      </c>
      <c r="K296" s="19">
        <v>10.0000</v>
      </c>
      <c r="L296" s="17" t="s">
        <v>21</v>
      </c>
    </row>
    <row r="297" ht="10.95" customHeight="true" customFormat="true" s="9">
      <c r="A297" s="16">
        <v>45384</v>
      </c>
      <c r="B297" s="17" t="s">
        <v>17</v>
      </c>
      <c r="C297" s="17" t="s">
        <v>18</v>
      </c>
      <c r="D297" s="17" t="s">
        <v>19</v>
      </c>
      <c r="E297" s="17" t="s">
        <v>20</v>
      </c>
      <c r="F297" s="17"/>
      <c r="G297" s="18">
        <v>0</v>
      </c>
      <c r="H297" s="18">
        <v>5035.8600</v>
      </c>
      <c r="I297" s="18">
        <f ca="1">((I296 + G297) - H297)</f>
        <v>0</v>
      </c>
      <c r="J297" s="18">
        <v>-503.5900</v>
      </c>
      <c r="K297" s="19">
        <v>10.0000</v>
      </c>
      <c r="L297" s="17" t="s">
        <v>21</v>
      </c>
    </row>
    <row r="298" ht="10.95" customHeight="true" customFormat="true" s="9">
      <c r="A298" s="16">
        <v>45384</v>
      </c>
      <c r="B298" s="17" t="s">
        <v>17</v>
      </c>
      <c r="C298" s="17" t="s">
        <v>18</v>
      </c>
      <c r="D298" s="17" t="s">
        <v>19</v>
      </c>
      <c r="E298" s="17" t="s">
        <v>20</v>
      </c>
      <c r="F298" s="17"/>
      <c r="G298" s="18">
        <v>0</v>
      </c>
      <c r="H298" s="18">
        <v>2833.2700</v>
      </c>
      <c r="I298" s="18">
        <f ca="1">((I297 + G298) - H298)</f>
        <v>0</v>
      </c>
      <c r="J298" s="18">
        <v>-283.3300</v>
      </c>
      <c r="K298" s="19">
        <v>10.0000</v>
      </c>
      <c r="L298" s="17" t="s">
        <v>21</v>
      </c>
    </row>
    <row r="299" ht="10.95" customHeight="true" customFormat="true" s="9">
      <c r="A299" s="16">
        <v>45384</v>
      </c>
      <c r="B299" s="17" t="s">
        <v>17</v>
      </c>
      <c r="C299" s="17" t="s">
        <v>18</v>
      </c>
      <c r="D299" s="17" t="s">
        <v>22</v>
      </c>
      <c r="E299" s="17" t="s">
        <v>34</v>
      </c>
      <c r="F299" s="17"/>
      <c r="G299" s="18">
        <v>2986.3600</v>
      </c>
      <c r="H299" s="18">
        <v>0</v>
      </c>
      <c r="I299" s="18">
        <f ca="1">((I298 + G299) - H299)</f>
        <v>0</v>
      </c>
      <c r="J299" s="18">
        <v>298.6400</v>
      </c>
      <c r="K299" s="19">
        <v>10.0000</v>
      </c>
      <c r="L299" s="17" t="s">
        <v>21</v>
      </c>
    </row>
    <row r="300" ht="10.95" customHeight="true" customFormat="true" s="9">
      <c r="A300" s="16">
        <v>45384</v>
      </c>
      <c r="B300" s="17" t="s">
        <v>17</v>
      </c>
      <c r="C300" s="17" t="s">
        <v>18</v>
      </c>
      <c r="D300" s="17" t="s">
        <v>19</v>
      </c>
      <c r="E300" s="17" t="s">
        <v>20</v>
      </c>
      <c r="F300" s="17"/>
      <c r="G300" s="18">
        <v>0</v>
      </c>
      <c r="H300" s="18">
        <v>4399.5900</v>
      </c>
      <c r="I300" s="18">
        <f ca="1">((I299 + G300) - H300)</f>
        <v>0</v>
      </c>
      <c r="J300" s="18">
        <v>-439.9600</v>
      </c>
      <c r="K300" s="19">
        <v>10.0000</v>
      </c>
      <c r="L300" s="17" t="s">
        <v>21</v>
      </c>
    </row>
    <row r="301" ht="10.95" customHeight="true" customFormat="true" s="9">
      <c r="A301" s="16">
        <v>45384</v>
      </c>
      <c r="B301" s="17" t="s">
        <v>17</v>
      </c>
      <c r="C301" s="17" t="s">
        <v>18</v>
      </c>
      <c r="D301" s="17" t="s">
        <v>19</v>
      </c>
      <c r="E301" s="17" t="s">
        <v>20</v>
      </c>
      <c r="F301" s="17"/>
      <c r="G301" s="18">
        <v>0</v>
      </c>
      <c r="H301" s="18">
        <v>10.1800</v>
      </c>
      <c r="I301" s="18">
        <f ca="1">((I300 + G301) - H301)</f>
        <v>0</v>
      </c>
      <c r="J301" s="18">
        <v>-1.0200</v>
      </c>
      <c r="K301" s="19">
        <v>10.0000</v>
      </c>
      <c r="L301" s="17" t="s">
        <v>21</v>
      </c>
    </row>
    <row r="302" ht="10.95" customHeight="true" customFormat="true" s="9">
      <c r="A302" s="16">
        <v>45385</v>
      </c>
      <c r="B302" s="17" t="s">
        <v>17</v>
      </c>
      <c r="C302" s="17" t="s">
        <v>18</v>
      </c>
      <c r="D302" s="17" t="s">
        <v>19</v>
      </c>
      <c r="E302" s="17" t="s">
        <v>20</v>
      </c>
      <c r="F302" s="17"/>
      <c r="G302" s="18">
        <v>0</v>
      </c>
      <c r="H302" s="18">
        <v>2045.0000</v>
      </c>
      <c r="I302" s="18">
        <f ca="1">((I301 + G302) - H302)</f>
        <v>0</v>
      </c>
      <c r="J302" s="18">
        <v>-204.5000</v>
      </c>
      <c r="K302" s="19">
        <v>10.0000</v>
      </c>
      <c r="L302" s="17" t="s">
        <v>21</v>
      </c>
    </row>
    <row r="303" ht="10.95" customHeight="true" customFormat="true" s="9">
      <c r="A303" s="16">
        <v>45386</v>
      </c>
      <c r="B303" s="17" t="s">
        <v>17</v>
      </c>
      <c r="C303" s="17" t="s">
        <v>18</v>
      </c>
      <c r="D303" s="17" t="s">
        <v>19</v>
      </c>
      <c r="E303" s="17" t="s">
        <v>24</v>
      </c>
      <c r="F303" s="17"/>
      <c r="G303" s="18">
        <v>0</v>
      </c>
      <c r="H303" s="18">
        <v>136.3600</v>
      </c>
      <c r="I303" s="18">
        <f ca="1">((I302 + G303) - H303)</f>
        <v>0</v>
      </c>
      <c r="J303" s="18">
        <v>-13.6400</v>
      </c>
      <c r="K303" s="19">
        <v>10.0000</v>
      </c>
      <c r="L303" s="17" t="s">
        <v>21</v>
      </c>
    </row>
    <row r="304" ht="10.95" customHeight="true" customFormat="true" s="9">
      <c r="A304" s="16">
        <v>45386</v>
      </c>
      <c r="B304" s="17" t="s">
        <v>17</v>
      </c>
      <c r="C304" s="17" t="s">
        <v>18</v>
      </c>
      <c r="D304" s="17" t="s">
        <v>19</v>
      </c>
      <c r="E304" s="17" t="s">
        <v>20</v>
      </c>
      <c r="F304" s="17"/>
      <c r="G304" s="18">
        <v>0</v>
      </c>
      <c r="H304" s="18">
        <v>2127.5900</v>
      </c>
      <c r="I304" s="18">
        <f ca="1">((I303 + G304) - H304)</f>
        <v>0</v>
      </c>
      <c r="J304" s="18">
        <v>-212.7600</v>
      </c>
      <c r="K304" s="19">
        <v>10.0000</v>
      </c>
      <c r="L304" s="17" t="s">
        <v>21</v>
      </c>
    </row>
    <row r="305" ht="10.95" customHeight="true" customFormat="true" s="9">
      <c r="A305" s="16">
        <v>45387</v>
      </c>
      <c r="B305" s="17" t="s">
        <v>17</v>
      </c>
      <c r="C305" s="17" t="s">
        <v>18</v>
      </c>
      <c r="D305" s="17" t="s">
        <v>19</v>
      </c>
      <c r="E305" s="17" t="s">
        <v>20</v>
      </c>
      <c r="F305" s="17"/>
      <c r="G305" s="18">
        <v>0</v>
      </c>
      <c r="H305" s="18">
        <v>2263.8200</v>
      </c>
      <c r="I305" s="18">
        <f ca="1">((I304 + G305) - H305)</f>
        <v>0</v>
      </c>
      <c r="J305" s="18">
        <v>-226.3800</v>
      </c>
      <c r="K305" s="19">
        <v>10.0000</v>
      </c>
      <c r="L305" s="17" t="s">
        <v>21</v>
      </c>
    </row>
    <row r="306" ht="10.95" customHeight="true" customFormat="true" s="9">
      <c r="A306" s="16">
        <v>45390</v>
      </c>
      <c r="B306" s="17" t="s">
        <v>17</v>
      </c>
      <c r="C306" s="17" t="s">
        <v>18</v>
      </c>
      <c r="D306" s="17" t="s">
        <v>22</v>
      </c>
      <c r="E306" s="17" t="s">
        <v>41</v>
      </c>
      <c r="F306" s="17"/>
      <c r="G306" s="18">
        <v>2050.0000</v>
      </c>
      <c r="H306" s="18">
        <v>0</v>
      </c>
      <c r="I306" s="18">
        <f ca="1">((I305 + G306) - H306)</f>
        <v>0</v>
      </c>
      <c r="J306" s="18">
        <v>205.0000</v>
      </c>
      <c r="K306" s="19">
        <v>10.0000</v>
      </c>
      <c r="L306" s="17" t="s">
        <v>21</v>
      </c>
    </row>
    <row r="307" ht="10.95" customHeight="true" customFormat="true" s="9">
      <c r="A307" s="16">
        <v>45390</v>
      </c>
      <c r="B307" s="17" t="s">
        <v>17</v>
      </c>
      <c r="C307" s="17" t="s">
        <v>18</v>
      </c>
      <c r="D307" s="17" t="s">
        <v>19</v>
      </c>
      <c r="E307" s="17" t="s">
        <v>20</v>
      </c>
      <c r="F307" s="17"/>
      <c r="G307" s="18">
        <v>0</v>
      </c>
      <c r="H307" s="18">
        <v>5055.3200</v>
      </c>
      <c r="I307" s="18">
        <f ca="1">((I306 + G307) - H307)</f>
        <v>0</v>
      </c>
      <c r="J307" s="18">
        <v>-505.5300</v>
      </c>
      <c r="K307" s="19">
        <v>10.0000</v>
      </c>
      <c r="L307" s="17" t="s">
        <v>21</v>
      </c>
    </row>
    <row r="308" ht="10.95" customHeight="true" customFormat="true" s="9">
      <c r="A308" s="16">
        <v>45390</v>
      </c>
      <c r="B308" s="17" t="s">
        <v>17</v>
      </c>
      <c r="C308" s="17" t="s">
        <v>18</v>
      </c>
      <c r="D308" s="17" t="s">
        <v>19</v>
      </c>
      <c r="E308" s="17" t="s">
        <v>24</v>
      </c>
      <c r="F308" s="17"/>
      <c r="G308" s="18">
        <v>0</v>
      </c>
      <c r="H308" s="18">
        <v>254.5500</v>
      </c>
      <c r="I308" s="18">
        <f ca="1">((I307 + G308) - H308)</f>
        <v>0</v>
      </c>
      <c r="J308" s="18">
        <v>-25.4500</v>
      </c>
      <c r="K308" s="19">
        <v>10.0000</v>
      </c>
      <c r="L308" s="17" t="s">
        <v>21</v>
      </c>
    </row>
    <row r="309" ht="10.95" customHeight="true" customFormat="true" s="9">
      <c r="A309" s="16">
        <v>45390</v>
      </c>
      <c r="B309" s="17" t="s">
        <v>17</v>
      </c>
      <c r="C309" s="17" t="s">
        <v>18</v>
      </c>
      <c r="D309" s="17" t="s">
        <v>19</v>
      </c>
      <c r="E309" s="17" t="s">
        <v>20</v>
      </c>
      <c r="F309" s="17"/>
      <c r="G309" s="18">
        <v>0</v>
      </c>
      <c r="H309" s="18">
        <v>4775.8600</v>
      </c>
      <c r="I309" s="18">
        <f ca="1">((I308 + G309) - H309)</f>
        <v>0</v>
      </c>
      <c r="J309" s="18">
        <v>-477.5900</v>
      </c>
      <c r="K309" s="19">
        <v>10.0000</v>
      </c>
      <c r="L309" s="17" t="s">
        <v>21</v>
      </c>
    </row>
    <row r="310" ht="10.95" customHeight="true" customFormat="true" s="9">
      <c r="A310" s="16">
        <v>45390</v>
      </c>
      <c r="B310" s="17" t="s">
        <v>17</v>
      </c>
      <c r="C310" s="17" t="s">
        <v>18</v>
      </c>
      <c r="D310" s="17" t="s">
        <v>19</v>
      </c>
      <c r="E310" s="17" t="s">
        <v>20</v>
      </c>
      <c r="F310" s="17"/>
      <c r="G310" s="18">
        <v>0</v>
      </c>
      <c r="H310" s="18">
        <v>2551.8200</v>
      </c>
      <c r="I310" s="18">
        <f ca="1">((I309 + G310) - H310)</f>
        <v>0</v>
      </c>
      <c r="J310" s="18">
        <v>-255.1800</v>
      </c>
      <c r="K310" s="19">
        <v>10.0000</v>
      </c>
      <c r="L310" s="17" t="s">
        <v>21</v>
      </c>
    </row>
    <row r="311" ht="10.95" customHeight="true" customFormat="true" s="9">
      <c r="A311" s="16">
        <v>45392</v>
      </c>
      <c r="B311" s="17" t="s">
        <v>17</v>
      </c>
      <c r="C311" s="17" t="s">
        <v>18</v>
      </c>
      <c r="D311" s="17" t="s">
        <v>19</v>
      </c>
      <c r="E311" s="17" t="s">
        <v>20</v>
      </c>
      <c r="F311" s="17"/>
      <c r="G311" s="18">
        <v>0</v>
      </c>
      <c r="H311" s="18">
        <v>2128.0500</v>
      </c>
      <c r="I311" s="18">
        <f ca="1">((I310 + G311) - H311)</f>
        <v>0</v>
      </c>
      <c r="J311" s="18">
        <v>-212.8000</v>
      </c>
      <c r="K311" s="19">
        <v>10.0000</v>
      </c>
      <c r="L311" s="17" t="s">
        <v>21</v>
      </c>
    </row>
    <row r="312" ht="10.95" customHeight="true" customFormat="true" s="9">
      <c r="A312" s="16">
        <v>45393</v>
      </c>
      <c r="B312" s="17" t="s">
        <v>17</v>
      </c>
      <c r="C312" s="17" t="s">
        <v>18</v>
      </c>
      <c r="D312" s="17" t="s">
        <v>19</v>
      </c>
      <c r="E312" s="17" t="s">
        <v>20</v>
      </c>
      <c r="F312" s="17"/>
      <c r="G312" s="18">
        <v>0</v>
      </c>
      <c r="H312" s="18">
        <v>2391.2700</v>
      </c>
      <c r="I312" s="18">
        <f ca="1">((I311 + G312) - H312)</f>
        <v>0</v>
      </c>
      <c r="J312" s="18">
        <v>-239.1300</v>
      </c>
      <c r="K312" s="19">
        <v>10.0000</v>
      </c>
      <c r="L312" s="17" t="s">
        <v>21</v>
      </c>
    </row>
    <row r="313" ht="10.95" customHeight="true" customFormat="true" s="9">
      <c r="A313" s="16">
        <v>45394</v>
      </c>
      <c r="B313" s="17" t="s">
        <v>17</v>
      </c>
      <c r="C313" s="17" t="s">
        <v>18</v>
      </c>
      <c r="D313" s="17" t="s">
        <v>19</v>
      </c>
      <c r="E313" s="17" t="s">
        <v>20</v>
      </c>
      <c r="F313" s="17"/>
      <c r="G313" s="18">
        <v>0</v>
      </c>
      <c r="H313" s="18">
        <v>2658.3200</v>
      </c>
      <c r="I313" s="18">
        <f ca="1">((I312 + G313) - H313)</f>
        <v>0</v>
      </c>
      <c r="J313" s="18">
        <v>-265.8300</v>
      </c>
      <c r="K313" s="19">
        <v>10.0000</v>
      </c>
      <c r="L313" s="17" t="s">
        <v>21</v>
      </c>
    </row>
    <row r="314" ht="10.95" customHeight="true" customFormat="true" s="9">
      <c r="A314" s="16">
        <v>45397</v>
      </c>
      <c r="B314" s="17" t="s">
        <v>17</v>
      </c>
      <c r="C314" s="17" t="s">
        <v>18</v>
      </c>
      <c r="D314" s="17" t="s">
        <v>22</v>
      </c>
      <c r="E314" s="17" t="s">
        <v>35</v>
      </c>
      <c r="F314" s="17"/>
      <c r="G314" s="18">
        <v>2025.4500</v>
      </c>
      <c r="H314" s="18">
        <v>0</v>
      </c>
      <c r="I314" s="18">
        <f ca="1">((I313 + G314) - H314)</f>
        <v>0</v>
      </c>
      <c r="J314" s="18">
        <v>202.5500</v>
      </c>
      <c r="K314" s="19">
        <v>10.0000</v>
      </c>
      <c r="L314" s="17" t="s">
        <v>21</v>
      </c>
    </row>
    <row r="315" ht="10.95" customHeight="true" customFormat="true" s="9">
      <c r="A315" s="16">
        <v>45397</v>
      </c>
      <c r="B315" s="17" t="s">
        <v>17</v>
      </c>
      <c r="C315" s="17" t="s">
        <v>18</v>
      </c>
      <c r="D315" s="17" t="s">
        <v>19</v>
      </c>
      <c r="E315" s="17" t="s">
        <v>20</v>
      </c>
      <c r="F315" s="17"/>
      <c r="G315" s="18">
        <v>0</v>
      </c>
      <c r="H315" s="18">
        <v>3166.1800</v>
      </c>
      <c r="I315" s="18">
        <f ca="1">((I314 + G315) - H315)</f>
        <v>0</v>
      </c>
      <c r="J315" s="18">
        <v>-316.6200</v>
      </c>
      <c r="K315" s="19">
        <v>10.0000</v>
      </c>
      <c r="L315" s="17" t="s">
        <v>21</v>
      </c>
    </row>
    <row r="316" ht="10.95" customHeight="true" customFormat="true" s="9">
      <c r="A316" s="16">
        <v>45397</v>
      </c>
      <c r="B316" s="17" t="s">
        <v>17</v>
      </c>
      <c r="C316" s="17" t="s">
        <v>18</v>
      </c>
      <c r="D316" s="17" t="s">
        <v>19</v>
      </c>
      <c r="E316" s="17" t="s">
        <v>24</v>
      </c>
      <c r="F316" s="17"/>
      <c r="G316" s="18">
        <v>0</v>
      </c>
      <c r="H316" s="18">
        <v>290.9100</v>
      </c>
      <c r="I316" s="18">
        <f ca="1">((I315 + G316) - H316)</f>
        <v>0</v>
      </c>
      <c r="J316" s="18">
        <v>-29.0900</v>
      </c>
      <c r="K316" s="19">
        <v>10.0000</v>
      </c>
      <c r="L316" s="17" t="s">
        <v>21</v>
      </c>
    </row>
    <row r="317" ht="10.95" customHeight="true" customFormat="true" s="9">
      <c r="A317" s="16">
        <v>45397</v>
      </c>
      <c r="B317" s="17" t="s">
        <v>17</v>
      </c>
      <c r="C317" s="17" t="s">
        <v>18</v>
      </c>
      <c r="D317" s="17" t="s">
        <v>19</v>
      </c>
      <c r="E317" s="17" t="s">
        <v>20</v>
      </c>
      <c r="F317" s="17"/>
      <c r="G317" s="18">
        <v>0</v>
      </c>
      <c r="H317" s="18">
        <v>5333.9100</v>
      </c>
      <c r="I317" s="18">
        <f ca="1">((I316 + G317) - H317)</f>
        <v>0</v>
      </c>
      <c r="J317" s="18">
        <v>-533.3900</v>
      </c>
      <c r="K317" s="19">
        <v>10.0000</v>
      </c>
      <c r="L317" s="17" t="s">
        <v>21</v>
      </c>
    </row>
    <row r="318" ht="10.95" customHeight="true" customFormat="true" s="9">
      <c r="A318" s="16">
        <v>45397</v>
      </c>
      <c r="B318" s="17" t="s">
        <v>17</v>
      </c>
      <c r="C318" s="17" t="s">
        <v>18</v>
      </c>
      <c r="D318" s="17" t="s">
        <v>19</v>
      </c>
      <c r="E318" s="17" t="s">
        <v>20</v>
      </c>
      <c r="F318" s="17"/>
      <c r="G318" s="18">
        <v>0</v>
      </c>
      <c r="H318" s="18">
        <v>4433.1800</v>
      </c>
      <c r="I318" s="18">
        <f ca="1">((I317 + G318) - H318)</f>
        <v>0</v>
      </c>
      <c r="J318" s="18">
        <v>-443.3200</v>
      </c>
      <c r="K318" s="19">
        <v>10.0000</v>
      </c>
      <c r="L318" s="17" t="s">
        <v>21</v>
      </c>
    </row>
    <row r="319" ht="10.95" customHeight="true" customFormat="true" s="9">
      <c r="A319" s="16">
        <v>45399</v>
      </c>
      <c r="B319" s="17" t="s">
        <v>17</v>
      </c>
      <c r="C319" s="17" t="s">
        <v>18</v>
      </c>
      <c r="D319" s="17" t="s">
        <v>19</v>
      </c>
      <c r="E319" s="17" t="s">
        <v>20</v>
      </c>
      <c r="F319" s="17"/>
      <c r="G319" s="18">
        <v>0</v>
      </c>
      <c r="H319" s="18">
        <v>2347.3600</v>
      </c>
      <c r="I319" s="18">
        <f ca="1">((I318 + G319) - H319)</f>
        <v>0</v>
      </c>
      <c r="J319" s="18">
        <v>-234.7400</v>
      </c>
      <c r="K319" s="19">
        <v>10.0000</v>
      </c>
      <c r="L319" s="17" t="s">
        <v>21</v>
      </c>
    </row>
    <row r="320" ht="10.95" customHeight="true" customFormat="true" s="9">
      <c r="A320" s="16">
        <v>45400</v>
      </c>
      <c r="B320" s="17" t="s">
        <v>17</v>
      </c>
      <c r="C320" s="17" t="s">
        <v>18</v>
      </c>
      <c r="D320" s="17" t="s">
        <v>19</v>
      </c>
      <c r="E320" s="17" t="s">
        <v>20</v>
      </c>
      <c r="F320" s="17"/>
      <c r="G320" s="18">
        <v>0</v>
      </c>
      <c r="H320" s="18">
        <v>2445.0000</v>
      </c>
      <c r="I320" s="18">
        <f ca="1">((I319 + G320) - H320)</f>
        <v>0</v>
      </c>
      <c r="J320" s="18">
        <v>-244.5000</v>
      </c>
      <c r="K320" s="19">
        <v>10.0000</v>
      </c>
      <c r="L320" s="17" t="s">
        <v>21</v>
      </c>
    </row>
    <row r="321" ht="10.95" customHeight="true" customFormat="true" s="9">
      <c r="A321" s="16">
        <v>45401</v>
      </c>
      <c r="B321" s="17" t="s">
        <v>17</v>
      </c>
      <c r="C321" s="17" t="s">
        <v>18</v>
      </c>
      <c r="D321" s="17" t="s">
        <v>19</v>
      </c>
      <c r="E321" s="17" t="s">
        <v>20</v>
      </c>
      <c r="F321" s="17"/>
      <c r="G321" s="18">
        <v>0</v>
      </c>
      <c r="H321" s="18">
        <v>2538.5500</v>
      </c>
      <c r="I321" s="18">
        <f ca="1">((I320 + G321) - H321)</f>
        <v>0</v>
      </c>
      <c r="J321" s="18">
        <v>-253.8500</v>
      </c>
      <c r="K321" s="19">
        <v>10.0000</v>
      </c>
      <c r="L321" s="17" t="s">
        <v>21</v>
      </c>
    </row>
    <row r="322" ht="10.95" customHeight="true" customFormat="true" s="9">
      <c r="A322" s="16">
        <v>45404</v>
      </c>
      <c r="B322" s="17" t="s">
        <v>17</v>
      </c>
      <c r="C322" s="17" t="s">
        <v>18</v>
      </c>
      <c r="D322" s="17" t="s">
        <v>19</v>
      </c>
      <c r="E322" s="17" t="s">
        <v>20</v>
      </c>
      <c r="F322" s="17"/>
      <c r="G322" s="18">
        <v>0</v>
      </c>
      <c r="H322" s="18">
        <v>4683.6200</v>
      </c>
      <c r="I322" s="18">
        <f ca="1">((I321 + G322) - H322)</f>
        <v>0</v>
      </c>
      <c r="J322" s="18">
        <v>-468.3600</v>
      </c>
      <c r="K322" s="19">
        <v>10.0000</v>
      </c>
      <c r="L322" s="17" t="s">
        <v>21</v>
      </c>
    </row>
    <row r="323" ht="10.95" customHeight="true" customFormat="true" s="9">
      <c r="A323" s="16">
        <v>45404</v>
      </c>
      <c r="B323" s="17" t="s">
        <v>17</v>
      </c>
      <c r="C323" s="17" t="s">
        <v>18</v>
      </c>
      <c r="D323" s="17" t="s">
        <v>19</v>
      </c>
      <c r="E323" s="17" t="s">
        <v>20</v>
      </c>
      <c r="F323" s="17"/>
      <c r="G323" s="18">
        <v>0</v>
      </c>
      <c r="H323" s="18">
        <v>2880.3200</v>
      </c>
      <c r="I323" s="18">
        <f ca="1">((I322 + G323) - H323)</f>
        <v>0</v>
      </c>
      <c r="J323" s="18">
        <v>-288.0300</v>
      </c>
      <c r="K323" s="19">
        <v>10.0000</v>
      </c>
      <c r="L323" s="17" t="s">
        <v>21</v>
      </c>
    </row>
    <row r="324" ht="10.95" customHeight="true" customFormat="true" s="9">
      <c r="A324" s="16">
        <v>45404</v>
      </c>
      <c r="B324" s="17" t="s">
        <v>17</v>
      </c>
      <c r="C324" s="17" t="s">
        <v>18</v>
      </c>
      <c r="D324" s="17" t="s">
        <v>19</v>
      </c>
      <c r="E324" s="17" t="s">
        <v>20</v>
      </c>
      <c r="F324" s="17"/>
      <c r="G324" s="18">
        <v>0</v>
      </c>
      <c r="H324" s="18">
        <v>4810.4500</v>
      </c>
      <c r="I324" s="18">
        <f ca="1">((I323 + G324) - H324)</f>
        <v>0</v>
      </c>
      <c r="J324" s="18">
        <v>-481.0500</v>
      </c>
      <c r="K324" s="19">
        <v>10.0000</v>
      </c>
      <c r="L324" s="17" t="s">
        <v>21</v>
      </c>
    </row>
    <row r="325" ht="10.95" customHeight="true" customFormat="true" s="9">
      <c r="A325" s="16">
        <v>45404</v>
      </c>
      <c r="B325" s="17" t="s">
        <v>17</v>
      </c>
      <c r="C325" s="17" t="s">
        <v>18</v>
      </c>
      <c r="D325" s="17" t="s">
        <v>22</v>
      </c>
      <c r="E325" s="17" t="s">
        <v>42</v>
      </c>
      <c r="F325" s="17"/>
      <c r="G325" s="18">
        <v>2012.2700</v>
      </c>
      <c r="H325" s="18">
        <v>0</v>
      </c>
      <c r="I325" s="18">
        <f ca="1">((I324 + G325) - H325)</f>
        <v>0</v>
      </c>
      <c r="J325" s="18">
        <v>201.2300</v>
      </c>
      <c r="K325" s="19">
        <v>10.0000</v>
      </c>
      <c r="L325" s="17" t="s">
        <v>21</v>
      </c>
    </row>
    <row r="326" ht="10.95" customHeight="true" customFormat="true" s="9">
      <c r="A326" s="16">
        <v>45406</v>
      </c>
      <c r="B326" s="17" t="s">
        <v>17</v>
      </c>
      <c r="C326" s="17" t="s">
        <v>18</v>
      </c>
      <c r="D326" s="17" t="s">
        <v>19</v>
      </c>
      <c r="E326" s="17" t="s">
        <v>20</v>
      </c>
      <c r="F326" s="17"/>
      <c r="G326" s="18">
        <v>0</v>
      </c>
      <c r="H326" s="18">
        <v>2228.8200</v>
      </c>
      <c r="I326" s="18">
        <f ca="1">((I325 + G326) - H326)</f>
        <v>0</v>
      </c>
      <c r="J326" s="18">
        <v>-222.8800</v>
      </c>
      <c r="K326" s="19">
        <v>10.0000</v>
      </c>
      <c r="L326" s="17" t="s">
        <v>21</v>
      </c>
    </row>
    <row r="327" ht="10.95" customHeight="true" customFormat="true" s="9">
      <c r="A327" s="16">
        <v>45408</v>
      </c>
      <c r="B327" s="17" t="s">
        <v>17</v>
      </c>
      <c r="C327" s="17" t="s">
        <v>18</v>
      </c>
      <c r="D327" s="17" t="s">
        <v>19</v>
      </c>
      <c r="E327" s="17" t="s">
        <v>24</v>
      </c>
      <c r="F327" s="17"/>
      <c r="G327" s="18">
        <v>0</v>
      </c>
      <c r="H327" s="18">
        <v>127.2700</v>
      </c>
      <c r="I327" s="18">
        <f ca="1">((I326 + G327) - H327)</f>
        <v>0</v>
      </c>
      <c r="J327" s="18">
        <v>-12.7300</v>
      </c>
      <c r="K327" s="19">
        <v>10.0000</v>
      </c>
      <c r="L327" s="17" t="s">
        <v>21</v>
      </c>
    </row>
    <row r="328" ht="10.95" customHeight="true" customFormat="true" s="9">
      <c r="A328" s="16">
        <v>45408</v>
      </c>
      <c r="B328" s="17" t="s">
        <v>17</v>
      </c>
      <c r="C328" s="17" t="s">
        <v>18</v>
      </c>
      <c r="D328" s="17" t="s">
        <v>19</v>
      </c>
      <c r="E328" s="17" t="s">
        <v>20</v>
      </c>
      <c r="F328" s="17"/>
      <c r="G328" s="18">
        <v>0</v>
      </c>
      <c r="H328" s="18">
        <v>5551.1800</v>
      </c>
      <c r="I328" s="18">
        <f ca="1">((I327 + G328) - H328)</f>
        <v>0</v>
      </c>
      <c r="J328" s="18">
        <v>-555.1200</v>
      </c>
      <c r="K328" s="19">
        <v>10.0000</v>
      </c>
      <c r="L328" s="17" t="s">
        <v>21</v>
      </c>
    </row>
    <row r="329" ht="10.95" customHeight="true" customFormat="true" s="9">
      <c r="A329" s="16">
        <v>45408</v>
      </c>
      <c r="B329" s="17" t="s">
        <v>17</v>
      </c>
      <c r="C329" s="17" t="s">
        <v>18</v>
      </c>
      <c r="D329" s="17" t="s">
        <v>19</v>
      </c>
      <c r="E329" s="17" t="s">
        <v>20</v>
      </c>
      <c r="F329" s="17"/>
      <c r="G329" s="18">
        <v>0</v>
      </c>
      <c r="H329" s="18">
        <v>2483.9100</v>
      </c>
      <c r="I329" s="18">
        <f ca="1">((I328 + G329) - H329)</f>
        <v>0</v>
      </c>
      <c r="J329" s="18">
        <v>-248.3900</v>
      </c>
      <c r="K329" s="19">
        <v>10.0000</v>
      </c>
      <c r="L329" s="17" t="s">
        <v>21</v>
      </c>
    </row>
    <row r="330" ht="10.95" customHeight="true" customFormat="true" s="9">
      <c r="A330" s="16">
        <v>45411</v>
      </c>
      <c r="B330" s="17" t="s">
        <v>17</v>
      </c>
      <c r="C330" s="17" t="s">
        <v>18</v>
      </c>
      <c r="D330" s="17" t="s">
        <v>22</v>
      </c>
      <c r="E330" s="17" t="s">
        <v>42</v>
      </c>
      <c r="F330" s="17"/>
      <c r="G330" s="18">
        <v>3187.7300</v>
      </c>
      <c r="H330" s="18">
        <v>0</v>
      </c>
      <c r="I330" s="18">
        <f ca="1">((I329 + G330) - H330)</f>
        <v>0</v>
      </c>
      <c r="J330" s="18">
        <v>318.7700</v>
      </c>
      <c r="K330" s="19">
        <v>10.0000</v>
      </c>
      <c r="L330" s="17" t="s">
        <v>21</v>
      </c>
    </row>
    <row r="331" ht="10.95" customHeight="true" customFormat="true" s="9">
      <c r="A331" s="16">
        <v>45411</v>
      </c>
      <c r="B331" s="17" t="s">
        <v>17</v>
      </c>
      <c r="C331" s="17" t="s">
        <v>18</v>
      </c>
      <c r="D331" s="17" t="s">
        <v>19</v>
      </c>
      <c r="E331" s="17" t="s">
        <v>20</v>
      </c>
      <c r="F331" s="17"/>
      <c r="G331" s="18">
        <v>0</v>
      </c>
      <c r="H331" s="18">
        <v>4782.0500</v>
      </c>
      <c r="I331" s="18">
        <f ca="1">((I330 + G331) - H331)</f>
        <v>0</v>
      </c>
      <c r="J331" s="18">
        <v>-478.2000</v>
      </c>
      <c r="K331" s="19">
        <v>10.0000</v>
      </c>
      <c r="L331" s="17" t="s">
        <v>21</v>
      </c>
    </row>
    <row r="332" ht="10.95" customHeight="true" customFormat="true" s="9">
      <c r="A332" s="16">
        <v>45411</v>
      </c>
      <c r="B332" s="17" t="s">
        <v>17</v>
      </c>
      <c r="C332" s="17" t="s">
        <v>18</v>
      </c>
      <c r="D332" s="17" t="s">
        <v>19</v>
      </c>
      <c r="E332" s="17" t="s">
        <v>20</v>
      </c>
      <c r="F332" s="17"/>
      <c r="G332" s="18">
        <v>0</v>
      </c>
      <c r="H332" s="18">
        <v>2720.7300</v>
      </c>
      <c r="I332" s="18">
        <f ca="1">((I331 + G332) - H332)</f>
        <v>0</v>
      </c>
      <c r="J332" s="18">
        <v>-272.0700</v>
      </c>
      <c r="K332" s="19">
        <v>10.0000</v>
      </c>
      <c r="L332" s="17" t="s">
        <v>21</v>
      </c>
    </row>
    <row r="333" ht="10.95" customHeight="true" customFormat="true" s="9">
      <c r="A333" s="16">
        <v>45411</v>
      </c>
      <c r="B333" s="17" t="s">
        <v>17</v>
      </c>
      <c r="C333" s="17" t="s">
        <v>18</v>
      </c>
      <c r="D333" s="17" t="s">
        <v>19</v>
      </c>
      <c r="E333" s="17" t="s">
        <v>20</v>
      </c>
      <c r="F333" s="17"/>
      <c r="G333" s="18">
        <v>0</v>
      </c>
      <c r="H333" s="18">
        <v>4310.3200</v>
      </c>
      <c r="I333" s="18">
        <f ca="1">((I332 + G333) - H333)</f>
        <v>0</v>
      </c>
      <c r="J333" s="18">
        <v>-431.0300</v>
      </c>
      <c r="K333" s="19">
        <v>10.0000</v>
      </c>
      <c r="L333" s="17" t="s">
        <v>21</v>
      </c>
    </row>
    <row r="334" ht="10.95" customHeight="true" customFormat="true" s="9">
      <c r="A334" s="16">
        <v>45413</v>
      </c>
      <c r="B334" s="17" t="s">
        <v>17</v>
      </c>
      <c r="C334" s="17" t="s">
        <v>18</v>
      </c>
      <c r="D334" s="17" t="s">
        <v>19</v>
      </c>
      <c r="E334" s="17" t="s">
        <v>20</v>
      </c>
      <c r="F334" s="17"/>
      <c r="G334" s="18">
        <v>0</v>
      </c>
      <c r="H334" s="18">
        <v>2401.1400</v>
      </c>
      <c r="I334" s="18">
        <f ca="1">((I333 + G334) - H334)</f>
        <v>0</v>
      </c>
      <c r="J334" s="18">
        <v>-240.1100</v>
      </c>
      <c r="K334" s="19">
        <v>10.0000</v>
      </c>
      <c r="L334" s="17" t="s">
        <v>21</v>
      </c>
    </row>
    <row r="335" ht="10.95" customHeight="true" customFormat="true" s="9">
      <c r="A335" s="16">
        <v>45414</v>
      </c>
      <c r="B335" s="17" t="s">
        <v>17</v>
      </c>
      <c r="C335" s="17" t="s">
        <v>18</v>
      </c>
      <c r="D335" s="17" t="s">
        <v>19</v>
      </c>
      <c r="E335" s="17" t="s">
        <v>20</v>
      </c>
      <c r="F335" s="17"/>
      <c r="G335" s="18">
        <v>0</v>
      </c>
      <c r="H335" s="18">
        <v>2337.6800</v>
      </c>
      <c r="I335" s="18">
        <f ca="1">((I334 + G335) - H335)</f>
        <v>0</v>
      </c>
      <c r="J335" s="18">
        <v>-233.7700</v>
      </c>
      <c r="K335" s="19">
        <v>10.0000</v>
      </c>
      <c r="L335" s="17" t="s">
        <v>21</v>
      </c>
    </row>
    <row r="336" ht="10.95" customHeight="true" customFormat="true" s="9">
      <c r="A336" s="16">
        <v>45415</v>
      </c>
      <c r="B336" s="17" t="s">
        <v>17</v>
      </c>
      <c r="C336" s="17" t="s">
        <v>18</v>
      </c>
      <c r="D336" s="17" t="s">
        <v>19</v>
      </c>
      <c r="E336" s="17" t="s">
        <v>20</v>
      </c>
      <c r="F336" s="17"/>
      <c r="G336" s="18">
        <v>0</v>
      </c>
      <c r="H336" s="18">
        <v>2948.4100</v>
      </c>
      <c r="I336" s="18">
        <f ca="1">((I335 + G336) - H336)</f>
        <v>0</v>
      </c>
      <c r="J336" s="18">
        <v>-294.8400</v>
      </c>
      <c r="K336" s="19">
        <v>10.0000</v>
      </c>
      <c r="L336" s="17" t="s">
        <v>21</v>
      </c>
    </row>
    <row r="337" ht="10.95" customHeight="true" customFormat="true" s="9">
      <c r="A337" s="16">
        <v>45418</v>
      </c>
      <c r="B337" s="17" t="s">
        <v>17</v>
      </c>
      <c r="C337" s="17" t="s">
        <v>18</v>
      </c>
      <c r="D337" s="17" t="s">
        <v>19</v>
      </c>
      <c r="E337" s="17" t="s">
        <v>20</v>
      </c>
      <c r="F337" s="17"/>
      <c r="G337" s="18">
        <v>0</v>
      </c>
      <c r="H337" s="18">
        <v>2663.5000</v>
      </c>
      <c r="I337" s="18">
        <f ca="1">((I336 + G337) - H337)</f>
        <v>0</v>
      </c>
      <c r="J337" s="18">
        <v>-266.3500</v>
      </c>
      <c r="K337" s="19">
        <v>10.0000</v>
      </c>
      <c r="L337" s="17" t="s">
        <v>21</v>
      </c>
    </row>
    <row r="338" ht="10.95" customHeight="true" customFormat="true" s="9">
      <c r="A338" s="16">
        <v>45418</v>
      </c>
      <c r="B338" s="17" t="s">
        <v>17</v>
      </c>
      <c r="C338" s="17" t="s">
        <v>18</v>
      </c>
      <c r="D338" s="17" t="s">
        <v>22</v>
      </c>
      <c r="E338" s="17" t="s">
        <v>43</v>
      </c>
      <c r="F338" s="17"/>
      <c r="G338" s="18">
        <v>2541.3600</v>
      </c>
      <c r="H338" s="18">
        <v>0</v>
      </c>
      <c r="I338" s="18">
        <f ca="1">((I337 + G338) - H338)</f>
        <v>0</v>
      </c>
      <c r="J338" s="18">
        <v>254.1400</v>
      </c>
      <c r="K338" s="19">
        <v>10.0000</v>
      </c>
      <c r="L338" s="17" t="s">
        <v>21</v>
      </c>
    </row>
    <row r="339" ht="10.95" customHeight="true" customFormat="true" s="9">
      <c r="A339" s="16">
        <v>45418</v>
      </c>
      <c r="B339" s="17" t="s">
        <v>17</v>
      </c>
      <c r="C339" s="17" t="s">
        <v>18</v>
      </c>
      <c r="D339" s="17" t="s">
        <v>19</v>
      </c>
      <c r="E339" s="17" t="s">
        <v>20</v>
      </c>
      <c r="F339" s="17"/>
      <c r="G339" s="18">
        <v>0</v>
      </c>
      <c r="H339" s="18">
        <v>4564.9100</v>
      </c>
      <c r="I339" s="18">
        <f ca="1">((I338 + G339) - H339)</f>
        <v>0</v>
      </c>
      <c r="J339" s="18">
        <v>-456.4900</v>
      </c>
      <c r="K339" s="19">
        <v>10.0000</v>
      </c>
      <c r="L339" s="17" t="s">
        <v>21</v>
      </c>
    </row>
    <row r="340" ht="10.95" customHeight="true" customFormat="true" s="9">
      <c r="A340" s="16">
        <v>45418</v>
      </c>
      <c r="B340" s="17" t="s">
        <v>17</v>
      </c>
      <c r="C340" s="17" t="s">
        <v>18</v>
      </c>
      <c r="D340" s="17" t="s">
        <v>19</v>
      </c>
      <c r="E340" s="17" t="s">
        <v>20</v>
      </c>
      <c r="F340" s="17"/>
      <c r="G340" s="18">
        <v>0</v>
      </c>
      <c r="H340" s="18">
        <v>5577.1400</v>
      </c>
      <c r="I340" s="18">
        <f ca="1">((I339 + G340) - H340)</f>
        <v>0</v>
      </c>
      <c r="J340" s="18">
        <v>-557.7100</v>
      </c>
      <c r="K340" s="19">
        <v>10.0000</v>
      </c>
      <c r="L340" s="17" t="s">
        <v>21</v>
      </c>
    </row>
    <row r="341" ht="10.95" customHeight="true" customFormat="true" s="9">
      <c r="A341" s="16">
        <v>45419</v>
      </c>
      <c r="B341" s="17" t="s">
        <v>17</v>
      </c>
      <c r="C341" s="17" t="s">
        <v>18</v>
      </c>
      <c r="D341" s="17" t="s">
        <v>19</v>
      </c>
      <c r="E341" s="17" t="s">
        <v>24</v>
      </c>
      <c r="F341" s="17"/>
      <c r="G341" s="18">
        <v>0</v>
      </c>
      <c r="H341" s="18">
        <v>136.3600</v>
      </c>
      <c r="I341" s="18">
        <f ca="1">((I340 + G341) - H341)</f>
        <v>0</v>
      </c>
      <c r="J341" s="18">
        <v>-13.6400</v>
      </c>
      <c r="K341" s="19">
        <v>10.0000</v>
      </c>
      <c r="L341" s="17" t="s">
        <v>21</v>
      </c>
    </row>
    <row r="342" ht="10.95" customHeight="true" customFormat="true" s="9">
      <c r="A342" s="16">
        <v>45420</v>
      </c>
      <c r="B342" s="17" t="s">
        <v>17</v>
      </c>
      <c r="C342" s="17" t="s">
        <v>18</v>
      </c>
      <c r="D342" s="17" t="s">
        <v>19</v>
      </c>
      <c r="E342" s="17" t="s">
        <v>20</v>
      </c>
      <c r="F342" s="17"/>
      <c r="G342" s="18">
        <v>0</v>
      </c>
      <c r="H342" s="18">
        <v>2116.3200</v>
      </c>
      <c r="I342" s="18">
        <f ca="1">((I341 + G342) - H342)</f>
        <v>0</v>
      </c>
      <c r="J342" s="18">
        <v>-211.6300</v>
      </c>
      <c r="K342" s="19">
        <v>10.0000</v>
      </c>
      <c r="L342" s="17" t="s">
        <v>21</v>
      </c>
    </row>
    <row r="343" ht="10.95" customHeight="true" customFormat="true" s="9">
      <c r="A343" s="16">
        <v>45421</v>
      </c>
      <c r="B343" s="17" t="s">
        <v>17</v>
      </c>
      <c r="C343" s="17" t="s">
        <v>18</v>
      </c>
      <c r="D343" s="17" t="s">
        <v>19</v>
      </c>
      <c r="E343" s="17" t="s">
        <v>20</v>
      </c>
      <c r="F343" s="17"/>
      <c r="G343" s="18">
        <v>0</v>
      </c>
      <c r="H343" s="18">
        <v>2442.7700</v>
      </c>
      <c r="I343" s="18">
        <f ca="1">((I342 + G343) - H343)</f>
        <v>0</v>
      </c>
      <c r="J343" s="18">
        <v>-244.2800</v>
      </c>
      <c r="K343" s="19">
        <v>10.0000</v>
      </c>
      <c r="L343" s="17" t="s">
        <v>21</v>
      </c>
    </row>
    <row r="344" ht="10.95" customHeight="true" customFormat="true" s="9">
      <c r="A344" s="16">
        <v>45422</v>
      </c>
      <c r="B344" s="17" t="s">
        <v>17</v>
      </c>
      <c r="C344" s="17" t="s">
        <v>18</v>
      </c>
      <c r="D344" s="17" t="s">
        <v>19</v>
      </c>
      <c r="E344" s="17" t="s">
        <v>20</v>
      </c>
      <c r="F344" s="17"/>
      <c r="G344" s="18">
        <v>0</v>
      </c>
      <c r="H344" s="18">
        <v>2240.5900</v>
      </c>
      <c r="I344" s="18">
        <f ca="1">((I343 + G344) - H344)</f>
        <v>0</v>
      </c>
      <c r="J344" s="18">
        <v>-224.0600</v>
      </c>
      <c r="K344" s="19">
        <v>10.0000</v>
      </c>
      <c r="L344" s="17" t="s">
        <v>21</v>
      </c>
    </row>
    <row r="345" ht="10.95" customHeight="true" customFormat="true" s="9">
      <c r="A345" s="16">
        <v>45425</v>
      </c>
      <c r="B345" s="17" t="s">
        <v>17</v>
      </c>
      <c r="C345" s="17" t="s">
        <v>18</v>
      </c>
      <c r="D345" s="17" t="s">
        <v>22</v>
      </c>
      <c r="E345" s="17" t="s">
        <v>34</v>
      </c>
      <c r="F345" s="17"/>
      <c r="G345" s="18">
        <v>2145.0000</v>
      </c>
      <c r="H345" s="18">
        <v>0</v>
      </c>
      <c r="I345" s="18">
        <f ca="1">((I344 + G345) - H345)</f>
        <v>0</v>
      </c>
      <c r="J345" s="18">
        <v>214.5000</v>
      </c>
      <c r="K345" s="19">
        <v>10.0000</v>
      </c>
      <c r="L345" s="17" t="s">
        <v>21</v>
      </c>
    </row>
    <row r="346" ht="10.95" customHeight="true" customFormat="true" s="9">
      <c r="A346" s="16">
        <v>45425</v>
      </c>
      <c r="B346" s="17" t="s">
        <v>17</v>
      </c>
      <c r="C346" s="17" t="s">
        <v>18</v>
      </c>
      <c r="D346" s="17" t="s">
        <v>19</v>
      </c>
      <c r="E346" s="17" t="s">
        <v>24</v>
      </c>
      <c r="F346" s="17"/>
      <c r="G346" s="18">
        <v>0</v>
      </c>
      <c r="H346" s="18">
        <v>134.5500</v>
      </c>
      <c r="I346" s="18">
        <f ca="1">((I345 + G346) - H346)</f>
        <v>0</v>
      </c>
      <c r="J346" s="18">
        <v>-13.4500</v>
      </c>
      <c r="K346" s="19">
        <v>10.0000</v>
      </c>
      <c r="L346" s="17" t="s">
        <v>21</v>
      </c>
    </row>
    <row r="347" ht="10.95" customHeight="true" customFormat="true" s="9">
      <c r="A347" s="16">
        <v>45425</v>
      </c>
      <c r="B347" s="17" t="s">
        <v>17</v>
      </c>
      <c r="C347" s="17" t="s">
        <v>18</v>
      </c>
      <c r="D347" s="17" t="s">
        <v>19</v>
      </c>
      <c r="E347" s="17" t="s">
        <v>20</v>
      </c>
      <c r="F347" s="17"/>
      <c r="G347" s="18">
        <v>0</v>
      </c>
      <c r="H347" s="18">
        <v>8083.7300</v>
      </c>
      <c r="I347" s="18">
        <f ca="1">((I346 + G347) - H347)</f>
        <v>0</v>
      </c>
      <c r="J347" s="18">
        <v>-808.3700</v>
      </c>
      <c r="K347" s="19">
        <v>10.0000</v>
      </c>
      <c r="L347" s="17" t="s">
        <v>21</v>
      </c>
    </row>
    <row r="348" ht="10.95" customHeight="true" customFormat="true" s="9">
      <c r="A348" s="16">
        <v>45425</v>
      </c>
      <c r="B348" s="17" t="s">
        <v>17</v>
      </c>
      <c r="C348" s="17" t="s">
        <v>18</v>
      </c>
      <c r="D348" s="17" t="s">
        <v>19</v>
      </c>
      <c r="E348" s="17" t="s">
        <v>20</v>
      </c>
      <c r="F348" s="17"/>
      <c r="G348" s="18">
        <v>0</v>
      </c>
      <c r="H348" s="18">
        <v>5588.1400</v>
      </c>
      <c r="I348" s="18">
        <f ca="1">((I347 + G348) - H348)</f>
        <v>0</v>
      </c>
      <c r="J348" s="18">
        <v>-558.8100</v>
      </c>
      <c r="K348" s="19">
        <v>10.0000</v>
      </c>
      <c r="L348" s="17" t="s">
        <v>21</v>
      </c>
    </row>
    <row r="349" ht="10.95" customHeight="true" customFormat="true" s="9">
      <c r="A349" s="16">
        <v>45425</v>
      </c>
      <c r="B349" s="17" t="s">
        <v>17</v>
      </c>
      <c r="C349" s="17" t="s">
        <v>18</v>
      </c>
      <c r="D349" s="17" t="s">
        <v>19</v>
      </c>
      <c r="E349" s="17" t="s">
        <v>20</v>
      </c>
      <c r="F349" s="17"/>
      <c r="G349" s="18">
        <v>0</v>
      </c>
      <c r="H349" s="18">
        <v>2567.7300</v>
      </c>
      <c r="I349" s="18">
        <f ca="1">((I348 + G349) - H349)</f>
        <v>0</v>
      </c>
      <c r="J349" s="18">
        <v>-256.7700</v>
      </c>
      <c r="K349" s="19">
        <v>10.0000</v>
      </c>
      <c r="L349" s="17" t="s">
        <v>21</v>
      </c>
    </row>
    <row r="350" ht="10.95" customHeight="true" customFormat="true" s="9">
      <c r="A350" s="16">
        <v>45427</v>
      </c>
      <c r="B350" s="17" t="s">
        <v>17</v>
      </c>
      <c r="C350" s="17" t="s">
        <v>18</v>
      </c>
      <c r="D350" s="17" t="s">
        <v>19</v>
      </c>
      <c r="E350" s="17" t="s">
        <v>20</v>
      </c>
      <c r="F350" s="17"/>
      <c r="G350" s="18">
        <v>0</v>
      </c>
      <c r="H350" s="18">
        <v>2363.5900</v>
      </c>
      <c r="I350" s="18">
        <f ca="1">((I349 + G350) - H350)</f>
        <v>0</v>
      </c>
      <c r="J350" s="18">
        <v>-236.3600</v>
      </c>
      <c r="K350" s="19">
        <v>10.0000</v>
      </c>
      <c r="L350" s="17" t="s">
        <v>21</v>
      </c>
    </row>
    <row r="351" ht="10.95" customHeight="true" customFormat="true" s="9">
      <c r="A351" s="16">
        <v>45428</v>
      </c>
      <c r="B351" s="17" t="s">
        <v>17</v>
      </c>
      <c r="C351" s="17" t="s">
        <v>18</v>
      </c>
      <c r="D351" s="17" t="s">
        <v>19</v>
      </c>
      <c r="E351" s="17" t="s">
        <v>20</v>
      </c>
      <c r="F351" s="17"/>
      <c r="G351" s="18">
        <v>0</v>
      </c>
      <c r="H351" s="18">
        <v>1951.5500</v>
      </c>
      <c r="I351" s="18">
        <f ca="1">((I350 + G351) - H351)</f>
        <v>0</v>
      </c>
      <c r="J351" s="18">
        <v>-195.1500</v>
      </c>
      <c r="K351" s="19">
        <v>10.0000</v>
      </c>
      <c r="L351" s="17" t="s">
        <v>21</v>
      </c>
    </row>
    <row r="352" ht="10.95" customHeight="true" customFormat="true" s="9">
      <c r="A352" s="16">
        <v>45429</v>
      </c>
      <c r="B352" s="17" t="s">
        <v>17</v>
      </c>
      <c r="C352" s="17" t="s">
        <v>18</v>
      </c>
      <c r="D352" s="17" t="s">
        <v>19</v>
      </c>
      <c r="E352" s="17" t="s">
        <v>20</v>
      </c>
      <c r="F352" s="17"/>
      <c r="G352" s="18">
        <v>0</v>
      </c>
      <c r="H352" s="18">
        <v>2214.4500</v>
      </c>
      <c r="I352" s="18">
        <f ca="1">((I351 + G352) - H352)</f>
        <v>0</v>
      </c>
      <c r="J352" s="18">
        <v>-221.4500</v>
      </c>
      <c r="K352" s="19">
        <v>10.0000</v>
      </c>
      <c r="L352" s="17" t="s">
        <v>21</v>
      </c>
    </row>
    <row r="353" ht="10.95" customHeight="true" customFormat="true" s="9">
      <c r="A353" s="16">
        <v>45432</v>
      </c>
      <c r="B353" s="17" t="s">
        <v>17</v>
      </c>
      <c r="C353" s="17" t="s">
        <v>18</v>
      </c>
      <c r="D353" s="17" t="s">
        <v>22</v>
      </c>
      <c r="E353" s="17" t="s">
        <v>44</v>
      </c>
      <c r="F353" s="17"/>
      <c r="G353" s="18">
        <v>2163.6400</v>
      </c>
      <c r="H353" s="18">
        <v>0</v>
      </c>
      <c r="I353" s="18">
        <f ca="1">((I352 + G353) - H353)</f>
        <v>0</v>
      </c>
      <c r="J353" s="18">
        <v>216.3600</v>
      </c>
      <c r="K353" s="19">
        <v>10.0000</v>
      </c>
      <c r="L353" s="17" t="s">
        <v>21</v>
      </c>
    </row>
    <row r="354" ht="10.95" customHeight="true" customFormat="true" s="9">
      <c r="A354" s="16">
        <v>45432</v>
      </c>
      <c r="B354" s="17" t="s">
        <v>17</v>
      </c>
      <c r="C354" s="17" t="s">
        <v>18</v>
      </c>
      <c r="D354" s="17" t="s">
        <v>19</v>
      </c>
      <c r="E354" s="17" t="s">
        <v>20</v>
      </c>
      <c r="F354" s="17"/>
      <c r="G354" s="18">
        <v>0</v>
      </c>
      <c r="H354" s="18">
        <v>2984.9500</v>
      </c>
      <c r="I354" s="18">
        <f ca="1">((I353 + G354) - H354)</f>
        <v>0</v>
      </c>
      <c r="J354" s="18">
        <v>-298.5000</v>
      </c>
      <c r="K354" s="19">
        <v>10.0000</v>
      </c>
      <c r="L354" s="17" t="s">
        <v>21</v>
      </c>
    </row>
    <row r="355" ht="10.95" customHeight="true" customFormat="true" s="9">
      <c r="A355" s="16">
        <v>45432</v>
      </c>
      <c r="B355" s="17" t="s">
        <v>17</v>
      </c>
      <c r="C355" s="17" t="s">
        <v>18</v>
      </c>
      <c r="D355" s="17" t="s">
        <v>19</v>
      </c>
      <c r="E355" s="17" t="s">
        <v>24</v>
      </c>
      <c r="F355" s="17"/>
      <c r="G355" s="18">
        <v>0</v>
      </c>
      <c r="H355" s="18">
        <v>181.8200</v>
      </c>
      <c r="I355" s="18">
        <f ca="1">((I354 + G355) - H355)</f>
        <v>0</v>
      </c>
      <c r="J355" s="18">
        <v>-18.1800</v>
      </c>
      <c r="K355" s="19">
        <v>10.0000</v>
      </c>
      <c r="L355" s="17" t="s">
        <v>21</v>
      </c>
    </row>
    <row r="356" ht="10.95" customHeight="true" customFormat="true" s="9">
      <c r="A356" s="16">
        <v>45432</v>
      </c>
      <c r="B356" s="17" t="s">
        <v>17</v>
      </c>
      <c r="C356" s="17" t="s">
        <v>18</v>
      </c>
      <c r="D356" s="17" t="s">
        <v>19</v>
      </c>
      <c r="E356" s="17" t="s">
        <v>20</v>
      </c>
      <c r="F356" s="17"/>
      <c r="G356" s="18">
        <v>0</v>
      </c>
      <c r="H356" s="18">
        <v>5123.4500</v>
      </c>
      <c r="I356" s="18">
        <f ca="1">((I355 + G356) - H356)</f>
        <v>0</v>
      </c>
      <c r="J356" s="18">
        <v>-512.3500</v>
      </c>
      <c r="K356" s="19">
        <v>10.0000</v>
      </c>
      <c r="L356" s="17" t="s">
        <v>21</v>
      </c>
    </row>
    <row r="357" ht="10.95" customHeight="true" customFormat="true" s="9">
      <c r="A357" s="16">
        <v>45432</v>
      </c>
      <c r="B357" s="17" t="s">
        <v>17</v>
      </c>
      <c r="C357" s="17" t="s">
        <v>18</v>
      </c>
      <c r="D357" s="17" t="s">
        <v>19</v>
      </c>
      <c r="E357" s="17" t="s">
        <v>20</v>
      </c>
      <c r="F357" s="17"/>
      <c r="G357" s="18">
        <v>0</v>
      </c>
      <c r="H357" s="18">
        <v>5638.5900</v>
      </c>
      <c r="I357" s="18">
        <f ca="1">((I356 + G357) - H357)</f>
        <v>0</v>
      </c>
      <c r="J357" s="18">
        <v>-563.8600</v>
      </c>
      <c r="K357" s="19">
        <v>10.0000</v>
      </c>
      <c r="L357" s="17" t="s">
        <v>21</v>
      </c>
    </row>
    <row r="358" ht="10.95" customHeight="true" customFormat="true" s="9">
      <c r="A358" s="16">
        <v>45434</v>
      </c>
      <c r="B358" s="17" t="s">
        <v>17</v>
      </c>
      <c r="C358" s="17" t="s">
        <v>18</v>
      </c>
      <c r="D358" s="17" t="s">
        <v>19</v>
      </c>
      <c r="E358" s="17" t="s">
        <v>20</v>
      </c>
      <c r="F358" s="17"/>
      <c r="G358" s="18">
        <v>0</v>
      </c>
      <c r="H358" s="18">
        <v>2056.3200</v>
      </c>
      <c r="I358" s="18">
        <f ca="1">((I357 + G358) - H358)</f>
        <v>0</v>
      </c>
      <c r="J358" s="18">
        <v>-205.6300</v>
      </c>
      <c r="K358" s="19">
        <v>10.0000</v>
      </c>
      <c r="L358" s="17" t="s">
        <v>21</v>
      </c>
    </row>
    <row r="359" ht="10.95" customHeight="true" customFormat="true" s="9">
      <c r="A359" s="16">
        <v>45435</v>
      </c>
      <c r="B359" s="17" t="s">
        <v>17</v>
      </c>
      <c r="C359" s="17" t="s">
        <v>18</v>
      </c>
      <c r="D359" s="17" t="s">
        <v>19</v>
      </c>
      <c r="E359" s="17" t="s">
        <v>20</v>
      </c>
      <c r="F359" s="17"/>
      <c r="G359" s="18">
        <v>0</v>
      </c>
      <c r="H359" s="18">
        <v>1940.0000</v>
      </c>
      <c r="I359" s="18">
        <f ca="1">((I358 + G359) - H359)</f>
        <v>0</v>
      </c>
      <c r="J359" s="18">
        <v>-194.0000</v>
      </c>
      <c r="K359" s="19">
        <v>10.0000</v>
      </c>
      <c r="L359" s="17" t="s">
        <v>21</v>
      </c>
    </row>
    <row r="360" ht="10.95" customHeight="true" customFormat="true" s="9">
      <c r="A360" s="16">
        <v>45436</v>
      </c>
      <c r="B360" s="17" t="s">
        <v>17</v>
      </c>
      <c r="C360" s="17" t="s">
        <v>18</v>
      </c>
      <c r="D360" s="17" t="s">
        <v>19</v>
      </c>
      <c r="E360" s="17" t="s">
        <v>20</v>
      </c>
      <c r="F360" s="17"/>
      <c r="G360" s="18">
        <v>0</v>
      </c>
      <c r="H360" s="18">
        <v>2482.6400</v>
      </c>
      <c r="I360" s="18">
        <f ca="1">((I359 + G360) - H360)</f>
        <v>0</v>
      </c>
      <c r="J360" s="18">
        <v>-248.2600</v>
      </c>
      <c r="K360" s="19">
        <v>10.0000</v>
      </c>
      <c r="L360" s="17" t="s">
        <v>21</v>
      </c>
    </row>
    <row r="361" ht="10.95" customHeight="true" customFormat="true" s="9">
      <c r="A361" s="16">
        <v>45439</v>
      </c>
      <c r="B361" s="17" t="s">
        <v>17</v>
      </c>
      <c r="C361" s="17" t="s">
        <v>18</v>
      </c>
      <c r="D361" s="17" t="s">
        <v>19</v>
      </c>
      <c r="E361" s="17" t="s">
        <v>20</v>
      </c>
      <c r="F361" s="17"/>
      <c r="G361" s="18">
        <v>0</v>
      </c>
      <c r="H361" s="18">
        <v>5996.4100</v>
      </c>
      <c r="I361" s="18">
        <f ca="1">((I360 + G361) - H361)</f>
        <v>0</v>
      </c>
      <c r="J361" s="18">
        <v>-599.6400</v>
      </c>
      <c r="K361" s="19">
        <v>10.0000</v>
      </c>
      <c r="L361" s="17" t="s">
        <v>21</v>
      </c>
    </row>
    <row r="362" ht="10.95" customHeight="true" customFormat="true" s="9">
      <c r="A362" s="16">
        <v>45439</v>
      </c>
      <c r="B362" s="17" t="s">
        <v>17</v>
      </c>
      <c r="C362" s="17" t="s">
        <v>18</v>
      </c>
      <c r="D362" s="17" t="s">
        <v>19</v>
      </c>
      <c r="E362" s="17" t="s">
        <v>20</v>
      </c>
      <c r="F362" s="17"/>
      <c r="G362" s="18">
        <v>0</v>
      </c>
      <c r="H362" s="18">
        <v>3060.4100</v>
      </c>
      <c r="I362" s="18">
        <f ca="1">((I361 + G362) - H362)</f>
        <v>0</v>
      </c>
      <c r="J362" s="18">
        <v>-306.0400</v>
      </c>
      <c r="K362" s="19">
        <v>10.0000</v>
      </c>
      <c r="L362" s="17" t="s">
        <v>21</v>
      </c>
    </row>
    <row r="363" ht="10.95" customHeight="true" customFormat="true" s="9">
      <c r="A363" s="16">
        <v>45439</v>
      </c>
      <c r="B363" s="17" t="s">
        <v>17</v>
      </c>
      <c r="C363" s="17" t="s">
        <v>18</v>
      </c>
      <c r="D363" s="17" t="s">
        <v>22</v>
      </c>
      <c r="E363" s="17" t="s">
        <v>42</v>
      </c>
      <c r="F363" s="17"/>
      <c r="G363" s="18">
        <v>2722.7300</v>
      </c>
      <c r="H363" s="18">
        <v>0</v>
      </c>
      <c r="I363" s="18">
        <f ca="1">((I362 + G363) - H363)</f>
        <v>0</v>
      </c>
      <c r="J363" s="18">
        <v>272.2700</v>
      </c>
      <c r="K363" s="19">
        <v>10.0000</v>
      </c>
      <c r="L363" s="17" t="s">
        <v>21</v>
      </c>
    </row>
    <row r="364" ht="10.95" customHeight="true" customFormat="true" s="9">
      <c r="A364" s="16">
        <v>45439</v>
      </c>
      <c r="B364" s="17" t="s">
        <v>17</v>
      </c>
      <c r="C364" s="17" t="s">
        <v>18</v>
      </c>
      <c r="D364" s="17" t="s">
        <v>19</v>
      </c>
      <c r="E364" s="17" t="s">
        <v>20</v>
      </c>
      <c r="F364" s="17"/>
      <c r="G364" s="18">
        <v>0</v>
      </c>
      <c r="H364" s="18">
        <v>5096.0500</v>
      </c>
      <c r="I364" s="18">
        <f ca="1">((I363 + G364) - H364)</f>
        <v>0</v>
      </c>
      <c r="J364" s="18">
        <v>-509.6000</v>
      </c>
      <c r="K364" s="19">
        <v>10.0000</v>
      </c>
      <c r="L364" s="17" t="s">
        <v>21</v>
      </c>
    </row>
    <row r="365" ht="10.95" customHeight="true" customFormat="true" s="9">
      <c r="A365" s="16">
        <v>45440</v>
      </c>
      <c r="B365" s="17" t="s">
        <v>17</v>
      </c>
      <c r="C365" s="17" t="s">
        <v>18</v>
      </c>
      <c r="D365" s="17" t="s">
        <v>19</v>
      </c>
      <c r="E365" s="17" t="s">
        <v>24</v>
      </c>
      <c r="F365" s="17"/>
      <c r="G365" s="18">
        <v>0</v>
      </c>
      <c r="H365" s="18">
        <v>209.0900</v>
      </c>
      <c r="I365" s="18">
        <f ca="1">((I364 + G365) - H365)</f>
        <v>0</v>
      </c>
      <c r="J365" s="18">
        <v>-20.9100</v>
      </c>
      <c r="K365" s="19">
        <v>10.0000</v>
      </c>
      <c r="L365" s="17" t="s">
        <v>21</v>
      </c>
    </row>
    <row r="366" ht="10.95" customHeight="true" customFormat="true" s="9">
      <c r="A366" s="16">
        <v>45441</v>
      </c>
      <c r="B366" s="17" t="s">
        <v>17</v>
      </c>
      <c r="C366" s="17" t="s">
        <v>18</v>
      </c>
      <c r="D366" s="17" t="s">
        <v>19</v>
      </c>
      <c r="E366" s="17" t="s">
        <v>20</v>
      </c>
      <c r="F366" s="17"/>
      <c r="G366" s="18">
        <v>0</v>
      </c>
      <c r="H366" s="18">
        <v>2216.1400</v>
      </c>
      <c r="I366" s="18">
        <f ca="1">((I365 + G366) - H366)</f>
        <v>0</v>
      </c>
      <c r="J366" s="18">
        <v>-221.6100</v>
      </c>
      <c r="K366" s="19">
        <v>10.0000</v>
      </c>
      <c r="L366" s="17" t="s">
        <v>21</v>
      </c>
    </row>
    <row r="367" ht="10.95" customHeight="true" customFormat="true" s="9">
      <c r="A367" s="16">
        <v>45442</v>
      </c>
      <c r="B367" s="17" t="s">
        <v>17</v>
      </c>
      <c r="C367" s="17" t="s">
        <v>18</v>
      </c>
      <c r="D367" s="17" t="s">
        <v>19</v>
      </c>
      <c r="E367" s="17" t="s">
        <v>20</v>
      </c>
      <c r="F367" s="17"/>
      <c r="G367" s="18">
        <v>0</v>
      </c>
      <c r="H367" s="18">
        <v>2241.2700</v>
      </c>
      <c r="I367" s="18">
        <f ca="1">((I366 + G367) - H367)</f>
        <v>0</v>
      </c>
      <c r="J367" s="18">
        <v>-224.1300</v>
      </c>
      <c r="K367" s="19">
        <v>10.0000</v>
      </c>
      <c r="L367" s="17" t="s">
        <v>21</v>
      </c>
    </row>
    <row r="368" ht="10.95" customHeight="true" customFormat="true" s="9">
      <c r="A368" s="16">
        <v>45443</v>
      </c>
      <c r="B368" s="17" t="s">
        <v>17</v>
      </c>
      <c r="C368" s="17" t="s">
        <v>18</v>
      </c>
      <c r="D368" s="17" t="s">
        <v>19</v>
      </c>
      <c r="E368" s="17" t="s">
        <v>20</v>
      </c>
      <c r="F368" s="17"/>
      <c r="G368" s="18">
        <v>0</v>
      </c>
      <c r="H368" s="18">
        <v>3125.5900</v>
      </c>
      <c r="I368" s="18">
        <f ca="1">((I367 + G368) - H368)</f>
        <v>0</v>
      </c>
      <c r="J368" s="18">
        <v>-312.5600</v>
      </c>
      <c r="K368" s="19">
        <v>10.0000</v>
      </c>
      <c r="L368" s="17" t="s">
        <v>21</v>
      </c>
    </row>
    <row r="369" ht="10.95" customHeight="true" customFormat="true" s="9">
      <c r="A369" s="16">
        <v>45446</v>
      </c>
      <c r="B369" s="17" t="s">
        <v>17</v>
      </c>
      <c r="C369" s="17" t="s">
        <v>18</v>
      </c>
      <c r="D369" s="17" t="s">
        <v>19</v>
      </c>
      <c r="E369" s="17" t="s">
        <v>20</v>
      </c>
      <c r="F369" s="17"/>
      <c r="G369" s="18">
        <v>0</v>
      </c>
      <c r="H369" s="18">
        <v>4964.4100</v>
      </c>
      <c r="I369" s="18">
        <f ca="1">((I368 + G369) - H369)</f>
        <v>0</v>
      </c>
      <c r="J369" s="18">
        <v>-496.4400</v>
      </c>
      <c r="K369" s="19">
        <v>10.0000</v>
      </c>
      <c r="L369" s="17" t="s">
        <v>21</v>
      </c>
    </row>
    <row r="370" ht="10.95" customHeight="true" customFormat="true" s="9">
      <c r="A370" s="16">
        <v>45446</v>
      </c>
      <c r="B370" s="17" t="s">
        <v>17</v>
      </c>
      <c r="C370" s="17" t="s">
        <v>18</v>
      </c>
      <c r="D370" s="17" t="s">
        <v>19</v>
      </c>
      <c r="E370" s="17" t="s">
        <v>20</v>
      </c>
      <c r="F370" s="17"/>
      <c r="G370" s="18">
        <v>0</v>
      </c>
      <c r="H370" s="18">
        <v>5194.0500</v>
      </c>
      <c r="I370" s="18">
        <f ca="1">((I369 + G370) - H370)</f>
        <v>0</v>
      </c>
      <c r="J370" s="18">
        <v>-519.4000</v>
      </c>
      <c r="K370" s="19">
        <v>10.0000</v>
      </c>
      <c r="L370" s="17" t="s">
        <v>21</v>
      </c>
    </row>
    <row r="371" ht="10.95" customHeight="true" customFormat="true" s="9">
      <c r="A371" s="16">
        <v>45446</v>
      </c>
      <c r="B371" s="17" t="s">
        <v>17</v>
      </c>
      <c r="C371" s="17" t="s">
        <v>18</v>
      </c>
      <c r="D371" s="17" t="s">
        <v>19</v>
      </c>
      <c r="E371" s="17" t="s">
        <v>20</v>
      </c>
      <c r="F371" s="17"/>
      <c r="G371" s="18">
        <v>0</v>
      </c>
      <c r="H371" s="18">
        <v>2795.7700</v>
      </c>
      <c r="I371" s="18">
        <f ca="1">((I370 + G371) - H371)</f>
        <v>0</v>
      </c>
      <c r="J371" s="18">
        <v>-279.5800</v>
      </c>
      <c r="K371" s="19">
        <v>10.0000</v>
      </c>
      <c r="L371" s="17" t="s">
        <v>21</v>
      </c>
    </row>
    <row r="372" ht="10.95" customHeight="true" customFormat="true" s="9">
      <c r="A372" s="16">
        <v>45446</v>
      </c>
      <c r="B372" s="17" t="s">
        <v>17</v>
      </c>
      <c r="C372" s="17" t="s">
        <v>18</v>
      </c>
      <c r="D372" s="17" t="s">
        <v>22</v>
      </c>
      <c r="E372" s="17" t="s">
        <v>43</v>
      </c>
      <c r="F372" s="17"/>
      <c r="G372" s="18">
        <v>2710.0000</v>
      </c>
      <c r="H372" s="18">
        <v>0</v>
      </c>
      <c r="I372" s="18">
        <f ca="1">((I371 + G372) - H372)</f>
        <v>0</v>
      </c>
      <c r="J372" s="18">
        <v>271.0000</v>
      </c>
      <c r="K372" s="19">
        <v>10.0000</v>
      </c>
      <c r="L372" s="17" t="s">
        <v>21</v>
      </c>
    </row>
    <row r="373" ht="10.95" customHeight="true" customFormat="true" s="9">
      <c r="A373" s="16">
        <v>45447</v>
      </c>
      <c r="B373" s="17" t="s">
        <v>17</v>
      </c>
      <c r="C373" s="17" t="s">
        <v>18</v>
      </c>
      <c r="D373" s="17" t="s">
        <v>19</v>
      </c>
      <c r="E373" s="17" t="s">
        <v>24</v>
      </c>
      <c r="F373" s="17"/>
      <c r="G373" s="18">
        <v>0</v>
      </c>
      <c r="H373" s="18">
        <v>200.0000</v>
      </c>
      <c r="I373" s="18">
        <f ca="1">((I372 + G373) - H373)</f>
        <v>0</v>
      </c>
      <c r="J373" s="18">
        <v>-20.0000</v>
      </c>
      <c r="K373" s="19">
        <v>10.0000</v>
      </c>
      <c r="L373" s="17" t="s">
        <v>21</v>
      </c>
    </row>
    <row r="374" ht="10.95" customHeight="true" customFormat="true" s="9">
      <c r="A374" s="16">
        <v>45448</v>
      </c>
      <c r="B374" s="17" t="s">
        <v>17</v>
      </c>
      <c r="C374" s="17" t="s">
        <v>18</v>
      </c>
      <c r="D374" s="17" t="s">
        <v>19</v>
      </c>
      <c r="E374" s="17" t="s">
        <v>20</v>
      </c>
      <c r="F374" s="17"/>
      <c r="G374" s="18">
        <v>0</v>
      </c>
      <c r="H374" s="18">
        <v>2279.1400</v>
      </c>
      <c r="I374" s="18">
        <f ca="1">((I373 + G374) - H374)</f>
        <v>0</v>
      </c>
      <c r="J374" s="18">
        <v>-227.9100</v>
      </c>
      <c r="K374" s="19">
        <v>10.0000</v>
      </c>
      <c r="L374" s="17" t="s">
        <v>21</v>
      </c>
    </row>
    <row r="375" ht="10.95" customHeight="true" customFormat="true" s="9">
      <c r="A375" s="16">
        <v>45449</v>
      </c>
      <c r="B375" s="17" t="s">
        <v>17</v>
      </c>
      <c r="C375" s="17" t="s">
        <v>18</v>
      </c>
      <c r="D375" s="17" t="s">
        <v>19</v>
      </c>
      <c r="E375" s="17" t="s">
        <v>20</v>
      </c>
      <c r="F375" s="17"/>
      <c r="G375" s="18">
        <v>0</v>
      </c>
      <c r="H375" s="18">
        <v>2524.5500</v>
      </c>
      <c r="I375" s="18">
        <f ca="1">((I374 + G375) - H375)</f>
        <v>0</v>
      </c>
      <c r="J375" s="18">
        <v>-252.4500</v>
      </c>
      <c r="K375" s="19">
        <v>10.0000</v>
      </c>
      <c r="L375" s="17" t="s">
        <v>21</v>
      </c>
    </row>
    <row r="376" ht="10.95" customHeight="true" customFormat="true" s="9">
      <c r="A376" s="16">
        <v>45450</v>
      </c>
      <c r="B376" s="17" t="s">
        <v>17</v>
      </c>
      <c r="C376" s="17" t="s">
        <v>18</v>
      </c>
      <c r="D376" s="17" t="s">
        <v>19</v>
      </c>
      <c r="E376" s="17" t="s">
        <v>20</v>
      </c>
      <c r="F376" s="17"/>
      <c r="G376" s="18">
        <v>0</v>
      </c>
      <c r="H376" s="18">
        <v>1803.3200</v>
      </c>
      <c r="I376" s="18">
        <f ca="1">((I375 + G376) - H376)</f>
        <v>0</v>
      </c>
      <c r="J376" s="18">
        <v>-180.3300</v>
      </c>
      <c r="K376" s="19">
        <v>10.0000</v>
      </c>
      <c r="L376" s="17" t="s">
        <v>21</v>
      </c>
    </row>
    <row r="377" ht="10.95" customHeight="true" customFormat="true" s="9">
      <c r="A377" s="16">
        <v>45453</v>
      </c>
      <c r="B377" s="17" t="s">
        <v>17</v>
      </c>
      <c r="C377" s="17" t="s">
        <v>18</v>
      </c>
      <c r="D377" s="17" t="s">
        <v>22</v>
      </c>
      <c r="E377" s="17" t="s">
        <v>44</v>
      </c>
      <c r="F377" s="17"/>
      <c r="G377" s="18">
        <v>2354.5500</v>
      </c>
      <c r="H377" s="18">
        <v>0</v>
      </c>
      <c r="I377" s="18">
        <f ca="1">((I376 + G377) - H377)</f>
        <v>0</v>
      </c>
      <c r="J377" s="18">
        <v>235.4500</v>
      </c>
      <c r="K377" s="19">
        <v>10.0000</v>
      </c>
      <c r="L377" s="17" t="s">
        <v>21</v>
      </c>
    </row>
    <row r="378" ht="10.95" customHeight="true" customFormat="true" s="9">
      <c r="A378" s="16">
        <v>45454</v>
      </c>
      <c r="B378" s="17" t="s">
        <v>17</v>
      </c>
      <c r="C378" s="17" t="s">
        <v>18</v>
      </c>
      <c r="D378" s="17" t="s">
        <v>19</v>
      </c>
      <c r="E378" s="17" t="s">
        <v>20</v>
      </c>
      <c r="F378" s="17"/>
      <c r="G378" s="18">
        <v>0</v>
      </c>
      <c r="H378" s="18">
        <v>5598.7700</v>
      </c>
      <c r="I378" s="18">
        <f ca="1">((I377 + G378) - H378)</f>
        <v>0</v>
      </c>
      <c r="J378" s="18">
        <v>-559.8800</v>
      </c>
      <c r="K378" s="19">
        <v>10.0000</v>
      </c>
      <c r="L378" s="17" t="s">
        <v>21</v>
      </c>
    </row>
    <row r="379" ht="10.95" customHeight="true" customFormat="true" s="9">
      <c r="A379" s="16">
        <v>45454</v>
      </c>
      <c r="B379" s="17" t="s">
        <v>17</v>
      </c>
      <c r="C379" s="17" t="s">
        <v>18</v>
      </c>
      <c r="D379" s="17" t="s">
        <v>19</v>
      </c>
      <c r="E379" s="17" t="s">
        <v>20</v>
      </c>
      <c r="F379" s="17"/>
      <c r="G379" s="18">
        <v>0</v>
      </c>
      <c r="H379" s="18">
        <v>2825.0500</v>
      </c>
      <c r="I379" s="18">
        <f ca="1">((I378 + G379) - H379)</f>
        <v>0</v>
      </c>
      <c r="J379" s="18">
        <v>-282.5000</v>
      </c>
      <c r="K379" s="19">
        <v>10.0000</v>
      </c>
      <c r="L379" s="17" t="s">
        <v>21</v>
      </c>
    </row>
    <row r="380" ht="10.95" customHeight="true" customFormat="true" s="9">
      <c r="A380" s="16">
        <v>45454</v>
      </c>
      <c r="B380" s="17" t="s">
        <v>17</v>
      </c>
      <c r="C380" s="17" t="s">
        <v>18</v>
      </c>
      <c r="D380" s="17" t="s">
        <v>19</v>
      </c>
      <c r="E380" s="17" t="s">
        <v>20</v>
      </c>
      <c r="F380" s="17"/>
      <c r="G380" s="18">
        <v>0</v>
      </c>
      <c r="H380" s="18">
        <v>5087.9100</v>
      </c>
      <c r="I380" s="18">
        <f ca="1">((I379 + G380) - H380)</f>
        <v>0</v>
      </c>
      <c r="J380" s="18">
        <v>-508.7900</v>
      </c>
      <c r="K380" s="19">
        <v>10.0000</v>
      </c>
      <c r="L380" s="17" t="s">
        <v>21</v>
      </c>
    </row>
    <row r="381" ht="10.95" customHeight="true" customFormat="true" s="9">
      <c r="A381" s="16">
        <v>45454</v>
      </c>
      <c r="B381" s="17" t="s">
        <v>17</v>
      </c>
      <c r="C381" s="17" t="s">
        <v>18</v>
      </c>
      <c r="D381" s="17" t="s">
        <v>19</v>
      </c>
      <c r="E381" s="17" t="s">
        <v>24</v>
      </c>
      <c r="F381" s="17"/>
      <c r="G381" s="18">
        <v>0</v>
      </c>
      <c r="H381" s="18">
        <v>140.9100</v>
      </c>
      <c r="I381" s="18">
        <f ca="1">((I380 + G381) - H381)</f>
        <v>0</v>
      </c>
      <c r="J381" s="18">
        <v>-14.0900</v>
      </c>
      <c r="K381" s="19">
        <v>10.0000</v>
      </c>
      <c r="L381" s="17" t="s">
        <v>21</v>
      </c>
    </row>
    <row r="382" ht="10.95" customHeight="true" customFormat="true" s="9">
      <c r="A382" s="16">
        <v>45455</v>
      </c>
      <c r="B382" s="17" t="s">
        <v>17</v>
      </c>
      <c r="C382" s="17" t="s">
        <v>18</v>
      </c>
      <c r="D382" s="17" t="s">
        <v>19</v>
      </c>
      <c r="E382" s="17" t="s">
        <v>20</v>
      </c>
      <c r="F382" s="17"/>
      <c r="G382" s="18">
        <v>0</v>
      </c>
      <c r="H382" s="18">
        <v>2001.1800</v>
      </c>
      <c r="I382" s="18">
        <f ca="1">((I381 + G382) - H382)</f>
        <v>0</v>
      </c>
      <c r="J382" s="18">
        <v>-200.1200</v>
      </c>
      <c r="K382" s="19">
        <v>10.0000</v>
      </c>
      <c r="L382" s="17" t="s">
        <v>21</v>
      </c>
    </row>
    <row r="383" ht="10.95" customHeight="true" customFormat="true" s="9">
      <c r="A383" s="16">
        <v>45456</v>
      </c>
      <c r="B383" s="17" t="s">
        <v>17</v>
      </c>
      <c r="C383" s="17" t="s">
        <v>18</v>
      </c>
      <c r="D383" s="17" t="s">
        <v>19</v>
      </c>
      <c r="E383" s="17" t="s">
        <v>20</v>
      </c>
      <c r="F383" s="17"/>
      <c r="G383" s="18">
        <v>0</v>
      </c>
      <c r="H383" s="18">
        <v>2206.5500</v>
      </c>
      <c r="I383" s="18">
        <f ca="1">((I382 + G383) - H383)</f>
        <v>0</v>
      </c>
      <c r="J383" s="18">
        <v>-220.6500</v>
      </c>
      <c r="K383" s="19">
        <v>10.0000</v>
      </c>
      <c r="L383" s="17" t="s">
        <v>21</v>
      </c>
    </row>
    <row r="384" ht="10.95" customHeight="true" customFormat="true" s="9">
      <c r="A384" s="16">
        <v>45457</v>
      </c>
      <c r="B384" s="17" t="s">
        <v>17</v>
      </c>
      <c r="C384" s="17" t="s">
        <v>18</v>
      </c>
      <c r="D384" s="17" t="s">
        <v>19</v>
      </c>
      <c r="E384" s="17" t="s">
        <v>20</v>
      </c>
      <c r="F384" s="17"/>
      <c r="G384" s="18">
        <v>0</v>
      </c>
      <c r="H384" s="18">
        <v>2541.2700</v>
      </c>
      <c r="I384" s="18">
        <f ca="1">((I383 + G384) - H384)</f>
        <v>0</v>
      </c>
      <c r="J384" s="18">
        <v>-254.1300</v>
      </c>
      <c r="K384" s="19">
        <v>10.0000</v>
      </c>
      <c r="L384" s="17" t="s">
        <v>21</v>
      </c>
    </row>
    <row r="385" ht="10.95" customHeight="true" customFormat="true" s="9">
      <c r="A385" s="16">
        <v>45460</v>
      </c>
      <c r="B385" s="17" t="s">
        <v>17</v>
      </c>
      <c r="C385" s="17" t="s">
        <v>18</v>
      </c>
      <c r="D385" s="17" t="s">
        <v>22</v>
      </c>
      <c r="E385" s="17" t="s">
        <v>42</v>
      </c>
      <c r="F385" s="17"/>
      <c r="G385" s="18">
        <v>2492.2700</v>
      </c>
      <c r="H385" s="18">
        <v>0</v>
      </c>
      <c r="I385" s="18">
        <f ca="1">((I384 + G385) - H385)</f>
        <v>0</v>
      </c>
      <c r="J385" s="18">
        <v>249.2300</v>
      </c>
      <c r="K385" s="19">
        <v>10.0000</v>
      </c>
      <c r="L385" s="17" t="s">
        <v>21</v>
      </c>
    </row>
    <row r="386" ht="10.95" customHeight="true" customFormat="true" s="9">
      <c r="A386" s="16">
        <v>45460</v>
      </c>
      <c r="B386" s="17" t="s">
        <v>17</v>
      </c>
      <c r="C386" s="17" t="s">
        <v>18</v>
      </c>
      <c r="D386" s="17" t="s">
        <v>19</v>
      </c>
      <c r="E386" s="17" t="s">
        <v>24</v>
      </c>
      <c r="F386" s="17"/>
      <c r="G386" s="18">
        <v>0</v>
      </c>
      <c r="H386" s="18">
        <v>90.9100</v>
      </c>
      <c r="I386" s="18">
        <f ca="1">((I385 + G386) - H386)</f>
        <v>0</v>
      </c>
      <c r="J386" s="18">
        <v>-9.0900</v>
      </c>
      <c r="K386" s="19">
        <v>10.0000</v>
      </c>
      <c r="L386" s="17" t="s">
        <v>21</v>
      </c>
    </row>
    <row r="387" ht="10.95" customHeight="true" customFormat="true" s="9">
      <c r="A387" s="16">
        <v>45460</v>
      </c>
      <c r="B387" s="17" t="s">
        <v>17</v>
      </c>
      <c r="C387" s="17" t="s">
        <v>18</v>
      </c>
      <c r="D387" s="17" t="s">
        <v>19</v>
      </c>
      <c r="E387" s="17" t="s">
        <v>20</v>
      </c>
      <c r="F387" s="17"/>
      <c r="G387" s="18">
        <v>0</v>
      </c>
      <c r="H387" s="18">
        <v>2649.9100</v>
      </c>
      <c r="I387" s="18">
        <f ca="1">((I386 + G387) - H387)</f>
        <v>0</v>
      </c>
      <c r="J387" s="18">
        <v>-264.9900</v>
      </c>
      <c r="K387" s="19">
        <v>10.0000</v>
      </c>
      <c r="L387" s="17" t="s">
        <v>21</v>
      </c>
    </row>
    <row r="388" ht="10.95" customHeight="true" customFormat="true" s="9">
      <c r="A388" s="16">
        <v>45460</v>
      </c>
      <c r="B388" s="17" t="s">
        <v>17</v>
      </c>
      <c r="C388" s="17" t="s">
        <v>18</v>
      </c>
      <c r="D388" s="17" t="s">
        <v>19</v>
      </c>
      <c r="E388" s="17" t="s">
        <v>20</v>
      </c>
      <c r="F388" s="17"/>
      <c r="G388" s="18">
        <v>0</v>
      </c>
      <c r="H388" s="18">
        <v>5633.3200</v>
      </c>
      <c r="I388" s="18">
        <f ca="1">((I387 + G388) - H388)</f>
        <v>0</v>
      </c>
      <c r="J388" s="18">
        <v>-563.3300</v>
      </c>
      <c r="K388" s="19">
        <v>10.0000</v>
      </c>
      <c r="L388" s="17" t="s">
        <v>21</v>
      </c>
    </row>
    <row r="389" ht="10.95" customHeight="true" customFormat="true" s="9">
      <c r="A389" s="16">
        <v>45460</v>
      </c>
      <c r="B389" s="17" t="s">
        <v>17</v>
      </c>
      <c r="C389" s="17" t="s">
        <v>18</v>
      </c>
      <c r="D389" s="17" t="s">
        <v>19</v>
      </c>
      <c r="E389" s="17" t="s">
        <v>20</v>
      </c>
      <c r="F389" s="17"/>
      <c r="G389" s="18">
        <v>0</v>
      </c>
      <c r="H389" s="18">
        <v>5779.2300</v>
      </c>
      <c r="I389" s="18">
        <f ca="1">((I388 + G389) - H389)</f>
        <v>0</v>
      </c>
      <c r="J389" s="18">
        <v>-577.9200</v>
      </c>
      <c r="K389" s="19">
        <v>10.0000</v>
      </c>
      <c r="L389" s="17" t="s">
        <v>21</v>
      </c>
    </row>
    <row r="390" ht="10.95" customHeight="true" customFormat="true" s="9">
      <c r="A390" s="16">
        <v>45461</v>
      </c>
      <c r="B390" s="17" t="s">
        <v>17</v>
      </c>
      <c r="C390" s="17" t="s">
        <v>18</v>
      </c>
      <c r="D390" s="17" t="s">
        <v>19</v>
      </c>
      <c r="E390" s="17" t="s">
        <v>45</v>
      </c>
      <c r="F390" s="17"/>
      <c r="G390" s="18">
        <v>0</v>
      </c>
      <c r="H390" s="18">
        <v>3300.0000</v>
      </c>
      <c r="I390" s="18">
        <f ca="1">((I389 + G390) - H390)</f>
        <v>0</v>
      </c>
      <c r="J390" s="18">
        <v>-330.0000</v>
      </c>
      <c r="K390" s="19">
        <v>10.0000</v>
      </c>
      <c r="L390" s="17" t="s">
        <v>21</v>
      </c>
    </row>
    <row r="391" ht="10.95" customHeight="true" customFormat="true" s="9">
      <c r="A391" s="16">
        <v>45462</v>
      </c>
      <c r="B391" s="17" t="s">
        <v>17</v>
      </c>
      <c r="C391" s="17" t="s">
        <v>18</v>
      </c>
      <c r="D391" s="17" t="s">
        <v>19</v>
      </c>
      <c r="E391" s="17" t="s">
        <v>20</v>
      </c>
      <c r="F391" s="17"/>
      <c r="G391" s="18">
        <v>0</v>
      </c>
      <c r="H391" s="18">
        <v>2344.4100</v>
      </c>
      <c r="I391" s="18">
        <f ca="1">((I390 + G391) - H391)</f>
        <v>0</v>
      </c>
      <c r="J391" s="18">
        <v>-234.4400</v>
      </c>
      <c r="K391" s="19">
        <v>10.0000</v>
      </c>
      <c r="L391" s="17" t="s">
        <v>21</v>
      </c>
    </row>
    <row r="392" ht="10.95" customHeight="true" customFormat="true" s="9">
      <c r="A392" s="16">
        <v>45463</v>
      </c>
      <c r="B392" s="17" t="s">
        <v>17</v>
      </c>
      <c r="C392" s="17" t="s">
        <v>18</v>
      </c>
      <c r="D392" s="17" t="s">
        <v>19</v>
      </c>
      <c r="E392" s="17" t="s">
        <v>20</v>
      </c>
      <c r="F392" s="17"/>
      <c r="G392" s="18">
        <v>0</v>
      </c>
      <c r="H392" s="18">
        <v>2056.3600</v>
      </c>
      <c r="I392" s="18">
        <f ca="1">((I391 + G392) - H392)</f>
        <v>0</v>
      </c>
      <c r="J392" s="18">
        <v>-205.6400</v>
      </c>
      <c r="K392" s="19">
        <v>10.0000</v>
      </c>
      <c r="L392" s="17" t="s">
        <v>21</v>
      </c>
    </row>
    <row r="393" ht="10.95" customHeight="true" customFormat="true" s="9">
      <c r="A393" s="16">
        <v>45464</v>
      </c>
      <c r="B393" s="17" t="s">
        <v>17</v>
      </c>
      <c r="C393" s="17" t="s">
        <v>18</v>
      </c>
      <c r="D393" s="17" t="s">
        <v>19</v>
      </c>
      <c r="E393" s="17" t="s">
        <v>20</v>
      </c>
      <c r="F393" s="17"/>
      <c r="G393" s="18">
        <v>0</v>
      </c>
      <c r="H393" s="18">
        <v>2543.0000</v>
      </c>
      <c r="I393" s="18">
        <f ca="1">((I392 + G393) - H393)</f>
        <v>0</v>
      </c>
      <c r="J393" s="18">
        <v>-254.3000</v>
      </c>
      <c r="K393" s="19">
        <v>10.0000</v>
      </c>
      <c r="L393" s="17" t="s">
        <v>21</v>
      </c>
    </row>
    <row r="394" ht="10.95" customHeight="true" customFormat="true" s="9">
      <c r="A394" s="16">
        <v>45467</v>
      </c>
      <c r="B394" s="17" t="s">
        <v>17</v>
      </c>
      <c r="C394" s="17" t="s">
        <v>18</v>
      </c>
      <c r="D394" s="17" t="s">
        <v>19</v>
      </c>
      <c r="E394" s="17" t="s">
        <v>20</v>
      </c>
      <c r="F394" s="17"/>
      <c r="G394" s="18">
        <v>0</v>
      </c>
      <c r="H394" s="18">
        <v>3044.8200</v>
      </c>
      <c r="I394" s="18">
        <f ca="1">((I393 + G394) - H394)</f>
        <v>0</v>
      </c>
      <c r="J394" s="18">
        <v>-304.4800</v>
      </c>
      <c r="K394" s="19">
        <v>10.0000</v>
      </c>
      <c r="L394" s="17" t="s">
        <v>21</v>
      </c>
    </row>
    <row r="395" ht="10.95" customHeight="true" customFormat="true" s="9">
      <c r="A395" s="16">
        <v>45467</v>
      </c>
      <c r="B395" s="17" t="s">
        <v>17</v>
      </c>
      <c r="C395" s="17" t="s">
        <v>18</v>
      </c>
      <c r="D395" s="17" t="s">
        <v>22</v>
      </c>
      <c r="E395" s="17" t="s">
        <v>42</v>
      </c>
      <c r="F395" s="17"/>
      <c r="G395" s="18">
        <v>2570.4500</v>
      </c>
      <c r="H395" s="18">
        <v>0</v>
      </c>
      <c r="I395" s="18">
        <f ca="1">((I394 + G395) - H395)</f>
        <v>0</v>
      </c>
      <c r="J395" s="18">
        <v>257.0500</v>
      </c>
      <c r="K395" s="19">
        <v>10.0000</v>
      </c>
      <c r="L395" s="17" t="s">
        <v>21</v>
      </c>
    </row>
    <row r="396" ht="10.95" customHeight="true" customFormat="true" s="9">
      <c r="A396" s="16">
        <v>45467</v>
      </c>
      <c r="B396" s="17" t="s">
        <v>17</v>
      </c>
      <c r="C396" s="17" t="s">
        <v>18</v>
      </c>
      <c r="D396" s="17" t="s">
        <v>19</v>
      </c>
      <c r="E396" s="17" t="s">
        <v>20</v>
      </c>
      <c r="F396" s="17"/>
      <c r="G396" s="18">
        <v>0</v>
      </c>
      <c r="H396" s="18">
        <v>4665.3200</v>
      </c>
      <c r="I396" s="18">
        <f ca="1">((I395 + G396) - H396)</f>
        <v>0</v>
      </c>
      <c r="J396" s="18">
        <v>-466.5300</v>
      </c>
      <c r="K396" s="19">
        <v>10.0000</v>
      </c>
      <c r="L396" s="17" t="s">
        <v>21</v>
      </c>
    </row>
    <row r="397" ht="10.95" customHeight="true" customFormat="true" s="9">
      <c r="A397" s="16">
        <v>45467</v>
      </c>
      <c r="B397" s="17" t="s">
        <v>17</v>
      </c>
      <c r="C397" s="17" t="s">
        <v>18</v>
      </c>
      <c r="D397" s="17" t="s">
        <v>19</v>
      </c>
      <c r="E397" s="17" t="s">
        <v>20</v>
      </c>
      <c r="F397" s="17"/>
      <c r="G397" s="18">
        <v>0</v>
      </c>
      <c r="H397" s="18">
        <v>5619.2300</v>
      </c>
      <c r="I397" s="18">
        <f ca="1">((I396 + G397) - H397)</f>
        <v>0</v>
      </c>
      <c r="J397" s="18">
        <v>-561.9200</v>
      </c>
      <c r="K397" s="19">
        <v>10.0000</v>
      </c>
      <c r="L397" s="17" t="s">
        <v>21</v>
      </c>
    </row>
    <row r="398" ht="10.95" customHeight="true" customFormat="true" s="9">
      <c r="A398" s="16">
        <v>45467</v>
      </c>
      <c r="B398" s="17" t="s">
        <v>17</v>
      </c>
      <c r="C398" s="17" t="s">
        <v>18</v>
      </c>
      <c r="D398" s="17" t="s">
        <v>19</v>
      </c>
      <c r="E398" s="17" t="s">
        <v>24</v>
      </c>
      <c r="F398" s="17"/>
      <c r="G398" s="18">
        <v>0</v>
      </c>
      <c r="H398" s="18">
        <v>145.4500</v>
      </c>
      <c r="I398" s="18">
        <f ca="1">((I397 + G398) - H398)</f>
        <v>0</v>
      </c>
      <c r="J398" s="18">
        <v>-14.5500</v>
      </c>
      <c r="K398" s="19">
        <v>10.0000</v>
      </c>
      <c r="L398" s="17" t="s">
        <v>21</v>
      </c>
    </row>
    <row r="399" ht="10.95" customHeight="true" customFormat="true" s="9">
      <c r="A399" s="16">
        <v>45468</v>
      </c>
      <c r="B399" s="17" t="s">
        <v>17</v>
      </c>
      <c r="C399" s="17" t="s">
        <v>18</v>
      </c>
      <c r="D399" s="17" t="s">
        <v>19</v>
      </c>
      <c r="E399" s="17" t="s">
        <v>20</v>
      </c>
      <c r="F399" s="17"/>
      <c r="G399" s="18">
        <v>0</v>
      </c>
      <c r="H399" s="18">
        <v>4.0900</v>
      </c>
      <c r="I399" s="18">
        <f ca="1">((I398 + G399) - H399)</f>
        <v>0</v>
      </c>
      <c r="J399" s="18">
        <v>-0.4100</v>
      </c>
      <c r="K399" s="19">
        <v>10.0000</v>
      </c>
      <c r="L399" s="17" t="s">
        <v>21</v>
      </c>
    </row>
    <row r="400" ht="10.95" customHeight="true" customFormat="true" s="9">
      <c r="A400" s="16">
        <v>45469</v>
      </c>
      <c r="B400" s="17" t="s">
        <v>17</v>
      </c>
      <c r="C400" s="17" t="s">
        <v>18</v>
      </c>
      <c r="D400" s="17" t="s">
        <v>19</v>
      </c>
      <c r="E400" s="17" t="s">
        <v>20</v>
      </c>
      <c r="F400" s="17"/>
      <c r="G400" s="18">
        <v>0</v>
      </c>
      <c r="H400" s="18">
        <v>2371.6800</v>
      </c>
      <c r="I400" s="18">
        <f ca="1">((I399 + G400) - H400)</f>
        <v>0</v>
      </c>
      <c r="J400" s="18">
        <v>-237.1700</v>
      </c>
      <c r="K400" s="19">
        <v>10.0000</v>
      </c>
      <c r="L400" s="17" t="s">
        <v>21</v>
      </c>
    </row>
    <row r="401" ht="10.95" customHeight="true" customFormat="true" s="9">
      <c r="A401" s="16">
        <v>45470</v>
      </c>
      <c r="B401" s="17" t="s">
        <v>17</v>
      </c>
      <c r="C401" s="17" t="s">
        <v>18</v>
      </c>
      <c r="D401" s="17" t="s">
        <v>19</v>
      </c>
      <c r="E401" s="17" t="s">
        <v>20</v>
      </c>
      <c r="F401" s="17"/>
      <c r="G401" s="18">
        <v>0</v>
      </c>
      <c r="H401" s="18">
        <v>2396.6800</v>
      </c>
      <c r="I401" s="18">
        <f ca="1">((I400 + G401) - H401)</f>
        <v>0</v>
      </c>
      <c r="J401" s="18">
        <v>-239.6700</v>
      </c>
      <c r="K401" s="19">
        <v>10.0000</v>
      </c>
      <c r="L401" s="17" t="s">
        <v>21</v>
      </c>
    </row>
    <row r="402" ht="10.95" customHeight="true" customFormat="true" s="9">
      <c r="A402" s="16">
        <v>45471</v>
      </c>
      <c r="B402" s="17" t="s">
        <v>17</v>
      </c>
      <c r="C402" s="17" t="s">
        <v>18</v>
      </c>
      <c r="D402" s="17" t="s">
        <v>19</v>
      </c>
      <c r="E402" s="17" t="s">
        <v>20</v>
      </c>
      <c r="F402" s="17"/>
      <c r="G402" s="18">
        <v>0</v>
      </c>
      <c r="H402" s="18">
        <v>2718.8600</v>
      </c>
      <c r="I402" s="18">
        <f ca="1">((I401 + G402) - H402)</f>
        <v>0</v>
      </c>
      <c r="J402" s="18">
        <v>-271.8900</v>
      </c>
      <c r="K402" s="19">
        <v>10.0000</v>
      </c>
      <c r="L402" s="17" t="s">
        <v>21</v>
      </c>
    </row>
    <row r="403" ht="10.95" customHeight="true" customFormat="true" s="9">
      <c r="A403" s="16">
        <v>45473</v>
      </c>
      <c r="B403" s="17" t="s">
        <v>17</v>
      </c>
      <c r="C403" s="17" t="s">
        <v>18</v>
      </c>
      <c r="D403" s="17" t="s">
        <v>25</v>
      </c>
      <c r="E403" s="17" t="s">
        <v>46</v>
      </c>
      <c r="F403" s="17" t="s">
        <v>47</v>
      </c>
      <c r="G403" s="18">
        <v>0</v>
      </c>
      <c r="H403" s="18">
        <v>8167.1200</v>
      </c>
      <c r="I403" s="18">
        <f ca="1">((I402 + G403) - H403)</f>
        <v>0</v>
      </c>
      <c r="J403" s="18">
        <v>0</v>
      </c>
      <c r="K403" s="19">
        <v>0</v>
      </c>
      <c r="L403" s="17" t="s">
        <v>28</v>
      </c>
    </row>
    <row r="404" ht="10.95" customHeight="true" customFormat="true" s="9">
      <c r="A404" s="16">
        <v>45473</v>
      </c>
      <c r="B404" s="17" t="s">
        <v>17</v>
      </c>
      <c r="C404" s="17" t="s">
        <v>18</v>
      </c>
      <c r="D404" s="17" t="s">
        <v>25</v>
      </c>
      <c r="E404" s="17" t="s">
        <v>48</v>
      </c>
      <c r="F404" s="17" t="s">
        <v>47</v>
      </c>
      <c r="G404" s="18">
        <v>8351.6600</v>
      </c>
      <c r="H404" s="18">
        <v>0</v>
      </c>
      <c r="I404" s="18">
        <f ca="1">((I403 + G404) - H404)</f>
        <v>0</v>
      </c>
      <c r="J404" s="18">
        <v>0</v>
      </c>
      <c r="K404" s="19">
        <v>0</v>
      </c>
      <c r="L404" s="17" t="s">
        <v>28</v>
      </c>
    </row>
    <row r="405" ht="10.95" customHeight="true" customFormat="true" s="9">
      <c r="A405" s="16">
        <v>45473</v>
      </c>
      <c r="B405" s="17" t="s">
        <v>17</v>
      </c>
      <c r="C405" s="17" t="s">
        <v>18</v>
      </c>
      <c r="D405" s="17" t="s">
        <v>25</v>
      </c>
      <c r="E405" s="17" t="s">
        <v>49</v>
      </c>
      <c r="F405" s="17" t="s">
        <v>50</v>
      </c>
      <c r="G405" s="18">
        <v>0</v>
      </c>
      <c r="H405" s="18">
        <v>3233.9700</v>
      </c>
      <c r="I405" s="18">
        <f ca="1">((I404 + G405) - H405)</f>
        <v>0</v>
      </c>
      <c r="J405" s="18">
        <v>0</v>
      </c>
      <c r="K405" s="19">
        <v>0</v>
      </c>
      <c r="L405" s="17" t="s">
        <v>28</v>
      </c>
    </row>
    <row r="406" ht="10.95" customHeight="true" customFormat="true" s="9">
      <c r="A406" s="16">
        <v>45473</v>
      </c>
      <c r="B406" s="17" t="s">
        <v>17</v>
      </c>
      <c r="C406" s="17" t="s">
        <v>18</v>
      </c>
      <c r="D406" s="17" t="s">
        <v>25</v>
      </c>
      <c r="E406" s="17" t="s">
        <v>51</v>
      </c>
      <c r="F406" s="17" t="s">
        <v>50</v>
      </c>
      <c r="G406" s="18">
        <v>30960.0000</v>
      </c>
      <c r="H406" s="18">
        <v>0</v>
      </c>
      <c r="I406" s="18">
        <f ca="1">((I405 + G406) - H406)</f>
        <v>0</v>
      </c>
      <c r="J406" s="18">
        <v>0</v>
      </c>
      <c r="K406" s="19">
        <v>0</v>
      </c>
      <c r="L406" s="17" t="s">
        <v>28</v>
      </c>
    </row>
    <row r="407" ht="10.95" customHeight="true" customFormat="true" s="9">
      <c r="A407" s="20" t="s">
        <v>52</v>
      </c>
      <c r="B407" s="20"/>
      <c r="C407" s="20"/>
      <c r="D407" s="20"/>
      <c r="E407" s="20"/>
      <c r="F407" s="20"/>
      <c r="G407" s="21">
        <f ca="1">SUM(G9:G406)</f>
        <v>0</v>
      </c>
      <c r="H407" s="21">
        <f ca="1">SUM(H9:H406)</f>
        <v>0</v>
      </c>
      <c r="I407" s="21">
        <f ca="1">I406</f>
        <v>0</v>
      </c>
      <c r="J407" s="21">
        <f ca="1">SUM(J9:J406)</f>
        <v>0</v>
      </c>
      <c r="K407" s="20"/>
      <c r="L407" s="20"/>
    </row>
    <row r="408" ht="10.95" customHeight="true" customFormat="true" s="9">
      <c r="A408" s="20" t="s">
        <v>53</v>
      </c>
      <c r="B408" s="20"/>
      <c r="C408" s="20"/>
      <c r="D408" s="20"/>
      <c r="E408" s="20"/>
      <c r="F408" s="20"/>
      <c r="G408" s="21">
        <v>0</v>
      </c>
      <c r="H408" s="21">
        <v>885967.7200</v>
      </c>
      <c r="I408" s="21">
        <v>0</v>
      </c>
      <c r="J408" s="21">
        <v>0</v>
      </c>
      <c r="K408" s="20"/>
      <c r="L408" s="20"/>
    </row>
    <row r="409" ht="10.95" customHeight="true" customFormat="true" s="9">
      <c r="A409" s="10" t="s">
        <v>54</v>
      </c>
      <c r="B409" s="10"/>
      <c r="C409" s="10"/>
      <c r="D409" s="10"/>
      <c r="E409" s="10"/>
      <c r="F409" s="10"/>
      <c r="G409" s="11">
        <v>0</v>
      </c>
      <c r="H409" s="11">
        <v>885967.7200</v>
      </c>
      <c r="I409" s="11">
        <f ca="1">I406</f>
        <v>0</v>
      </c>
      <c r="J409" s="11">
        <v>0</v>
      </c>
      <c r="K409" s="10"/>
      <c r="L409" s="10"/>
    </row>
    <row r="410" ht="13.35" customHeight="true"/>
    <row r="411" ht="12.1" customHeight="true" customFormat="true" s="5">
      <c r="A411" s="8" t="s">
        <v>55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ht="10.95" customHeight="true" customFormat="true" s="9">
      <c r="A412" s="10" t="s">
        <v>16</v>
      </c>
      <c r="B412" s="10"/>
      <c r="C412" s="10"/>
      <c r="D412" s="10"/>
      <c r="E412" s="10"/>
      <c r="F412" s="10"/>
      <c r="G412" s="11">
        <v>0</v>
      </c>
      <c r="H412" s="11">
        <v>0</v>
      </c>
      <c r="I412" s="11">
        <f ca="1">(G412 - H412)</f>
        <v>0</v>
      </c>
      <c r="J412" s="11">
        <v>0</v>
      </c>
      <c r="K412" s="10"/>
      <c r="L412" s="10"/>
    </row>
    <row r="413" ht="10.95" customHeight="true" customFormat="true" s="9">
      <c r="A413" s="12">
        <v>45473</v>
      </c>
      <c r="B413" s="13" t="s">
        <v>56</v>
      </c>
      <c r="C413" s="13" t="s">
        <v>18</v>
      </c>
      <c r="D413" s="13" t="s">
        <v>25</v>
      </c>
      <c r="E413" s="13" t="s">
        <v>57</v>
      </c>
      <c r="F413" s="13" t="s">
        <v>50</v>
      </c>
      <c r="G413" s="14">
        <v>0</v>
      </c>
      <c r="H413" s="14">
        <v>30960.0000</v>
      </c>
      <c r="I413" s="14">
        <f ca="1">((I412 + G413) - H413)</f>
        <v>0</v>
      </c>
      <c r="J413" s="14">
        <v>0</v>
      </c>
      <c r="K413" s="15">
        <v>0</v>
      </c>
      <c r="L413" s="13" t="s">
        <v>28</v>
      </c>
    </row>
    <row r="414" ht="10.95" customHeight="true" customFormat="true" s="9">
      <c r="A414" s="20" t="s">
        <v>58</v>
      </c>
      <c r="B414" s="20"/>
      <c r="C414" s="20"/>
      <c r="D414" s="20"/>
      <c r="E414" s="20"/>
      <c r="F414" s="20"/>
      <c r="G414" s="21">
        <f ca="1">G413</f>
        <v>0</v>
      </c>
      <c r="H414" s="21">
        <f ca="1">H413</f>
        <v>0</v>
      </c>
      <c r="I414" s="21">
        <f ca="1">I413</f>
        <v>0</v>
      </c>
      <c r="J414" s="21">
        <f ca="1">J413</f>
        <v>0</v>
      </c>
      <c r="K414" s="20"/>
      <c r="L414" s="20"/>
    </row>
    <row r="415" ht="10.95" customHeight="true" customFormat="true" s="9">
      <c r="A415" s="20" t="s">
        <v>53</v>
      </c>
      <c r="B415" s="20"/>
      <c r="C415" s="20"/>
      <c r="D415" s="20"/>
      <c r="E415" s="20"/>
      <c r="F415" s="20"/>
      <c r="G415" s="21">
        <v>0</v>
      </c>
      <c r="H415" s="21">
        <v>30960.0000</v>
      </c>
      <c r="I415" s="21">
        <v>0</v>
      </c>
      <c r="J415" s="21">
        <v>0</v>
      </c>
      <c r="K415" s="20"/>
      <c r="L415" s="20"/>
    </row>
    <row r="416" ht="10.95" customHeight="true" customFormat="true" s="9">
      <c r="A416" s="10" t="s">
        <v>54</v>
      </c>
      <c r="B416" s="10"/>
      <c r="C416" s="10"/>
      <c r="D416" s="10"/>
      <c r="E416" s="10"/>
      <c r="F416" s="10"/>
      <c r="G416" s="11">
        <v>0</v>
      </c>
      <c r="H416" s="11">
        <v>30960.0000</v>
      </c>
      <c r="I416" s="11">
        <f ca="1">I413</f>
        <v>0</v>
      </c>
      <c r="J416" s="11">
        <v>0</v>
      </c>
      <c r="K416" s="10"/>
      <c r="L416" s="10"/>
    </row>
    <row r="417" ht="13.35" customHeight="true"/>
    <row r="418" ht="12.1" customHeight="true" customFormat="true" s="5">
      <c r="A418" s="8" t="s">
        <v>59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ht="10.95" customHeight="true" customFormat="true" s="9">
      <c r="A419" s="10" t="s">
        <v>16</v>
      </c>
      <c r="B419" s="10"/>
      <c r="C419" s="10"/>
      <c r="D419" s="10"/>
      <c r="E419" s="10"/>
      <c r="F419" s="10"/>
      <c r="G419" s="11">
        <v>0</v>
      </c>
      <c r="H419" s="11">
        <v>0</v>
      </c>
      <c r="I419" s="11">
        <f ca="1">(G419 - H419)</f>
        <v>0</v>
      </c>
      <c r="J419" s="11">
        <v>0</v>
      </c>
      <c r="K419" s="10"/>
      <c r="L419" s="10"/>
    </row>
    <row r="420" ht="10.95" customHeight="true" customFormat="true" s="9">
      <c r="A420" s="12">
        <v>45473</v>
      </c>
      <c r="B420" s="13" t="s">
        <v>60</v>
      </c>
      <c r="C420" s="13" t="s">
        <v>18</v>
      </c>
      <c r="D420" s="13" t="s">
        <v>25</v>
      </c>
      <c r="E420" s="13" t="s">
        <v>61</v>
      </c>
      <c r="F420" s="13" t="s">
        <v>50</v>
      </c>
      <c r="G420" s="14">
        <v>0</v>
      </c>
      <c r="H420" s="14">
        <v>9113.8100</v>
      </c>
      <c r="I420" s="14">
        <f ca="1">((I419 + G420) - H420)</f>
        <v>0</v>
      </c>
      <c r="J420" s="14">
        <v>0</v>
      </c>
      <c r="K420" s="15">
        <v>0</v>
      </c>
      <c r="L420" s="13" t="s">
        <v>28</v>
      </c>
    </row>
    <row r="421" ht="10.95" customHeight="true" customFormat="true" s="9">
      <c r="A421" s="16">
        <v>45473</v>
      </c>
      <c r="B421" s="17" t="s">
        <v>60</v>
      </c>
      <c r="C421" s="17" t="s">
        <v>18</v>
      </c>
      <c r="D421" s="17" t="s">
        <v>25</v>
      </c>
      <c r="E421" s="17" t="s">
        <v>61</v>
      </c>
      <c r="F421" s="17" t="s">
        <v>50</v>
      </c>
      <c r="G421" s="18">
        <v>0</v>
      </c>
      <c r="H421" s="18">
        <v>17984.3100</v>
      </c>
      <c r="I421" s="18">
        <f ca="1">((I420 + G421) - H421)</f>
        <v>0</v>
      </c>
      <c r="J421" s="18">
        <v>0</v>
      </c>
      <c r="K421" s="19">
        <v>0</v>
      </c>
      <c r="L421" s="17" t="s">
        <v>28</v>
      </c>
    </row>
    <row r="422" ht="10.95" customHeight="true" customFormat="true" s="9">
      <c r="A422" s="16">
        <v>45473</v>
      </c>
      <c r="B422" s="17" t="s">
        <v>60</v>
      </c>
      <c r="C422" s="17" t="s">
        <v>18</v>
      </c>
      <c r="D422" s="17" t="s">
        <v>25</v>
      </c>
      <c r="E422" s="17" t="s">
        <v>61</v>
      </c>
      <c r="F422" s="17" t="s">
        <v>50</v>
      </c>
      <c r="G422" s="18">
        <v>0</v>
      </c>
      <c r="H422" s="18">
        <v>16002.1300</v>
      </c>
      <c r="I422" s="18">
        <f ca="1">((I421 + G422) - H422)</f>
        <v>0</v>
      </c>
      <c r="J422" s="18">
        <v>0</v>
      </c>
      <c r="K422" s="19">
        <v>0</v>
      </c>
      <c r="L422" s="17" t="s">
        <v>28</v>
      </c>
    </row>
    <row r="423" ht="10.95" customHeight="true" customFormat="true" s="9">
      <c r="A423" s="20" t="s">
        <v>62</v>
      </c>
      <c r="B423" s="20"/>
      <c r="C423" s="20"/>
      <c r="D423" s="20"/>
      <c r="E423" s="20"/>
      <c r="F423" s="20"/>
      <c r="G423" s="21">
        <f ca="1">SUM(G420:G422)</f>
        <v>0</v>
      </c>
      <c r="H423" s="21">
        <f ca="1">SUM(H420:H422)</f>
        <v>0</v>
      </c>
      <c r="I423" s="21">
        <f ca="1">I422</f>
        <v>0</v>
      </c>
      <c r="J423" s="21">
        <f ca="1">SUM(J420:J422)</f>
        <v>0</v>
      </c>
      <c r="K423" s="20"/>
      <c r="L423" s="20"/>
    </row>
    <row r="424" ht="10.95" customHeight="true" customFormat="true" s="9">
      <c r="A424" s="20" t="s">
        <v>53</v>
      </c>
      <c r="B424" s="20"/>
      <c r="C424" s="20"/>
      <c r="D424" s="20"/>
      <c r="E424" s="20"/>
      <c r="F424" s="20"/>
      <c r="G424" s="21">
        <v>0</v>
      </c>
      <c r="H424" s="21">
        <v>43100.2500</v>
      </c>
      <c r="I424" s="21">
        <v>0</v>
      </c>
      <c r="J424" s="21">
        <v>0</v>
      </c>
      <c r="K424" s="20"/>
      <c r="L424" s="20"/>
    </row>
    <row r="425" ht="10.95" customHeight="true" customFormat="true" s="9">
      <c r="A425" s="10" t="s">
        <v>54</v>
      </c>
      <c r="B425" s="10"/>
      <c r="C425" s="10"/>
      <c r="D425" s="10"/>
      <c r="E425" s="10"/>
      <c r="F425" s="10"/>
      <c r="G425" s="11">
        <v>0</v>
      </c>
      <c r="H425" s="11">
        <v>43100.2500</v>
      </c>
      <c r="I425" s="11">
        <f ca="1">I422</f>
        <v>0</v>
      </c>
      <c r="J425" s="11">
        <v>0</v>
      </c>
      <c r="K425" s="10"/>
      <c r="L425" s="10"/>
    </row>
    <row r="426" ht="13.35" customHeight="true"/>
    <row r="427" ht="12.1" customHeight="true" customFormat="true" s="5">
      <c r="A427" s="8" t="s">
        <v>63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ht="10.95" customHeight="true" customFormat="true" s="9">
      <c r="A428" s="10" t="s">
        <v>16</v>
      </c>
      <c r="B428" s="10"/>
      <c r="C428" s="10"/>
      <c r="D428" s="10"/>
      <c r="E428" s="10"/>
      <c r="F428" s="10"/>
      <c r="G428" s="11">
        <v>0</v>
      </c>
      <c r="H428" s="11">
        <v>0</v>
      </c>
      <c r="I428" s="11">
        <f ca="1">(G428 - H428)</f>
        <v>0</v>
      </c>
      <c r="J428" s="11">
        <v>0</v>
      </c>
      <c r="K428" s="10"/>
      <c r="L428" s="10"/>
    </row>
    <row r="429" ht="10.95" customHeight="true" customFormat="true" s="9">
      <c r="A429" s="12">
        <v>45442</v>
      </c>
      <c r="B429" s="13" t="s">
        <v>64</v>
      </c>
      <c r="C429" s="13" t="s">
        <v>65</v>
      </c>
      <c r="D429" s="13" t="s">
        <v>19</v>
      </c>
      <c r="E429" s="13" t="s">
        <v>66</v>
      </c>
      <c r="F429" s="13"/>
      <c r="G429" s="14">
        <v>0</v>
      </c>
      <c r="H429" s="14">
        <v>20.8300</v>
      </c>
      <c r="I429" s="14">
        <f ca="1">((I428 + G429) - H429)</f>
        <v>0</v>
      </c>
      <c r="J429" s="14">
        <v>0</v>
      </c>
      <c r="K429" s="15">
        <v>0</v>
      </c>
      <c r="L429" s="13" t="s">
        <v>28</v>
      </c>
    </row>
    <row r="430" ht="10.95" customHeight="true" customFormat="true" s="9">
      <c r="A430" s="20" t="s">
        <v>67</v>
      </c>
      <c r="B430" s="20"/>
      <c r="C430" s="20"/>
      <c r="D430" s="20"/>
      <c r="E430" s="20"/>
      <c r="F430" s="20"/>
      <c r="G430" s="21">
        <f ca="1">G429</f>
        <v>0</v>
      </c>
      <c r="H430" s="21">
        <f ca="1">H429</f>
        <v>0</v>
      </c>
      <c r="I430" s="21">
        <f ca="1">I429</f>
        <v>0</v>
      </c>
      <c r="J430" s="21">
        <f ca="1">J429</f>
        <v>0</v>
      </c>
      <c r="K430" s="20"/>
      <c r="L430" s="20"/>
    </row>
    <row r="431" ht="10.95" customHeight="true" customFormat="true" s="9">
      <c r="A431" s="20" t="s">
        <v>53</v>
      </c>
      <c r="B431" s="20"/>
      <c r="C431" s="20"/>
      <c r="D431" s="20"/>
      <c r="E431" s="20"/>
      <c r="F431" s="20"/>
      <c r="G431" s="21">
        <v>0</v>
      </c>
      <c r="H431" s="21">
        <v>20.8300</v>
      </c>
      <c r="I431" s="21">
        <v>0</v>
      </c>
      <c r="J431" s="21">
        <v>0</v>
      </c>
      <c r="K431" s="20"/>
      <c r="L431" s="20"/>
    </row>
    <row r="432" ht="10.95" customHeight="true" customFormat="true" s="9">
      <c r="A432" s="10" t="s">
        <v>54</v>
      </c>
      <c r="B432" s="10"/>
      <c r="C432" s="10"/>
      <c r="D432" s="10"/>
      <c r="E432" s="10"/>
      <c r="F432" s="10"/>
      <c r="G432" s="11">
        <v>0</v>
      </c>
      <c r="H432" s="11">
        <v>20.8300</v>
      </c>
      <c r="I432" s="11">
        <f ca="1">I429</f>
        <v>0</v>
      </c>
      <c r="J432" s="11">
        <v>0</v>
      </c>
      <c r="K432" s="10"/>
      <c r="L432" s="10"/>
    </row>
    <row r="433" ht="13.35" customHeight="true"/>
    <row r="434" ht="12.1" customHeight="true" customFormat="true" s="5">
      <c r="A434" s="8" t="s">
        <v>68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ht="10.95" customHeight="true" customFormat="true" s="9">
      <c r="A435" s="10" t="s">
        <v>16</v>
      </c>
      <c r="B435" s="10"/>
      <c r="C435" s="10"/>
      <c r="D435" s="10"/>
      <c r="E435" s="10"/>
      <c r="F435" s="10"/>
      <c r="G435" s="11">
        <v>0</v>
      </c>
      <c r="H435" s="11">
        <v>0</v>
      </c>
      <c r="I435" s="11">
        <f ca="1">(G435 - H435)</f>
        <v>0</v>
      </c>
      <c r="J435" s="11">
        <v>0</v>
      </c>
      <c r="K435" s="10"/>
      <c r="L435" s="10"/>
    </row>
    <row r="436" ht="10.95" customHeight="true" customFormat="true" s="9">
      <c r="A436" s="12">
        <v>45473</v>
      </c>
      <c r="B436" s="13" t="s">
        <v>69</v>
      </c>
      <c r="C436" s="13" t="s">
        <v>70</v>
      </c>
      <c r="D436" s="13" t="s">
        <v>25</v>
      </c>
      <c r="E436" s="13" t="s">
        <v>71</v>
      </c>
      <c r="F436" s="13" t="s">
        <v>50</v>
      </c>
      <c r="G436" s="14">
        <v>5400.0000</v>
      </c>
      <c r="H436" s="14">
        <v>0</v>
      </c>
      <c r="I436" s="14">
        <f ca="1">((I435 + G436) - H436)</f>
        <v>0</v>
      </c>
      <c r="J436" s="14">
        <v>0</v>
      </c>
      <c r="K436" s="15">
        <v>0</v>
      </c>
      <c r="L436" s="13" t="s">
        <v>28</v>
      </c>
    </row>
    <row r="437" ht="10.95" customHeight="true" customFormat="true" s="9">
      <c r="A437" s="20" t="s">
        <v>72</v>
      </c>
      <c r="B437" s="20"/>
      <c r="C437" s="20"/>
      <c r="D437" s="20"/>
      <c r="E437" s="20"/>
      <c r="F437" s="20"/>
      <c r="G437" s="21">
        <f ca="1">G436</f>
        <v>0</v>
      </c>
      <c r="H437" s="21">
        <f ca="1">H436</f>
        <v>0</v>
      </c>
      <c r="I437" s="21">
        <f ca="1">I436</f>
        <v>0</v>
      </c>
      <c r="J437" s="21">
        <f ca="1">J436</f>
        <v>0</v>
      </c>
      <c r="K437" s="20"/>
      <c r="L437" s="20"/>
    </row>
    <row r="438" ht="10.95" customHeight="true" customFormat="true" s="9">
      <c r="A438" s="20" t="s">
        <v>53</v>
      </c>
      <c r="B438" s="20"/>
      <c r="C438" s="20"/>
      <c r="D438" s="20"/>
      <c r="E438" s="20"/>
      <c r="F438" s="20"/>
      <c r="G438" s="21">
        <v>5400.0000</v>
      </c>
      <c r="H438" s="21">
        <v>0</v>
      </c>
      <c r="I438" s="21">
        <v>0</v>
      </c>
      <c r="J438" s="21">
        <v>0</v>
      </c>
      <c r="K438" s="20"/>
      <c r="L438" s="20"/>
    </row>
    <row r="439" ht="10.95" customHeight="true" customFormat="true" s="9">
      <c r="A439" s="10" t="s">
        <v>54</v>
      </c>
      <c r="B439" s="10"/>
      <c r="C439" s="10"/>
      <c r="D439" s="10"/>
      <c r="E439" s="10"/>
      <c r="F439" s="10"/>
      <c r="G439" s="11">
        <v>5400.0000</v>
      </c>
      <c r="H439" s="11">
        <v>0</v>
      </c>
      <c r="I439" s="11">
        <f ca="1">I436</f>
        <v>0</v>
      </c>
      <c r="J439" s="11">
        <v>0</v>
      </c>
      <c r="K439" s="10"/>
      <c r="L439" s="10"/>
    </row>
    <row r="440" ht="13.35" customHeight="true"/>
    <row r="441" ht="12.1" customHeight="true" customFormat="true" s="5">
      <c r="A441" s="8" t="s">
        <v>73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ht="10.95" customHeight="true" customFormat="true" s="9">
      <c r="A442" s="10" t="s">
        <v>16</v>
      </c>
      <c r="B442" s="10"/>
      <c r="C442" s="10"/>
      <c r="D442" s="10"/>
      <c r="E442" s="10"/>
      <c r="F442" s="10"/>
      <c r="G442" s="11">
        <v>0</v>
      </c>
      <c r="H442" s="11">
        <v>0</v>
      </c>
      <c r="I442" s="11">
        <f ca="1">(G442 - H442)</f>
        <v>0</v>
      </c>
      <c r="J442" s="11">
        <v>0</v>
      </c>
      <c r="K442" s="10"/>
      <c r="L442" s="10"/>
    </row>
    <row r="443" ht="10.95" customHeight="true" customFormat="true" s="9">
      <c r="A443" s="12">
        <v>45473</v>
      </c>
      <c r="B443" s="13" t="s">
        <v>74</v>
      </c>
      <c r="C443" s="13" t="s">
        <v>70</v>
      </c>
      <c r="D443" s="13" t="s">
        <v>25</v>
      </c>
      <c r="E443" s="13" t="s">
        <v>75</v>
      </c>
      <c r="F443" s="13" t="s">
        <v>50</v>
      </c>
      <c r="G443" s="14">
        <v>0</v>
      </c>
      <c r="H443" s="14">
        <v>5400.0000</v>
      </c>
      <c r="I443" s="14">
        <f ca="1">((I442 + G443) - H443)</f>
        <v>0</v>
      </c>
      <c r="J443" s="14">
        <v>0</v>
      </c>
      <c r="K443" s="15">
        <v>0</v>
      </c>
      <c r="L443" s="13" t="s">
        <v>28</v>
      </c>
    </row>
    <row r="444" ht="10.95" customHeight="true" customFormat="true" s="9">
      <c r="A444" s="20" t="s">
        <v>76</v>
      </c>
      <c r="B444" s="20"/>
      <c r="C444" s="20"/>
      <c r="D444" s="20"/>
      <c r="E444" s="20"/>
      <c r="F444" s="20"/>
      <c r="G444" s="21">
        <f ca="1">G443</f>
        <v>0</v>
      </c>
      <c r="H444" s="21">
        <f ca="1">H443</f>
        <v>0</v>
      </c>
      <c r="I444" s="21">
        <f ca="1">I443</f>
        <v>0</v>
      </c>
      <c r="J444" s="21">
        <f ca="1">J443</f>
        <v>0</v>
      </c>
      <c r="K444" s="20"/>
      <c r="L444" s="20"/>
    </row>
    <row r="445" ht="10.95" customHeight="true" customFormat="true" s="9">
      <c r="A445" s="20" t="s">
        <v>53</v>
      </c>
      <c r="B445" s="20"/>
      <c r="C445" s="20"/>
      <c r="D445" s="20"/>
      <c r="E445" s="20"/>
      <c r="F445" s="20"/>
      <c r="G445" s="21">
        <v>0</v>
      </c>
      <c r="H445" s="21">
        <v>5400.0000</v>
      </c>
      <c r="I445" s="21">
        <v>0</v>
      </c>
      <c r="J445" s="21">
        <v>0</v>
      </c>
      <c r="K445" s="20"/>
      <c r="L445" s="20"/>
    </row>
    <row r="446" ht="10.95" customHeight="true" customFormat="true" s="9">
      <c r="A446" s="10" t="s">
        <v>54</v>
      </c>
      <c r="B446" s="10"/>
      <c r="C446" s="10"/>
      <c r="D446" s="10"/>
      <c r="E446" s="10"/>
      <c r="F446" s="10"/>
      <c r="G446" s="11">
        <v>0</v>
      </c>
      <c r="H446" s="11">
        <v>5400.0000</v>
      </c>
      <c r="I446" s="11">
        <f ca="1">I443</f>
        <v>0</v>
      </c>
      <c r="J446" s="11">
        <v>0</v>
      </c>
      <c r="K446" s="10"/>
      <c r="L446" s="10"/>
    </row>
    <row r="447" ht="13.35" customHeight="true"/>
    <row r="448" ht="12.1" customHeight="true" customFormat="true" s="5">
      <c r="A448" s="8" t="s">
        <v>77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ht="10.95" customHeight="true" customFormat="true" s="9">
      <c r="A449" s="10" t="s">
        <v>16</v>
      </c>
      <c r="B449" s="10"/>
      <c r="C449" s="10"/>
      <c r="D449" s="10"/>
      <c r="E449" s="10"/>
      <c r="F449" s="10"/>
      <c r="G449" s="11">
        <v>0</v>
      </c>
      <c r="H449" s="11">
        <v>0</v>
      </c>
      <c r="I449" s="11">
        <f ca="1">(G449 - H449)</f>
        <v>0</v>
      </c>
      <c r="J449" s="11">
        <v>0</v>
      </c>
      <c r="K449" s="10"/>
      <c r="L449" s="10"/>
    </row>
    <row r="450" ht="10.95" customHeight="true" customFormat="true" s="9">
      <c r="A450" s="12">
        <v>45117</v>
      </c>
      <c r="B450" s="13" t="s">
        <v>78</v>
      </c>
      <c r="C450" s="13" t="s">
        <v>70</v>
      </c>
      <c r="D450" s="13" t="s">
        <v>22</v>
      </c>
      <c r="E450" s="13" t="s">
        <v>79</v>
      </c>
      <c r="F450" s="13"/>
      <c r="G450" s="14">
        <v>1561.4400</v>
      </c>
      <c r="H450" s="14">
        <v>0</v>
      </c>
      <c r="I450" s="14">
        <f ca="1">((I449 + G450) - H450)</f>
        <v>0</v>
      </c>
      <c r="J450" s="14">
        <v>156.1400</v>
      </c>
      <c r="K450" s="15">
        <v>10.0000</v>
      </c>
      <c r="L450" s="13" t="s">
        <v>80</v>
      </c>
    </row>
    <row r="451" ht="10.95" customHeight="true" customFormat="true" s="9">
      <c r="A451" s="16">
        <v>45117</v>
      </c>
      <c r="B451" s="17" t="s">
        <v>78</v>
      </c>
      <c r="C451" s="17" t="s">
        <v>70</v>
      </c>
      <c r="D451" s="17" t="s">
        <v>22</v>
      </c>
      <c r="E451" s="17" t="s">
        <v>81</v>
      </c>
      <c r="F451" s="17"/>
      <c r="G451" s="18">
        <v>853.7500</v>
      </c>
      <c r="H451" s="18">
        <v>0</v>
      </c>
      <c r="I451" s="18">
        <f ca="1">((I450 + G451) - H451)</f>
        <v>0</v>
      </c>
      <c r="J451" s="18">
        <v>0</v>
      </c>
      <c r="K451" s="19">
        <v>0</v>
      </c>
      <c r="L451" s="17" t="s">
        <v>82</v>
      </c>
    </row>
    <row r="452" ht="10.95" customHeight="true" customFormat="true" s="9">
      <c r="A452" s="16">
        <v>45117</v>
      </c>
      <c r="B452" s="17" t="s">
        <v>78</v>
      </c>
      <c r="C452" s="17" t="s">
        <v>70</v>
      </c>
      <c r="D452" s="17" t="s">
        <v>22</v>
      </c>
      <c r="E452" s="17" t="s">
        <v>83</v>
      </c>
      <c r="F452" s="17"/>
      <c r="G452" s="18">
        <v>407.8200</v>
      </c>
      <c r="H452" s="18">
        <v>0</v>
      </c>
      <c r="I452" s="18">
        <f ca="1">((I451 + G452) - H452)</f>
        <v>0</v>
      </c>
      <c r="J452" s="18">
        <v>40.7800</v>
      </c>
      <c r="K452" s="19">
        <v>10.0000</v>
      </c>
      <c r="L452" s="17" t="s">
        <v>80</v>
      </c>
    </row>
    <row r="453" ht="10.95" customHeight="true" customFormat="true" s="9">
      <c r="A453" s="16">
        <v>45117</v>
      </c>
      <c r="B453" s="17" t="s">
        <v>78</v>
      </c>
      <c r="C453" s="17" t="s">
        <v>70</v>
      </c>
      <c r="D453" s="17" t="s">
        <v>22</v>
      </c>
      <c r="E453" s="17" t="s">
        <v>79</v>
      </c>
      <c r="F453" s="17"/>
      <c r="G453" s="18">
        <v>1379.8800</v>
      </c>
      <c r="H453" s="18">
        <v>0</v>
      </c>
      <c r="I453" s="18">
        <f ca="1">((I452 + G453) - H453)</f>
        <v>0</v>
      </c>
      <c r="J453" s="18">
        <v>137.9900</v>
      </c>
      <c r="K453" s="19">
        <v>10.0000</v>
      </c>
      <c r="L453" s="17" t="s">
        <v>80</v>
      </c>
    </row>
    <row r="454" ht="10.95" customHeight="true" customFormat="true" s="9">
      <c r="A454" s="16">
        <v>45118</v>
      </c>
      <c r="B454" s="17" t="s">
        <v>78</v>
      </c>
      <c r="C454" s="17" t="s">
        <v>70</v>
      </c>
      <c r="D454" s="17" t="s">
        <v>22</v>
      </c>
      <c r="E454" s="17" t="s">
        <v>79</v>
      </c>
      <c r="F454" s="17"/>
      <c r="G454" s="18">
        <v>1421.9500</v>
      </c>
      <c r="H454" s="18">
        <v>0</v>
      </c>
      <c r="I454" s="18">
        <f ca="1">((I453 + G454) - H454)</f>
        <v>0</v>
      </c>
      <c r="J454" s="18">
        <v>142.2000</v>
      </c>
      <c r="K454" s="19">
        <v>10.0000</v>
      </c>
      <c r="L454" s="17" t="s">
        <v>80</v>
      </c>
    </row>
    <row r="455" ht="10.95" customHeight="true" customFormat="true" s="9">
      <c r="A455" s="16">
        <v>45120</v>
      </c>
      <c r="B455" s="17" t="s">
        <v>78</v>
      </c>
      <c r="C455" s="17" t="s">
        <v>70</v>
      </c>
      <c r="D455" s="17" t="s">
        <v>22</v>
      </c>
      <c r="E455" s="17" t="s">
        <v>84</v>
      </c>
      <c r="F455" s="17"/>
      <c r="G455" s="18">
        <v>65.0000</v>
      </c>
      <c r="H455" s="18">
        <v>0</v>
      </c>
      <c r="I455" s="18">
        <f ca="1">((I454 + G455) - H455)</f>
        <v>0</v>
      </c>
      <c r="J455" s="18">
        <v>0</v>
      </c>
      <c r="K455" s="19">
        <v>0</v>
      </c>
      <c r="L455" s="17" t="s">
        <v>28</v>
      </c>
    </row>
    <row r="456" ht="10.95" customHeight="true" customFormat="true" s="9">
      <c r="A456" s="16">
        <v>45120</v>
      </c>
      <c r="B456" s="17" t="s">
        <v>78</v>
      </c>
      <c r="C456" s="17" t="s">
        <v>70</v>
      </c>
      <c r="D456" s="17" t="s">
        <v>22</v>
      </c>
      <c r="E456" s="17" t="s">
        <v>85</v>
      </c>
      <c r="F456" s="17"/>
      <c r="G456" s="18">
        <v>391.9500</v>
      </c>
      <c r="H456" s="18">
        <v>0</v>
      </c>
      <c r="I456" s="18">
        <f ca="1">((I455 + G456) - H456)</f>
        <v>0</v>
      </c>
      <c r="J456" s="18">
        <v>0</v>
      </c>
      <c r="K456" s="19">
        <v>0</v>
      </c>
      <c r="L456" s="17" t="s">
        <v>82</v>
      </c>
    </row>
    <row r="457" ht="10.95" customHeight="true" customFormat="true" s="9">
      <c r="A457" s="16">
        <v>45124</v>
      </c>
      <c r="B457" s="17" t="s">
        <v>78</v>
      </c>
      <c r="C457" s="17" t="s">
        <v>70</v>
      </c>
      <c r="D457" s="17" t="s">
        <v>22</v>
      </c>
      <c r="E457" s="17" t="s">
        <v>79</v>
      </c>
      <c r="F457" s="17"/>
      <c r="G457" s="18">
        <v>2249.3200</v>
      </c>
      <c r="H457" s="18">
        <v>0</v>
      </c>
      <c r="I457" s="18">
        <f ca="1">((I456 + G457) - H457)</f>
        <v>0</v>
      </c>
      <c r="J457" s="18">
        <v>224.9300</v>
      </c>
      <c r="K457" s="19">
        <v>10.0000</v>
      </c>
      <c r="L457" s="17" t="s">
        <v>80</v>
      </c>
    </row>
    <row r="458" ht="10.95" customHeight="true" customFormat="true" s="9">
      <c r="A458" s="16">
        <v>45125</v>
      </c>
      <c r="B458" s="17" t="s">
        <v>78</v>
      </c>
      <c r="C458" s="17" t="s">
        <v>70</v>
      </c>
      <c r="D458" s="17" t="s">
        <v>22</v>
      </c>
      <c r="E458" s="17" t="s">
        <v>79</v>
      </c>
      <c r="F458" s="17"/>
      <c r="G458" s="18">
        <v>1494.4500</v>
      </c>
      <c r="H458" s="18">
        <v>0</v>
      </c>
      <c r="I458" s="18">
        <f ca="1">((I457 + G458) - H458)</f>
        <v>0</v>
      </c>
      <c r="J458" s="18">
        <v>149.4500</v>
      </c>
      <c r="K458" s="19">
        <v>10.0000</v>
      </c>
      <c r="L458" s="17" t="s">
        <v>80</v>
      </c>
    </row>
    <row r="459" ht="10.95" customHeight="true" customFormat="true" s="9">
      <c r="A459" s="16">
        <v>45128</v>
      </c>
      <c r="B459" s="17" t="s">
        <v>78</v>
      </c>
      <c r="C459" s="17" t="s">
        <v>70</v>
      </c>
      <c r="D459" s="17" t="s">
        <v>22</v>
      </c>
      <c r="E459" s="17" t="s">
        <v>79</v>
      </c>
      <c r="F459" s="17"/>
      <c r="G459" s="18">
        <v>1390.1400</v>
      </c>
      <c r="H459" s="18">
        <v>0</v>
      </c>
      <c r="I459" s="18">
        <f ca="1">((I458 + G459) - H459)</f>
        <v>0</v>
      </c>
      <c r="J459" s="18">
        <v>139.0100</v>
      </c>
      <c r="K459" s="19">
        <v>10.0000</v>
      </c>
      <c r="L459" s="17" t="s">
        <v>80</v>
      </c>
    </row>
    <row r="460" ht="10.95" customHeight="true" customFormat="true" s="9">
      <c r="A460" s="16">
        <v>45132</v>
      </c>
      <c r="B460" s="17" t="s">
        <v>78</v>
      </c>
      <c r="C460" s="17" t="s">
        <v>70</v>
      </c>
      <c r="D460" s="17" t="s">
        <v>22</v>
      </c>
      <c r="E460" s="17" t="s">
        <v>84</v>
      </c>
      <c r="F460" s="17"/>
      <c r="G460" s="18">
        <v>65.0000</v>
      </c>
      <c r="H460" s="18">
        <v>0</v>
      </c>
      <c r="I460" s="18">
        <f ca="1">((I459 + G460) - H460)</f>
        <v>0</v>
      </c>
      <c r="J460" s="18">
        <v>0</v>
      </c>
      <c r="K460" s="19">
        <v>0</v>
      </c>
      <c r="L460" s="17" t="s">
        <v>28</v>
      </c>
    </row>
    <row r="461" ht="10.95" customHeight="true" customFormat="true" s="9">
      <c r="A461" s="16">
        <v>45132</v>
      </c>
      <c r="B461" s="17" t="s">
        <v>78</v>
      </c>
      <c r="C461" s="17" t="s">
        <v>70</v>
      </c>
      <c r="D461" s="17" t="s">
        <v>22</v>
      </c>
      <c r="E461" s="17" t="s">
        <v>79</v>
      </c>
      <c r="F461" s="17"/>
      <c r="G461" s="18">
        <v>1646.3200</v>
      </c>
      <c r="H461" s="18">
        <v>0</v>
      </c>
      <c r="I461" s="18">
        <f ca="1">((I460 + G461) - H461)</f>
        <v>0</v>
      </c>
      <c r="J461" s="18">
        <v>164.6300</v>
      </c>
      <c r="K461" s="19">
        <v>10.0000</v>
      </c>
      <c r="L461" s="17" t="s">
        <v>80</v>
      </c>
    </row>
    <row r="462" ht="10.95" customHeight="true" customFormat="true" s="9">
      <c r="A462" s="16">
        <v>45134</v>
      </c>
      <c r="B462" s="17" t="s">
        <v>78</v>
      </c>
      <c r="C462" s="17" t="s">
        <v>70</v>
      </c>
      <c r="D462" s="17" t="s">
        <v>22</v>
      </c>
      <c r="E462" s="17" t="s">
        <v>81</v>
      </c>
      <c r="F462" s="17"/>
      <c r="G462" s="18">
        <v>824.7600</v>
      </c>
      <c r="H462" s="18">
        <v>0</v>
      </c>
      <c r="I462" s="18">
        <f ca="1">((I461 + G462) - H462)</f>
        <v>0</v>
      </c>
      <c r="J462" s="18">
        <v>0</v>
      </c>
      <c r="K462" s="19">
        <v>0</v>
      </c>
      <c r="L462" s="17" t="s">
        <v>82</v>
      </c>
    </row>
    <row r="463" ht="10.95" customHeight="true" customFormat="true" s="9">
      <c r="A463" s="16">
        <v>45138</v>
      </c>
      <c r="B463" s="17" t="s">
        <v>78</v>
      </c>
      <c r="C463" s="17" t="s">
        <v>70</v>
      </c>
      <c r="D463" s="17" t="s">
        <v>22</v>
      </c>
      <c r="E463" s="17" t="s">
        <v>79</v>
      </c>
      <c r="F463" s="17"/>
      <c r="G463" s="18">
        <v>1739.3500</v>
      </c>
      <c r="H463" s="18">
        <v>0</v>
      </c>
      <c r="I463" s="18">
        <f ca="1">((I462 + G463) - H463)</f>
        <v>0</v>
      </c>
      <c r="J463" s="18">
        <v>173.9400</v>
      </c>
      <c r="K463" s="19">
        <v>10.0000</v>
      </c>
      <c r="L463" s="17" t="s">
        <v>80</v>
      </c>
    </row>
    <row r="464" ht="10.95" customHeight="true" customFormat="true" s="9">
      <c r="A464" s="16">
        <v>45138</v>
      </c>
      <c r="B464" s="17" t="s">
        <v>78</v>
      </c>
      <c r="C464" s="17" t="s">
        <v>70</v>
      </c>
      <c r="D464" s="17" t="s">
        <v>22</v>
      </c>
      <c r="E464" s="17" t="s">
        <v>81</v>
      </c>
      <c r="F464" s="17"/>
      <c r="G464" s="18">
        <v>654.6300</v>
      </c>
      <c r="H464" s="18">
        <v>0</v>
      </c>
      <c r="I464" s="18">
        <f ca="1">((I463 + G464) - H464)</f>
        <v>0</v>
      </c>
      <c r="J464" s="18">
        <v>0</v>
      </c>
      <c r="K464" s="19">
        <v>0</v>
      </c>
      <c r="L464" s="17" t="s">
        <v>82</v>
      </c>
    </row>
    <row r="465" ht="10.95" customHeight="true" customFormat="true" s="9">
      <c r="A465" s="16">
        <v>45139</v>
      </c>
      <c r="B465" s="17" t="s">
        <v>78</v>
      </c>
      <c r="C465" s="17" t="s">
        <v>70</v>
      </c>
      <c r="D465" s="17" t="s">
        <v>22</v>
      </c>
      <c r="E465" s="17" t="s">
        <v>79</v>
      </c>
      <c r="F465" s="17"/>
      <c r="G465" s="18">
        <v>1904.0200</v>
      </c>
      <c r="H465" s="18">
        <v>0</v>
      </c>
      <c r="I465" s="18">
        <f ca="1">((I464 + G465) - H465)</f>
        <v>0</v>
      </c>
      <c r="J465" s="18">
        <v>190.4000</v>
      </c>
      <c r="K465" s="19">
        <v>10.0000</v>
      </c>
      <c r="L465" s="17" t="s">
        <v>80</v>
      </c>
    </row>
    <row r="466" ht="10.95" customHeight="true" customFormat="true" s="9">
      <c r="A466" s="16">
        <v>45141</v>
      </c>
      <c r="B466" s="17" t="s">
        <v>78</v>
      </c>
      <c r="C466" s="17" t="s">
        <v>70</v>
      </c>
      <c r="D466" s="17" t="s">
        <v>22</v>
      </c>
      <c r="E466" s="17" t="s">
        <v>84</v>
      </c>
      <c r="F466" s="17"/>
      <c r="G466" s="18">
        <v>65.0000</v>
      </c>
      <c r="H466" s="18">
        <v>0</v>
      </c>
      <c r="I466" s="18">
        <f ca="1">((I465 + G466) - H466)</f>
        <v>0</v>
      </c>
      <c r="J466" s="18">
        <v>0</v>
      </c>
      <c r="K466" s="19">
        <v>0</v>
      </c>
      <c r="L466" s="17" t="s">
        <v>28</v>
      </c>
    </row>
    <row r="467" ht="10.95" customHeight="true" customFormat="true" s="9">
      <c r="A467" s="16">
        <v>45142</v>
      </c>
      <c r="B467" s="17" t="s">
        <v>78</v>
      </c>
      <c r="C467" s="17" t="s">
        <v>70</v>
      </c>
      <c r="D467" s="17" t="s">
        <v>22</v>
      </c>
      <c r="E467" s="17" t="s">
        <v>79</v>
      </c>
      <c r="F467" s="17"/>
      <c r="G467" s="18">
        <v>1425.1800</v>
      </c>
      <c r="H467" s="18">
        <v>0</v>
      </c>
      <c r="I467" s="18">
        <f ca="1">((I466 + G467) - H467)</f>
        <v>0</v>
      </c>
      <c r="J467" s="18">
        <v>142.5200</v>
      </c>
      <c r="K467" s="19">
        <v>10.0000</v>
      </c>
      <c r="L467" s="17" t="s">
        <v>80</v>
      </c>
    </row>
    <row r="468" ht="10.95" customHeight="true" customFormat="true" s="9">
      <c r="A468" s="16">
        <v>45145</v>
      </c>
      <c r="B468" s="17" t="s">
        <v>78</v>
      </c>
      <c r="C468" s="17" t="s">
        <v>70</v>
      </c>
      <c r="D468" s="17" t="s">
        <v>22</v>
      </c>
      <c r="E468" s="17" t="s">
        <v>86</v>
      </c>
      <c r="F468" s="17"/>
      <c r="G468" s="18">
        <v>19.5000</v>
      </c>
      <c r="H468" s="18">
        <v>0</v>
      </c>
      <c r="I468" s="18">
        <f ca="1">((I467 + G468) - H468)</f>
        <v>0</v>
      </c>
      <c r="J468" s="18">
        <v>1.9500</v>
      </c>
      <c r="K468" s="19">
        <v>10.0000</v>
      </c>
      <c r="L468" s="17" t="s">
        <v>80</v>
      </c>
    </row>
    <row r="469" ht="10.95" customHeight="true" customFormat="true" s="9">
      <c r="A469" s="16">
        <v>45146</v>
      </c>
      <c r="B469" s="17" t="s">
        <v>78</v>
      </c>
      <c r="C469" s="17" t="s">
        <v>70</v>
      </c>
      <c r="D469" s="17" t="s">
        <v>22</v>
      </c>
      <c r="E469" s="17" t="s">
        <v>87</v>
      </c>
      <c r="F469" s="17"/>
      <c r="G469" s="18">
        <v>8.9900</v>
      </c>
      <c r="H469" s="18">
        <v>0</v>
      </c>
      <c r="I469" s="18">
        <f ca="1">((I468 + G469) - H469)</f>
        <v>0</v>
      </c>
      <c r="J469" s="18">
        <v>0</v>
      </c>
      <c r="K469" s="19">
        <v>0</v>
      </c>
      <c r="L469" s="17" t="s">
        <v>28</v>
      </c>
    </row>
    <row r="470" ht="10.95" customHeight="true" customFormat="true" s="9">
      <c r="A470" s="16">
        <v>45146</v>
      </c>
      <c r="B470" s="17" t="s">
        <v>78</v>
      </c>
      <c r="C470" s="17" t="s">
        <v>70</v>
      </c>
      <c r="D470" s="17" t="s">
        <v>22</v>
      </c>
      <c r="E470" s="17" t="s">
        <v>79</v>
      </c>
      <c r="F470" s="17"/>
      <c r="G470" s="18">
        <v>1514.4700</v>
      </c>
      <c r="H470" s="18">
        <v>0</v>
      </c>
      <c r="I470" s="18">
        <f ca="1">((I469 + G470) - H470)</f>
        <v>0</v>
      </c>
      <c r="J470" s="18">
        <v>151.4500</v>
      </c>
      <c r="K470" s="19">
        <v>10.0000</v>
      </c>
      <c r="L470" s="17" t="s">
        <v>80</v>
      </c>
    </row>
    <row r="471" ht="10.95" customHeight="true" customFormat="true" s="9">
      <c r="A471" s="16">
        <v>45149</v>
      </c>
      <c r="B471" s="17" t="s">
        <v>78</v>
      </c>
      <c r="C471" s="17" t="s">
        <v>70</v>
      </c>
      <c r="D471" s="17" t="s">
        <v>22</v>
      </c>
      <c r="E471" s="17" t="s">
        <v>79</v>
      </c>
      <c r="F471" s="17"/>
      <c r="G471" s="18">
        <v>1899.8300</v>
      </c>
      <c r="H471" s="18">
        <v>0</v>
      </c>
      <c r="I471" s="18">
        <f ca="1">((I470 + G471) - H471)</f>
        <v>0</v>
      </c>
      <c r="J471" s="18">
        <v>189.9800</v>
      </c>
      <c r="K471" s="19">
        <v>10.0000</v>
      </c>
      <c r="L471" s="17" t="s">
        <v>80</v>
      </c>
    </row>
    <row r="472" ht="10.95" customHeight="true" customFormat="true" s="9">
      <c r="A472" s="16">
        <v>45152</v>
      </c>
      <c r="B472" s="17" t="s">
        <v>78</v>
      </c>
      <c r="C472" s="17" t="s">
        <v>70</v>
      </c>
      <c r="D472" s="17" t="s">
        <v>22</v>
      </c>
      <c r="E472" s="17" t="s">
        <v>81</v>
      </c>
      <c r="F472" s="17"/>
      <c r="G472" s="18">
        <v>223.3100</v>
      </c>
      <c r="H472" s="18">
        <v>0</v>
      </c>
      <c r="I472" s="18">
        <f ca="1">((I471 + G472) - H472)</f>
        <v>0</v>
      </c>
      <c r="J472" s="18">
        <v>0</v>
      </c>
      <c r="K472" s="19">
        <v>0</v>
      </c>
      <c r="L472" s="17" t="s">
        <v>82</v>
      </c>
    </row>
    <row r="473" ht="10.95" customHeight="true" customFormat="true" s="9">
      <c r="A473" s="16">
        <v>45153</v>
      </c>
      <c r="B473" s="17" t="s">
        <v>78</v>
      </c>
      <c r="C473" s="17" t="s">
        <v>70</v>
      </c>
      <c r="D473" s="17" t="s">
        <v>22</v>
      </c>
      <c r="E473" s="17" t="s">
        <v>79</v>
      </c>
      <c r="F473" s="17"/>
      <c r="G473" s="18">
        <v>1468.2700</v>
      </c>
      <c r="H473" s="18">
        <v>0</v>
      </c>
      <c r="I473" s="18">
        <f ca="1">((I472 + G473) - H473)</f>
        <v>0</v>
      </c>
      <c r="J473" s="18">
        <v>146.8300</v>
      </c>
      <c r="K473" s="19">
        <v>10.0000</v>
      </c>
      <c r="L473" s="17" t="s">
        <v>80</v>
      </c>
    </row>
    <row r="474" ht="10.95" customHeight="true" customFormat="true" s="9">
      <c r="A474" s="16">
        <v>45153</v>
      </c>
      <c r="B474" s="17" t="s">
        <v>78</v>
      </c>
      <c r="C474" s="17" t="s">
        <v>70</v>
      </c>
      <c r="D474" s="17" t="s">
        <v>22</v>
      </c>
      <c r="E474" s="17" t="s">
        <v>84</v>
      </c>
      <c r="F474" s="17"/>
      <c r="G474" s="18">
        <v>65.0000</v>
      </c>
      <c r="H474" s="18">
        <v>0</v>
      </c>
      <c r="I474" s="18">
        <f ca="1">((I473 + G474) - H474)</f>
        <v>0</v>
      </c>
      <c r="J474" s="18">
        <v>0</v>
      </c>
      <c r="K474" s="19">
        <v>0</v>
      </c>
      <c r="L474" s="17" t="s">
        <v>28</v>
      </c>
    </row>
    <row r="475" ht="10.95" customHeight="true" customFormat="true" s="9">
      <c r="A475" s="16">
        <v>45156</v>
      </c>
      <c r="B475" s="17" t="s">
        <v>78</v>
      </c>
      <c r="C475" s="17" t="s">
        <v>70</v>
      </c>
      <c r="D475" s="17" t="s">
        <v>22</v>
      </c>
      <c r="E475" s="17" t="s">
        <v>79</v>
      </c>
      <c r="F475" s="17"/>
      <c r="G475" s="18">
        <v>1815.5800</v>
      </c>
      <c r="H475" s="18">
        <v>0</v>
      </c>
      <c r="I475" s="18">
        <f ca="1">((I474 + G475) - H475)</f>
        <v>0</v>
      </c>
      <c r="J475" s="18">
        <v>181.5600</v>
      </c>
      <c r="K475" s="19">
        <v>10.0000</v>
      </c>
      <c r="L475" s="17" t="s">
        <v>80</v>
      </c>
    </row>
    <row r="476" ht="10.95" customHeight="true" customFormat="true" s="9">
      <c r="A476" s="16">
        <v>45160</v>
      </c>
      <c r="B476" s="17" t="s">
        <v>78</v>
      </c>
      <c r="C476" s="17" t="s">
        <v>70</v>
      </c>
      <c r="D476" s="17" t="s">
        <v>22</v>
      </c>
      <c r="E476" s="17" t="s">
        <v>79</v>
      </c>
      <c r="F476" s="17"/>
      <c r="G476" s="18">
        <v>1931.1400</v>
      </c>
      <c r="H476" s="18">
        <v>0</v>
      </c>
      <c r="I476" s="18">
        <f ca="1">((I475 + G476) - H476)</f>
        <v>0</v>
      </c>
      <c r="J476" s="18">
        <v>193.1100</v>
      </c>
      <c r="K476" s="19">
        <v>10.0000</v>
      </c>
      <c r="L476" s="17" t="s">
        <v>80</v>
      </c>
    </row>
    <row r="477" ht="10.95" customHeight="true" customFormat="true" s="9">
      <c r="A477" s="16">
        <v>45160</v>
      </c>
      <c r="B477" s="17" t="s">
        <v>78</v>
      </c>
      <c r="C477" s="17" t="s">
        <v>70</v>
      </c>
      <c r="D477" s="17" t="s">
        <v>22</v>
      </c>
      <c r="E477" s="17" t="s">
        <v>88</v>
      </c>
      <c r="F477" s="17"/>
      <c r="G477" s="18">
        <v>462.7300</v>
      </c>
      <c r="H477" s="18">
        <v>0</v>
      </c>
      <c r="I477" s="18">
        <f ca="1">((I476 + G477) - H477)</f>
        <v>0</v>
      </c>
      <c r="J477" s="18">
        <v>46.2700</v>
      </c>
      <c r="K477" s="19">
        <v>10.0000</v>
      </c>
      <c r="L477" s="17" t="s">
        <v>80</v>
      </c>
    </row>
    <row r="478" ht="10.95" customHeight="true" customFormat="true" s="9">
      <c r="A478" s="16">
        <v>45163</v>
      </c>
      <c r="B478" s="17" t="s">
        <v>78</v>
      </c>
      <c r="C478" s="17" t="s">
        <v>70</v>
      </c>
      <c r="D478" s="17" t="s">
        <v>22</v>
      </c>
      <c r="E478" s="17" t="s">
        <v>79</v>
      </c>
      <c r="F478" s="17"/>
      <c r="G478" s="18">
        <v>1393.2700</v>
      </c>
      <c r="H478" s="18">
        <v>0</v>
      </c>
      <c r="I478" s="18">
        <f ca="1">((I477 + G478) - H478)</f>
        <v>0</v>
      </c>
      <c r="J478" s="18">
        <v>139.3300</v>
      </c>
      <c r="K478" s="19">
        <v>10.0000</v>
      </c>
      <c r="L478" s="17" t="s">
        <v>80</v>
      </c>
    </row>
    <row r="479" ht="10.95" customHeight="true" customFormat="true" s="9">
      <c r="A479" s="16">
        <v>45163</v>
      </c>
      <c r="B479" s="17" t="s">
        <v>78</v>
      </c>
      <c r="C479" s="17" t="s">
        <v>70</v>
      </c>
      <c r="D479" s="17" t="s">
        <v>22</v>
      </c>
      <c r="E479" s="17" t="s">
        <v>89</v>
      </c>
      <c r="F479" s="17"/>
      <c r="G479" s="18">
        <v>517.2000</v>
      </c>
      <c r="H479" s="18">
        <v>0</v>
      </c>
      <c r="I479" s="18">
        <f ca="1">((I478 + G479) - H479)</f>
        <v>0</v>
      </c>
      <c r="J479" s="18">
        <v>0</v>
      </c>
      <c r="K479" s="19">
        <v>0</v>
      </c>
      <c r="L479" s="17" t="s">
        <v>82</v>
      </c>
    </row>
    <row r="480" ht="10.95" customHeight="true" customFormat="true" s="9">
      <c r="A480" s="16">
        <v>45163</v>
      </c>
      <c r="B480" s="17" t="s">
        <v>78</v>
      </c>
      <c r="C480" s="17" t="s">
        <v>70</v>
      </c>
      <c r="D480" s="17" t="s">
        <v>22</v>
      </c>
      <c r="E480" s="17" t="s">
        <v>84</v>
      </c>
      <c r="F480" s="17"/>
      <c r="G480" s="18">
        <v>65.0000</v>
      </c>
      <c r="H480" s="18">
        <v>0</v>
      </c>
      <c r="I480" s="18">
        <f ca="1">((I479 + G480) - H480)</f>
        <v>0</v>
      </c>
      <c r="J480" s="18">
        <v>0</v>
      </c>
      <c r="K480" s="19">
        <v>0</v>
      </c>
      <c r="L480" s="17" t="s">
        <v>28</v>
      </c>
    </row>
    <row r="481" ht="10.95" customHeight="true" customFormat="true" s="9">
      <c r="A481" s="16">
        <v>45166</v>
      </c>
      <c r="B481" s="17" t="s">
        <v>78</v>
      </c>
      <c r="C481" s="17" t="s">
        <v>70</v>
      </c>
      <c r="D481" s="17" t="s">
        <v>22</v>
      </c>
      <c r="E481" s="17" t="s">
        <v>81</v>
      </c>
      <c r="F481" s="17"/>
      <c r="G481" s="18">
        <v>956.5600</v>
      </c>
      <c r="H481" s="18">
        <v>0</v>
      </c>
      <c r="I481" s="18">
        <f ca="1">((I480 + G481) - H481)</f>
        <v>0</v>
      </c>
      <c r="J481" s="18">
        <v>0</v>
      </c>
      <c r="K481" s="19">
        <v>0</v>
      </c>
      <c r="L481" s="17" t="s">
        <v>82</v>
      </c>
    </row>
    <row r="482" ht="10.95" customHeight="true" customFormat="true" s="9">
      <c r="A482" s="16">
        <v>45167</v>
      </c>
      <c r="B482" s="17" t="s">
        <v>78</v>
      </c>
      <c r="C482" s="17" t="s">
        <v>70</v>
      </c>
      <c r="D482" s="17" t="s">
        <v>22</v>
      </c>
      <c r="E482" s="17" t="s">
        <v>79</v>
      </c>
      <c r="F482" s="17"/>
      <c r="G482" s="18">
        <v>2142.8000</v>
      </c>
      <c r="H482" s="18">
        <v>0</v>
      </c>
      <c r="I482" s="18">
        <f ca="1">((I481 + G482) - H482)</f>
        <v>0</v>
      </c>
      <c r="J482" s="18">
        <v>214.2800</v>
      </c>
      <c r="K482" s="19">
        <v>10.0000</v>
      </c>
      <c r="L482" s="17" t="s">
        <v>80</v>
      </c>
    </row>
    <row r="483" ht="10.95" customHeight="true" customFormat="true" s="9">
      <c r="A483" s="16">
        <v>45169</v>
      </c>
      <c r="B483" s="17" t="s">
        <v>78</v>
      </c>
      <c r="C483" s="17" t="s">
        <v>70</v>
      </c>
      <c r="D483" s="17" t="s">
        <v>22</v>
      </c>
      <c r="E483" s="17" t="s">
        <v>86</v>
      </c>
      <c r="F483" s="17"/>
      <c r="G483" s="18">
        <v>13.6400</v>
      </c>
      <c r="H483" s="18">
        <v>0</v>
      </c>
      <c r="I483" s="18">
        <f ca="1">((I482 + G483) - H483)</f>
        <v>0</v>
      </c>
      <c r="J483" s="18">
        <v>1.3600</v>
      </c>
      <c r="K483" s="19">
        <v>10.0000</v>
      </c>
      <c r="L483" s="17" t="s">
        <v>80</v>
      </c>
    </row>
    <row r="484" ht="10.95" customHeight="true" customFormat="true" s="9">
      <c r="A484" s="16">
        <v>45170</v>
      </c>
      <c r="B484" s="17" t="s">
        <v>78</v>
      </c>
      <c r="C484" s="17" t="s">
        <v>70</v>
      </c>
      <c r="D484" s="17" t="s">
        <v>22</v>
      </c>
      <c r="E484" s="17" t="s">
        <v>79</v>
      </c>
      <c r="F484" s="17"/>
      <c r="G484" s="18">
        <v>1996.6000</v>
      </c>
      <c r="H484" s="18">
        <v>0</v>
      </c>
      <c r="I484" s="18">
        <f ca="1">((I483 + G484) - H484)</f>
        <v>0</v>
      </c>
      <c r="J484" s="18">
        <v>199.6600</v>
      </c>
      <c r="K484" s="19">
        <v>10.0000</v>
      </c>
      <c r="L484" s="17" t="s">
        <v>80</v>
      </c>
    </row>
    <row r="485" ht="10.95" customHeight="true" customFormat="true" s="9">
      <c r="A485" s="16">
        <v>45174</v>
      </c>
      <c r="B485" s="17" t="s">
        <v>78</v>
      </c>
      <c r="C485" s="17" t="s">
        <v>70</v>
      </c>
      <c r="D485" s="17" t="s">
        <v>22</v>
      </c>
      <c r="E485" s="17" t="s">
        <v>84</v>
      </c>
      <c r="F485" s="17"/>
      <c r="G485" s="18">
        <v>65.0000</v>
      </c>
      <c r="H485" s="18">
        <v>0</v>
      </c>
      <c r="I485" s="18">
        <f ca="1">((I484 + G485) - H485)</f>
        <v>0</v>
      </c>
      <c r="J485" s="18">
        <v>0</v>
      </c>
      <c r="K485" s="19">
        <v>0</v>
      </c>
      <c r="L485" s="17" t="s">
        <v>28</v>
      </c>
    </row>
    <row r="486" ht="10.95" customHeight="true" customFormat="true" s="9">
      <c r="A486" s="16">
        <v>45174</v>
      </c>
      <c r="B486" s="17" t="s">
        <v>78</v>
      </c>
      <c r="C486" s="17" t="s">
        <v>70</v>
      </c>
      <c r="D486" s="17" t="s">
        <v>22</v>
      </c>
      <c r="E486" s="17" t="s">
        <v>79</v>
      </c>
      <c r="F486" s="17"/>
      <c r="G486" s="18">
        <v>1509.6500</v>
      </c>
      <c r="H486" s="18">
        <v>0</v>
      </c>
      <c r="I486" s="18">
        <f ca="1">((I485 + G486) - H486)</f>
        <v>0</v>
      </c>
      <c r="J486" s="18">
        <v>150.9600</v>
      </c>
      <c r="K486" s="19">
        <v>10.0000</v>
      </c>
      <c r="L486" s="17" t="s">
        <v>80</v>
      </c>
    </row>
    <row r="487" ht="10.95" customHeight="true" customFormat="true" s="9">
      <c r="A487" s="16">
        <v>45177</v>
      </c>
      <c r="B487" s="17" t="s">
        <v>78</v>
      </c>
      <c r="C487" s="17" t="s">
        <v>70</v>
      </c>
      <c r="D487" s="17" t="s">
        <v>22</v>
      </c>
      <c r="E487" s="17" t="s">
        <v>79</v>
      </c>
      <c r="F487" s="17"/>
      <c r="G487" s="18">
        <v>1882.6500</v>
      </c>
      <c r="H487" s="18">
        <v>0</v>
      </c>
      <c r="I487" s="18">
        <f ca="1">((I486 + G487) - H487)</f>
        <v>0</v>
      </c>
      <c r="J487" s="18">
        <v>188.2600</v>
      </c>
      <c r="K487" s="19">
        <v>10.0000</v>
      </c>
      <c r="L487" s="17" t="s">
        <v>80</v>
      </c>
    </row>
    <row r="488" ht="10.95" customHeight="true" customFormat="true" s="9">
      <c r="A488" s="16">
        <v>45181</v>
      </c>
      <c r="B488" s="17" t="s">
        <v>78</v>
      </c>
      <c r="C488" s="17" t="s">
        <v>70</v>
      </c>
      <c r="D488" s="17" t="s">
        <v>22</v>
      </c>
      <c r="E488" s="17" t="s">
        <v>84</v>
      </c>
      <c r="F488" s="17"/>
      <c r="G488" s="18">
        <v>71.9900</v>
      </c>
      <c r="H488" s="18">
        <v>0</v>
      </c>
      <c r="I488" s="18">
        <f ca="1">((I487 + G488) - H488)</f>
        <v>0</v>
      </c>
      <c r="J488" s="18">
        <v>0</v>
      </c>
      <c r="K488" s="19">
        <v>0</v>
      </c>
      <c r="L488" s="17" t="s">
        <v>28</v>
      </c>
    </row>
    <row r="489" ht="10.95" customHeight="true" customFormat="true" s="9">
      <c r="A489" s="16">
        <v>45181</v>
      </c>
      <c r="B489" s="17" t="s">
        <v>78</v>
      </c>
      <c r="C489" s="17" t="s">
        <v>70</v>
      </c>
      <c r="D489" s="17" t="s">
        <v>22</v>
      </c>
      <c r="E489" s="17" t="s">
        <v>79</v>
      </c>
      <c r="F489" s="17"/>
      <c r="G489" s="18">
        <v>1677.6400</v>
      </c>
      <c r="H489" s="18">
        <v>0</v>
      </c>
      <c r="I489" s="18">
        <f ca="1">((I488 + G489) - H489)</f>
        <v>0</v>
      </c>
      <c r="J489" s="18">
        <v>167.7600</v>
      </c>
      <c r="K489" s="19">
        <v>10.0000</v>
      </c>
      <c r="L489" s="17" t="s">
        <v>80</v>
      </c>
    </row>
    <row r="490" ht="10.95" customHeight="true" customFormat="true" s="9">
      <c r="A490" s="16">
        <v>45181</v>
      </c>
      <c r="B490" s="17" t="s">
        <v>78</v>
      </c>
      <c r="C490" s="17" t="s">
        <v>70</v>
      </c>
      <c r="D490" s="17" t="s">
        <v>22</v>
      </c>
      <c r="E490" s="17" t="s">
        <v>81</v>
      </c>
      <c r="F490" s="17"/>
      <c r="G490" s="18">
        <v>865.1300</v>
      </c>
      <c r="H490" s="18">
        <v>0</v>
      </c>
      <c r="I490" s="18">
        <f ca="1">((I489 + G490) - H490)</f>
        <v>0</v>
      </c>
      <c r="J490" s="18">
        <v>0</v>
      </c>
      <c r="K490" s="19">
        <v>0</v>
      </c>
      <c r="L490" s="17" t="s">
        <v>82</v>
      </c>
    </row>
    <row r="491" ht="10.95" customHeight="true" customFormat="true" s="9">
      <c r="A491" s="16">
        <v>45184</v>
      </c>
      <c r="B491" s="17" t="s">
        <v>78</v>
      </c>
      <c r="C491" s="17" t="s">
        <v>70</v>
      </c>
      <c r="D491" s="17" t="s">
        <v>22</v>
      </c>
      <c r="E491" s="17" t="s">
        <v>79</v>
      </c>
      <c r="F491" s="17"/>
      <c r="G491" s="18">
        <v>1761.5400</v>
      </c>
      <c r="H491" s="18">
        <v>0</v>
      </c>
      <c r="I491" s="18">
        <f ca="1">((I490 + G491) - H491)</f>
        <v>0</v>
      </c>
      <c r="J491" s="18">
        <v>176.1500</v>
      </c>
      <c r="K491" s="19">
        <v>10.0000</v>
      </c>
      <c r="L491" s="17" t="s">
        <v>80</v>
      </c>
    </row>
    <row r="492" ht="10.95" customHeight="true" customFormat="true" s="9">
      <c r="A492" s="16">
        <v>45184</v>
      </c>
      <c r="B492" s="17" t="s">
        <v>78</v>
      </c>
      <c r="C492" s="17" t="s">
        <v>70</v>
      </c>
      <c r="D492" s="17" t="s">
        <v>22</v>
      </c>
      <c r="E492" s="17" t="s">
        <v>90</v>
      </c>
      <c r="F492" s="17"/>
      <c r="G492" s="18">
        <v>189.0000</v>
      </c>
      <c r="H492" s="18">
        <v>0</v>
      </c>
      <c r="I492" s="18">
        <f ca="1">((I491 + G492) - H492)</f>
        <v>0</v>
      </c>
      <c r="J492" s="18">
        <v>18.9000</v>
      </c>
      <c r="K492" s="19">
        <v>10.0000</v>
      </c>
      <c r="L492" s="17" t="s">
        <v>80</v>
      </c>
    </row>
    <row r="493" ht="10.95" customHeight="true" customFormat="true" s="9">
      <c r="A493" s="16">
        <v>45184</v>
      </c>
      <c r="B493" s="17" t="s">
        <v>78</v>
      </c>
      <c r="C493" s="17" t="s">
        <v>70</v>
      </c>
      <c r="D493" s="17" t="s">
        <v>22</v>
      </c>
      <c r="E493" s="17" t="s">
        <v>91</v>
      </c>
      <c r="F493" s="17"/>
      <c r="G493" s="18">
        <v>331.8200</v>
      </c>
      <c r="H493" s="18">
        <v>0</v>
      </c>
      <c r="I493" s="18">
        <f ca="1">((I492 + G493) - H493)</f>
        <v>0</v>
      </c>
      <c r="J493" s="18">
        <v>33.1800</v>
      </c>
      <c r="K493" s="19">
        <v>10.0000</v>
      </c>
      <c r="L493" s="17" t="s">
        <v>80</v>
      </c>
    </row>
    <row r="494" ht="10.95" customHeight="true" customFormat="true" s="9">
      <c r="A494" s="16">
        <v>45187</v>
      </c>
      <c r="B494" s="17" t="s">
        <v>78</v>
      </c>
      <c r="C494" s="17" t="s">
        <v>70</v>
      </c>
      <c r="D494" s="17" t="s">
        <v>22</v>
      </c>
      <c r="E494" s="17" t="s">
        <v>92</v>
      </c>
      <c r="F494" s="17"/>
      <c r="G494" s="18">
        <v>13.6400</v>
      </c>
      <c r="H494" s="18">
        <v>0</v>
      </c>
      <c r="I494" s="18">
        <f ca="1">((I493 + G494) - H494)</f>
        <v>0</v>
      </c>
      <c r="J494" s="18">
        <v>1.3600</v>
      </c>
      <c r="K494" s="19">
        <v>10.0000</v>
      </c>
      <c r="L494" s="17" t="s">
        <v>80</v>
      </c>
    </row>
    <row r="495" ht="10.95" customHeight="true" customFormat="true" s="9">
      <c r="A495" s="16">
        <v>45188</v>
      </c>
      <c r="B495" s="17" t="s">
        <v>78</v>
      </c>
      <c r="C495" s="17" t="s">
        <v>70</v>
      </c>
      <c r="D495" s="17" t="s">
        <v>22</v>
      </c>
      <c r="E495" s="17" t="s">
        <v>79</v>
      </c>
      <c r="F495" s="17"/>
      <c r="G495" s="18">
        <v>1834.0200</v>
      </c>
      <c r="H495" s="18">
        <v>0</v>
      </c>
      <c r="I495" s="18">
        <f ca="1">((I494 + G495) - H495)</f>
        <v>0</v>
      </c>
      <c r="J495" s="18">
        <v>183.4000</v>
      </c>
      <c r="K495" s="19">
        <v>10.0000</v>
      </c>
      <c r="L495" s="17" t="s">
        <v>80</v>
      </c>
    </row>
    <row r="496" ht="10.95" customHeight="true" customFormat="true" s="9">
      <c r="A496" s="16">
        <v>45191</v>
      </c>
      <c r="B496" s="17" t="s">
        <v>78</v>
      </c>
      <c r="C496" s="17" t="s">
        <v>70</v>
      </c>
      <c r="D496" s="17" t="s">
        <v>22</v>
      </c>
      <c r="E496" s="17" t="s">
        <v>79</v>
      </c>
      <c r="F496" s="17"/>
      <c r="G496" s="18">
        <v>1475.9800</v>
      </c>
      <c r="H496" s="18">
        <v>0</v>
      </c>
      <c r="I496" s="18">
        <f ca="1">((I495 + G496) - H496)</f>
        <v>0</v>
      </c>
      <c r="J496" s="18">
        <v>147.6000</v>
      </c>
      <c r="K496" s="19">
        <v>10.0000</v>
      </c>
      <c r="L496" s="17" t="s">
        <v>80</v>
      </c>
    </row>
    <row r="497" ht="10.95" customHeight="true" customFormat="true" s="9">
      <c r="A497" s="16">
        <v>45194</v>
      </c>
      <c r="B497" s="17" t="s">
        <v>78</v>
      </c>
      <c r="C497" s="17" t="s">
        <v>70</v>
      </c>
      <c r="D497" s="17" t="s">
        <v>22</v>
      </c>
      <c r="E497" s="17" t="s">
        <v>81</v>
      </c>
      <c r="F497" s="17"/>
      <c r="G497" s="18">
        <v>882.0000</v>
      </c>
      <c r="H497" s="18">
        <v>0</v>
      </c>
      <c r="I497" s="18">
        <f ca="1">((I496 + G497) - H497)</f>
        <v>0</v>
      </c>
      <c r="J497" s="18">
        <v>0</v>
      </c>
      <c r="K497" s="19">
        <v>0</v>
      </c>
      <c r="L497" s="17" t="s">
        <v>82</v>
      </c>
    </row>
    <row r="498" ht="10.95" customHeight="true" customFormat="true" s="9">
      <c r="A498" s="16">
        <v>45196</v>
      </c>
      <c r="B498" s="17" t="s">
        <v>78</v>
      </c>
      <c r="C498" s="17" t="s">
        <v>70</v>
      </c>
      <c r="D498" s="17" t="s">
        <v>22</v>
      </c>
      <c r="E498" s="17" t="s">
        <v>79</v>
      </c>
      <c r="F498" s="17"/>
      <c r="G498" s="18">
        <v>1846.7500</v>
      </c>
      <c r="H498" s="18">
        <v>0</v>
      </c>
      <c r="I498" s="18">
        <f ca="1">((I497 + G498) - H498)</f>
        <v>0</v>
      </c>
      <c r="J498" s="18">
        <v>184.6700</v>
      </c>
      <c r="K498" s="19">
        <v>10.0000</v>
      </c>
      <c r="L498" s="17" t="s">
        <v>80</v>
      </c>
    </row>
    <row r="499" ht="10.95" customHeight="true" customFormat="true" s="9">
      <c r="A499" s="16">
        <v>45201</v>
      </c>
      <c r="B499" s="17" t="s">
        <v>78</v>
      </c>
      <c r="C499" s="17" t="s">
        <v>70</v>
      </c>
      <c r="D499" s="17" t="s">
        <v>22</v>
      </c>
      <c r="E499" s="17" t="s">
        <v>79</v>
      </c>
      <c r="F499" s="17"/>
      <c r="G499" s="18">
        <v>2173.9600</v>
      </c>
      <c r="H499" s="18">
        <v>0</v>
      </c>
      <c r="I499" s="18">
        <f ca="1">((I498 + G499) - H499)</f>
        <v>0</v>
      </c>
      <c r="J499" s="18">
        <v>217.4000</v>
      </c>
      <c r="K499" s="19">
        <v>10.0000</v>
      </c>
      <c r="L499" s="17" t="s">
        <v>80</v>
      </c>
    </row>
    <row r="500" ht="10.95" customHeight="true" customFormat="true" s="9">
      <c r="A500" s="16">
        <v>45201</v>
      </c>
      <c r="B500" s="17" t="s">
        <v>78</v>
      </c>
      <c r="C500" s="17" t="s">
        <v>70</v>
      </c>
      <c r="D500" s="17" t="s">
        <v>22</v>
      </c>
      <c r="E500" s="17" t="s">
        <v>93</v>
      </c>
      <c r="F500" s="17"/>
      <c r="G500" s="18">
        <v>7.8000</v>
      </c>
      <c r="H500" s="18">
        <v>0</v>
      </c>
      <c r="I500" s="18">
        <f ca="1">((I499 + G500) - H500)</f>
        <v>0</v>
      </c>
      <c r="J500" s="18">
        <v>0.7800</v>
      </c>
      <c r="K500" s="19">
        <v>10.0000</v>
      </c>
      <c r="L500" s="17" t="s">
        <v>80</v>
      </c>
    </row>
    <row r="501" ht="10.95" customHeight="true" customFormat="true" s="9">
      <c r="A501" s="16">
        <v>45201</v>
      </c>
      <c r="B501" s="17" t="s">
        <v>78</v>
      </c>
      <c r="C501" s="17" t="s">
        <v>70</v>
      </c>
      <c r="D501" s="17" t="s">
        <v>22</v>
      </c>
      <c r="E501" s="17" t="s">
        <v>93</v>
      </c>
      <c r="F501" s="17"/>
      <c r="G501" s="18">
        <v>14.2200</v>
      </c>
      <c r="H501" s="18">
        <v>0</v>
      </c>
      <c r="I501" s="18">
        <f ca="1">((I500 + G501) - H501)</f>
        <v>0</v>
      </c>
      <c r="J501" s="18">
        <v>0</v>
      </c>
      <c r="K501" s="19">
        <v>0</v>
      </c>
      <c r="L501" s="17" t="s">
        <v>82</v>
      </c>
    </row>
    <row r="502" ht="10.95" customHeight="true" customFormat="true" s="9">
      <c r="A502" s="16">
        <v>45202</v>
      </c>
      <c r="B502" s="17" t="s">
        <v>78</v>
      </c>
      <c r="C502" s="17" t="s">
        <v>70</v>
      </c>
      <c r="D502" s="17" t="s">
        <v>22</v>
      </c>
      <c r="E502" s="17" t="s">
        <v>79</v>
      </c>
      <c r="F502" s="17"/>
      <c r="G502" s="18">
        <v>1459.4200</v>
      </c>
      <c r="H502" s="18">
        <v>0</v>
      </c>
      <c r="I502" s="18">
        <f ca="1">((I501 + G502) - H502)</f>
        <v>0</v>
      </c>
      <c r="J502" s="18">
        <v>145.9400</v>
      </c>
      <c r="K502" s="19">
        <v>10.0000</v>
      </c>
      <c r="L502" s="17" t="s">
        <v>80</v>
      </c>
    </row>
    <row r="503" ht="10.95" customHeight="true" customFormat="true" s="9">
      <c r="A503" s="16">
        <v>45205</v>
      </c>
      <c r="B503" s="17" t="s">
        <v>78</v>
      </c>
      <c r="C503" s="17" t="s">
        <v>70</v>
      </c>
      <c r="D503" s="17" t="s">
        <v>22</v>
      </c>
      <c r="E503" s="17" t="s">
        <v>79</v>
      </c>
      <c r="F503" s="17"/>
      <c r="G503" s="18">
        <v>1950.1200</v>
      </c>
      <c r="H503" s="18">
        <v>0</v>
      </c>
      <c r="I503" s="18">
        <f ca="1">((I502 + G503) - H503)</f>
        <v>0</v>
      </c>
      <c r="J503" s="18">
        <v>195.0100</v>
      </c>
      <c r="K503" s="19">
        <v>10.0000</v>
      </c>
      <c r="L503" s="17" t="s">
        <v>80</v>
      </c>
    </row>
    <row r="504" ht="10.95" customHeight="true" customFormat="true" s="9">
      <c r="A504" s="16">
        <v>45205</v>
      </c>
      <c r="B504" s="17" t="s">
        <v>78</v>
      </c>
      <c r="C504" s="17" t="s">
        <v>70</v>
      </c>
      <c r="D504" s="17" t="s">
        <v>22</v>
      </c>
      <c r="E504" s="17" t="s">
        <v>94</v>
      </c>
      <c r="F504" s="17"/>
      <c r="G504" s="18">
        <v>398.0000</v>
      </c>
      <c r="H504" s="18">
        <v>0</v>
      </c>
      <c r="I504" s="18">
        <f ca="1">((I503 + G504) - H504)</f>
        <v>0</v>
      </c>
      <c r="J504" s="18">
        <v>0</v>
      </c>
      <c r="K504" s="19">
        <v>0</v>
      </c>
      <c r="L504" s="17" t="s">
        <v>82</v>
      </c>
    </row>
    <row r="505" ht="10.95" customHeight="true" customFormat="true" s="9">
      <c r="A505" s="16">
        <v>45208</v>
      </c>
      <c r="B505" s="17" t="s">
        <v>78</v>
      </c>
      <c r="C505" s="17" t="s">
        <v>70</v>
      </c>
      <c r="D505" s="17" t="s">
        <v>22</v>
      </c>
      <c r="E505" s="17" t="s">
        <v>84</v>
      </c>
      <c r="F505" s="17"/>
      <c r="G505" s="18">
        <v>65.0000</v>
      </c>
      <c r="H505" s="18">
        <v>0</v>
      </c>
      <c r="I505" s="18">
        <f ca="1">((I504 + G505) - H505)</f>
        <v>0</v>
      </c>
      <c r="J505" s="18">
        <v>0</v>
      </c>
      <c r="K505" s="19">
        <v>0</v>
      </c>
      <c r="L505" s="17" t="s">
        <v>28</v>
      </c>
    </row>
    <row r="506" ht="10.95" customHeight="true" customFormat="true" s="9">
      <c r="A506" s="16">
        <v>45208</v>
      </c>
      <c r="B506" s="17" t="s">
        <v>78</v>
      </c>
      <c r="C506" s="17" t="s">
        <v>70</v>
      </c>
      <c r="D506" s="17" t="s">
        <v>22</v>
      </c>
      <c r="E506" s="17" t="s">
        <v>95</v>
      </c>
      <c r="F506" s="17"/>
      <c r="G506" s="18">
        <v>28.5000</v>
      </c>
      <c r="H506" s="18">
        <v>0</v>
      </c>
      <c r="I506" s="18">
        <f ca="1">((I505 + G506) - H506)</f>
        <v>0</v>
      </c>
      <c r="J506" s="18">
        <v>0</v>
      </c>
      <c r="K506" s="19">
        <v>0</v>
      </c>
      <c r="L506" s="17" t="s">
        <v>82</v>
      </c>
    </row>
    <row r="507" ht="10.95" customHeight="true" customFormat="true" s="9">
      <c r="A507" s="16">
        <v>45208</v>
      </c>
      <c r="B507" s="17" t="s">
        <v>78</v>
      </c>
      <c r="C507" s="17" t="s">
        <v>70</v>
      </c>
      <c r="D507" s="17" t="s">
        <v>22</v>
      </c>
      <c r="E507" s="17" t="s">
        <v>96</v>
      </c>
      <c r="F507" s="17"/>
      <c r="G507" s="18">
        <v>30.0000</v>
      </c>
      <c r="H507" s="18">
        <v>0</v>
      </c>
      <c r="I507" s="18">
        <f ca="1">((I506 + G507) - H507)</f>
        <v>0</v>
      </c>
      <c r="J507" s="18">
        <v>3.0000</v>
      </c>
      <c r="K507" s="19">
        <v>10.0000</v>
      </c>
      <c r="L507" s="17" t="s">
        <v>80</v>
      </c>
    </row>
    <row r="508" ht="10.95" customHeight="true" customFormat="true" s="9">
      <c r="A508" s="16">
        <v>45208</v>
      </c>
      <c r="B508" s="17" t="s">
        <v>78</v>
      </c>
      <c r="C508" s="17" t="s">
        <v>70</v>
      </c>
      <c r="D508" s="17" t="s">
        <v>22</v>
      </c>
      <c r="E508" s="17" t="s">
        <v>96</v>
      </c>
      <c r="F508" s="17"/>
      <c r="G508" s="18">
        <v>192.5500</v>
      </c>
      <c r="H508" s="18">
        <v>0</v>
      </c>
      <c r="I508" s="18">
        <f ca="1">((I507 + G508) - H508)</f>
        <v>0</v>
      </c>
      <c r="J508" s="18">
        <v>0</v>
      </c>
      <c r="K508" s="19">
        <v>0</v>
      </c>
      <c r="L508" s="17" t="s">
        <v>28</v>
      </c>
    </row>
    <row r="509" ht="10.95" customHeight="true" customFormat="true" s="9">
      <c r="A509" s="16">
        <v>45209</v>
      </c>
      <c r="B509" s="17" t="s">
        <v>78</v>
      </c>
      <c r="C509" s="17" t="s">
        <v>70</v>
      </c>
      <c r="D509" s="17" t="s">
        <v>22</v>
      </c>
      <c r="E509" s="17" t="s">
        <v>81</v>
      </c>
      <c r="F509" s="17"/>
      <c r="G509" s="18">
        <v>653.8700</v>
      </c>
      <c r="H509" s="18">
        <v>0</v>
      </c>
      <c r="I509" s="18">
        <f ca="1">((I508 + G509) - H509)</f>
        <v>0</v>
      </c>
      <c r="J509" s="18">
        <v>0</v>
      </c>
      <c r="K509" s="19">
        <v>0</v>
      </c>
      <c r="L509" s="17" t="s">
        <v>82</v>
      </c>
    </row>
    <row r="510" ht="10.95" customHeight="true" customFormat="true" s="9">
      <c r="A510" s="16">
        <v>45209</v>
      </c>
      <c r="B510" s="17" t="s">
        <v>78</v>
      </c>
      <c r="C510" s="17" t="s">
        <v>70</v>
      </c>
      <c r="D510" s="17" t="s">
        <v>22</v>
      </c>
      <c r="E510" s="17" t="s">
        <v>79</v>
      </c>
      <c r="F510" s="17"/>
      <c r="G510" s="18">
        <v>1624.6300</v>
      </c>
      <c r="H510" s="18">
        <v>0</v>
      </c>
      <c r="I510" s="18">
        <f ca="1">((I509 + G510) - H510)</f>
        <v>0</v>
      </c>
      <c r="J510" s="18">
        <v>162.4600</v>
      </c>
      <c r="K510" s="19">
        <v>10.0000</v>
      </c>
      <c r="L510" s="17" t="s">
        <v>80</v>
      </c>
    </row>
    <row r="511" ht="10.95" customHeight="true" customFormat="true" s="9">
      <c r="A511" s="16">
        <v>45212</v>
      </c>
      <c r="B511" s="17" t="s">
        <v>78</v>
      </c>
      <c r="C511" s="17" t="s">
        <v>70</v>
      </c>
      <c r="D511" s="17" t="s">
        <v>22</v>
      </c>
      <c r="E511" s="17" t="s">
        <v>97</v>
      </c>
      <c r="F511" s="17"/>
      <c r="G511" s="18">
        <v>672.5900</v>
      </c>
      <c r="H511" s="18">
        <v>0</v>
      </c>
      <c r="I511" s="18">
        <f ca="1">((I510 + G511) - H511)</f>
        <v>0</v>
      </c>
      <c r="J511" s="18">
        <v>0</v>
      </c>
      <c r="K511" s="19">
        <v>0</v>
      </c>
      <c r="L511" s="17" t="s">
        <v>82</v>
      </c>
    </row>
    <row r="512" ht="10.95" customHeight="true" customFormat="true" s="9">
      <c r="A512" s="16">
        <v>45216</v>
      </c>
      <c r="B512" s="17" t="s">
        <v>78</v>
      </c>
      <c r="C512" s="17" t="s">
        <v>70</v>
      </c>
      <c r="D512" s="17" t="s">
        <v>22</v>
      </c>
      <c r="E512" s="17" t="s">
        <v>79</v>
      </c>
      <c r="F512" s="17"/>
      <c r="G512" s="18">
        <v>1629.0000</v>
      </c>
      <c r="H512" s="18">
        <v>0</v>
      </c>
      <c r="I512" s="18">
        <f ca="1">((I511 + G512) - H512)</f>
        <v>0</v>
      </c>
      <c r="J512" s="18">
        <v>162.9000</v>
      </c>
      <c r="K512" s="19">
        <v>10.0000</v>
      </c>
      <c r="L512" s="17" t="s">
        <v>80</v>
      </c>
    </row>
    <row r="513" ht="10.95" customHeight="true" customFormat="true" s="9">
      <c r="A513" s="16">
        <v>45218</v>
      </c>
      <c r="B513" s="17" t="s">
        <v>78</v>
      </c>
      <c r="C513" s="17" t="s">
        <v>70</v>
      </c>
      <c r="D513" s="17" t="s">
        <v>22</v>
      </c>
      <c r="E513" s="17" t="s">
        <v>79</v>
      </c>
      <c r="F513" s="17"/>
      <c r="G513" s="18">
        <v>1561.8500</v>
      </c>
      <c r="H513" s="18">
        <v>0</v>
      </c>
      <c r="I513" s="18">
        <f ca="1">((I512 + G513) - H513)</f>
        <v>0</v>
      </c>
      <c r="J513" s="18">
        <v>156.1900</v>
      </c>
      <c r="K513" s="19">
        <v>10.0000</v>
      </c>
      <c r="L513" s="17" t="s">
        <v>80</v>
      </c>
    </row>
    <row r="514" ht="10.95" customHeight="true" customFormat="true" s="9">
      <c r="A514" s="16">
        <v>45219</v>
      </c>
      <c r="B514" s="17" t="s">
        <v>78</v>
      </c>
      <c r="C514" s="17" t="s">
        <v>70</v>
      </c>
      <c r="D514" s="17" t="s">
        <v>22</v>
      </c>
      <c r="E514" s="17" t="s">
        <v>98</v>
      </c>
      <c r="F514" s="17"/>
      <c r="G514" s="18">
        <v>259.0000</v>
      </c>
      <c r="H514" s="18">
        <v>0</v>
      </c>
      <c r="I514" s="18">
        <f ca="1">((I513 + G514) - H514)</f>
        <v>0</v>
      </c>
      <c r="J514" s="18">
        <v>25.9000</v>
      </c>
      <c r="K514" s="19">
        <v>10.0000</v>
      </c>
      <c r="L514" s="17" t="s">
        <v>80</v>
      </c>
    </row>
    <row r="515" ht="10.95" customHeight="true" customFormat="true" s="9">
      <c r="A515" s="16">
        <v>45219</v>
      </c>
      <c r="B515" s="17" t="s">
        <v>78</v>
      </c>
      <c r="C515" s="17" t="s">
        <v>70</v>
      </c>
      <c r="D515" s="17" t="s">
        <v>22</v>
      </c>
      <c r="E515" s="17" t="s">
        <v>79</v>
      </c>
      <c r="F515" s="17"/>
      <c r="G515" s="18">
        <v>1720.9300</v>
      </c>
      <c r="H515" s="18">
        <v>0</v>
      </c>
      <c r="I515" s="18">
        <f ca="1">((I514 + G515) - H515)</f>
        <v>0</v>
      </c>
      <c r="J515" s="18">
        <v>172.0900</v>
      </c>
      <c r="K515" s="19">
        <v>10.0000</v>
      </c>
      <c r="L515" s="17" t="s">
        <v>80</v>
      </c>
    </row>
    <row r="516" ht="10.95" customHeight="true" customFormat="true" s="9">
      <c r="A516" s="16">
        <v>45223</v>
      </c>
      <c r="B516" s="17" t="s">
        <v>78</v>
      </c>
      <c r="C516" s="17" t="s">
        <v>70</v>
      </c>
      <c r="D516" s="17" t="s">
        <v>22</v>
      </c>
      <c r="E516" s="17" t="s">
        <v>79</v>
      </c>
      <c r="F516" s="17"/>
      <c r="G516" s="18">
        <v>1558.2600</v>
      </c>
      <c r="H516" s="18">
        <v>0</v>
      </c>
      <c r="I516" s="18">
        <f ca="1">((I515 + G516) - H516)</f>
        <v>0</v>
      </c>
      <c r="J516" s="18">
        <v>155.8300</v>
      </c>
      <c r="K516" s="19">
        <v>10.0000</v>
      </c>
      <c r="L516" s="17" t="s">
        <v>80</v>
      </c>
    </row>
    <row r="517" ht="10.95" customHeight="true" customFormat="true" s="9">
      <c r="A517" s="16">
        <v>45223</v>
      </c>
      <c r="B517" s="17" t="s">
        <v>78</v>
      </c>
      <c r="C517" s="17" t="s">
        <v>70</v>
      </c>
      <c r="D517" s="17" t="s">
        <v>22</v>
      </c>
      <c r="E517" s="17" t="s">
        <v>99</v>
      </c>
      <c r="F517" s="17"/>
      <c r="G517" s="18">
        <v>584.4500</v>
      </c>
      <c r="H517" s="18">
        <v>0</v>
      </c>
      <c r="I517" s="18">
        <f ca="1">((I516 + G517) - H517)</f>
        <v>0</v>
      </c>
      <c r="J517" s="18">
        <v>0</v>
      </c>
      <c r="K517" s="19">
        <v>0</v>
      </c>
      <c r="L517" s="17" t="s">
        <v>28</v>
      </c>
    </row>
    <row r="518" ht="10.95" customHeight="true" customFormat="true" s="9">
      <c r="A518" s="16">
        <v>45224</v>
      </c>
      <c r="B518" s="17" t="s">
        <v>78</v>
      </c>
      <c r="C518" s="17" t="s">
        <v>70</v>
      </c>
      <c r="D518" s="17" t="s">
        <v>22</v>
      </c>
      <c r="E518" s="17" t="s">
        <v>81</v>
      </c>
      <c r="F518" s="17"/>
      <c r="G518" s="18">
        <v>752.7600</v>
      </c>
      <c r="H518" s="18">
        <v>0</v>
      </c>
      <c r="I518" s="18">
        <f ca="1">((I517 + G518) - H518)</f>
        <v>0</v>
      </c>
      <c r="J518" s="18">
        <v>0</v>
      </c>
      <c r="K518" s="19">
        <v>0</v>
      </c>
      <c r="L518" s="17" t="s">
        <v>82</v>
      </c>
    </row>
    <row r="519" ht="10.95" customHeight="true" customFormat="true" s="9">
      <c r="A519" s="16">
        <v>45226</v>
      </c>
      <c r="B519" s="17" t="s">
        <v>78</v>
      </c>
      <c r="C519" s="17" t="s">
        <v>70</v>
      </c>
      <c r="D519" s="17" t="s">
        <v>22</v>
      </c>
      <c r="E519" s="17" t="s">
        <v>84</v>
      </c>
      <c r="F519" s="17"/>
      <c r="G519" s="18">
        <v>65.0000</v>
      </c>
      <c r="H519" s="18">
        <v>0</v>
      </c>
      <c r="I519" s="18">
        <f ca="1">((I518 + G519) - H519)</f>
        <v>0</v>
      </c>
      <c r="J519" s="18">
        <v>0</v>
      </c>
      <c r="K519" s="19">
        <v>0</v>
      </c>
      <c r="L519" s="17" t="s">
        <v>28</v>
      </c>
    </row>
    <row r="520" ht="10.95" customHeight="true" customFormat="true" s="9">
      <c r="A520" s="16">
        <v>45229</v>
      </c>
      <c r="B520" s="17" t="s">
        <v>78</v>
      </c>
      <c r="C520" s="17" t="s">
        <v>70</v>
      </c>
      <c r="D520" s="17" t="s">
        <v>22</v>
      </c>
      <c r="E520" s="17" t="s">
        <v>79</v>
      </c>
      <c r="F520" s="17"/>
      <c r="G520" s="18">
        <v>1583.9200</v>
      </c>
      <c r="H520" s="18">
        <v>0</v>
      </c>
      <c r="I520" s="18">
        <f ca="1">((I519 + G520) - H520)</f>
        <v>0</v>
      </c>
      <c r="J520" s="18">
        <v>158.3900</v>
      </c>
      <c r="K520" s="19">
        <v>10.0000</v>
      </c>
      <c r="L520" s="17" t="s">
        <v>80</v>
      </c>
    </row>
    <row r="521" ht="10.95" customHeight="true" customFormat="true" s="9">
      <c r="A521" s="16">
        <v>45231</v>
      </c>
      <c r="B521" s="17" t="s">
        <v>78</v>
      </c>
      <c r="C521" s="17" t="s">
        <v>70</v>
      </c>
      <c r="D521" s="17" t="s">
        <v>22</v>
      </c>
      <c r="E521" s="17" t="s">
        <v>79</v>
      </c>
      <c r="F521" s="17"/>
      <c r="G521" s="18">
        <v>1606.7500</v>
      </c>
      <c r="H521" s="18">
        <v>0</v>
      </c>
      <c r="I521" s="18">
        <f ca="1">((I520 + G521) - H521)</f>
        <v>0</v>
      </c>
      <c r="J521" s="18">
        <v>160.6700</v>
      </c>
      <c r="K521" s="19">
        <v>10.0000</v>
      </c>
      <c r="L521" s="17" t="s">
        <v>80</v>
      </c>
    </row>
    <row r="522" ht="10.95" customHeight="true" customFormat="true" s="9">
      <c r="A522" s="16">
        <v>45231</v>
      </c>
      <c r="B522" s="17" t="s">
        <v>78</v>
      </c>
      <c r="C522" s="17" t="s">
        <v>70</v>
      </c>
      <c r="D522" s="17" t="s">
        <v>22</v>
      </c>
      <c r="E522" s="17" t="s">
        <v>100</v>
      </c>
      <c r="F522" s="17"/>
      <c r="G522" s="18">
        <v>2.0000</v>
      </c>
      <c r="H522" s="18">
        <v>0</v>
      </c>
      <c r="I522" s="18">
        <f ca="1">((I521 + G522) - H522)</f>
        <v>0</v>
      </c>
      <c r="J522" s="18">
        <v>0.2000</v>
      </c>
      <c r="K522" s="19">
        <v>10.0000</v>
      </c>
      <c r="L522" s="17" t="s">
        <v>80</v>
      </c>
    </row>
    <row r="523" ht="10.95" customHeight="true" customFormat="true" s="9">
      <c r="A523" s="16">
        <v>45231</v>
      </c>
      <c r="B523" s="17" t="s">
        <v>78</v>
      </c>
      <c r="C523" s="17" t="s">
        <v>70</v>
      </c>
      <c r="D523" s="17" t="s">
        <v>22</v>
      </c>
      <c r="E523" s="17" t="s">
        <v>100</v>
      </c>
      <c r="F523" s="17"/>
      <c r="G523" s="18">
        <v>24.0500</v>
      </c>
      <c r="H523" s="18">
        <v>0</v>
      </c>
      <c r="I523" s="18">
        <f ca="1">((I522 + G523) - H523)</f>
        <v>0</v>
      </c>
      <c r="J523" s="18">
        <v>0</v>
      </c>
      <c r="K523" s="19">
        <v>0</v>
      </c>
      <c r="L523" s="17" t="s">
        <v>28</v>
      </c>
    </row>
    <row r="524" ht="10.95" customHeight="true" customFormat="true" s="9">
      <c r="A524" s="16">
        <v>45233</v>
      </c>
      <c r="B524" s="17" t="s">
        <v>78</v>
      </c>
      <c r="C524" s="17" t="s">
        <v>70</v>
      </c>
      <c r="D524" s="17" t="s">
        <v>22</v>
      </c>
      <c r="E524" s="17" t="s">
        <v>79</v>
      </c>
      <c r="F524" s="17"/>
      <c r="G524" s="18">
        <v>1827.9700</v>
      </c>
      <c r="H524" s="18">
        <v>0</v>
      </c>
      <c r="I524" s="18">
        <f ca="1">((I523 + G524) - H524)</f>
        <v>0</v>
      </c>
      <c r="J524" s="18">
        <v>182.8000</v>
      </c>
      <c r="K524" s="19">
        <v>10.0000</v>
      </c>
      <c r="L524" s="17" t="s">
        <v>80</v>
      </c>
    </row>
    <row r="525" ht="10.95" customHeight="true" customFormat="true" s="9">
      <c r="A525" s="16">
        <v>45236</v>
      </c>
      <c r="B525" s="17" t="s">
        <v>78</v>
      </c>
      <c r="C525" s="17" t="s">
        <v>70</v>
      </c>
      <c r="D525" s="17" t="s">
        <v>22</v>
      </c>
      <c r="E525" s="17" t="s">
        <v>81</v>
      </c>
      <c r="F525" s="17"/>
      <c r="G525" s="18">
        <v>700.1900</v>
      </c>
      <c r="H525" s="18">
        <v>0</v>
      </c>
      <c r="I525" s="18">
        <f ca="1">((I524 + G525) - H525)</f>
        <v>0</v>
      </c>
      <c r="J525" s="18">
        <v>0</v>
      </c>
      <c r="K525" s="19">
        <v>0</v>
      </c>
      <c r="L525" s="17" t="s">
        <v>82</v>
      </c>
    </row>
    <row r="526" ht="10.95" customHeight="true" customFormat="true" s="9">
      <c r="A526" s="16">
        <v>45236</v>
      </c>
      <c r="B526" s="17" t="s">
        <v>78</v>
      </c>
      <c r="C526" s="17" t="s">
        <v>70</v>
      </c>
      <c r="D526" s="17" t="s">
        <v>22</v>
      </c>
      <c r="E526" s="17" t="s">
        <v>101</v>
      </c>
      <c r="F526" s="17"/>
      <c r="G526" s="18">
        <v>75.0300</v>
      </c>
      <c r="H526" s="18">
        <v>0</v>
      </c>
      <c r="I526" s="18">
        <f ca="1">((I525 + G526) - H526)</f>
        <v>0</v>
      </c>
      <c r="J526" s="18">
        <v>0</v>
      </c>
      <c r="K526" s="19">
        <v>0</v>
      </c>
      <c r="L526" s="17" t="s">
        <v>28</v>
      </c>
    </row>
    <row r="527" ht="10.95" customHeight="true" customFormat="true" s="9">
      <c r="A527" s="16">
        <v>45236</v>
      </c>
      <c r="B527" s="17" t="s">
        <v>78</v>
      </c>
      <c r="C527" s="17" t="s">
        <v>70</v>
      </c>
      <c r="D527" s="17" t="s">
        <v>22</v>
      </c>
      <c r="E527" s="17" t="s">
        <v>101</v>
      </c>
      <c r="F527" s="17"/>
      <c r="G527" s="18">
        <v>4.5000</v>
      </c>
      <c r="H527" s="18">
        <v>0</v>
      </c>
      <c r="I527" s="18">
        <f ca="1">((I526 + G527) - H527)</f>
        <v>0</v>
      </c>
      <c r="J527" s="18">
        <v>0.4500</v>
      </c>
      <c r="K527" s="19">
        <v>10.0000</v>
      </c>
      <c r="L527" s="17" t="s">
        <v>80</v>
      </c>
    </row>
    <row r="528" ht="10.95" customHeight="true" customFormat="true" s="9">
      <c r="A528" s="16">
        <v>45243</v>
      </c>
      <c r="B528" s="17" t="s">
        <v>78</v>
      </c>
      <c r="C528" s="17" t="s">
        <v>70</v>
      </c>
      <c r="D528" s="17" t="s">
        <v>22</v>
      </c>
      <c r="E528" s="17" t="s">
        <v>102</v>
      </c>
      <c r="F528" s="17"/>
      <c r="G528" s="18">
        <v>297.7500</v>
      </c>
      <c r="H528" s="18">
        <v>0</v>
      </c>
      <c r="I528" s="18">
        <f ca="1">((I527 + G528) - H528)</f>
        <v>0</v>
      </c>
      <c r="J528" s="18">
        <v>29.7800</v>
      </c>
      <c r="K528" s="19">
        <v>10.0000</v>
      </c>
      <c r="L528" s="17" t="s">
        <v>80</v>
      </c>
    </row>
    <row r="529" ht="10.95" customHeight="true" customFormat="true" s="9">
      <c r="A529" s="16">
        <v>45243</v>
      </c>
      <c r="B529" s="17" t="s">
        <v>78</v>
      </c>
      <c r="C529" s="17" t="s">
        <v>70</v>
      </c>
      <c r="D529" s="17" t="s">
        <v>22</v>
      </c>
      <c r="E529" s="17" t="s">
        <v>79</v>
      </c>
      <c r="F529" s="17"/>
      <c r="G529" s="18">
        <v>2190.2200</v>
      </c>
      <c r="H529" s="18">
        <v>0</v>
      </c>
      <c r="I529" s="18">
        <f ca="1">((I528 + G529) - H529)</f>
        <v>0</v>
      </c>
      <c r="J529" s="18">
        <v>219.0200</v>
      </c>
      <c r="K529" s="19">
        <v>10.0000</v>
      </c>
      <c r="L529" s="17" t="s">
        <v>80</v>
      </c>
    </row>
    <row r="530" ht="10.95" customHeight="true" customFormat="true" s="9">
      <c r="A530" s="16">
        <v>45243</v>
      </c>
      <c r="B530" s="17" t="s">
        <v>78</v>
      </c>
      <c r="C530" s="17" t="s">
        <v>70</v>
      </c>
      <c r="D530" s="17" t="s">
        <v>22</v>
      </c>
      <c r="E530" s="17" t="s">
        <v>79</v>
      </c>
      <c r="F530" s="17"/>
      <c r="G530" s="18">
        <v>1739.9400</v>
      </c>
      <c r="H530" s="18">
        <v>0</v>
      </c>
      <c r="I530" s="18">
        <f ca="1">((I529 + G530) - H530)</f>
        <v>0</v>
      </c>
      <c r="J530" s="18">
        <v>173.9900</v>
      </c>
      <c r="K530" s="19">
        <v>10.0000</v>
      </c>
      <c r="L530" s="17" t="s">
        <v>80</v>
      </c>
    </row>
    <row r="531" ht="10.95" customHeight="true" customFormat="true" s="9">
      <c r="A531" s="16">
        <v>45244</v>
      </c>
      <c r="B531" s="17" t="s">
        <v>78</v>
      </c>
      <c r="C531" s="17" t="s">
        <v>70</v>
      </c>
      <c r="D531" s="17" t="s">
        <v>22</v>
      </c>
      <c r="E531" s="17" t="s">
        <v>79</v>
      </c>
      <c r="F531" s="17"/>
      <c r="G531" s="18">
        <v>1357.5400</v>
      </c>
      <c r="H531" s="18">
        <v>0</v>
      </c>
      <c r="I531" s="18">
        <f ca="1">((I530 + G531) - H531)</f>
        <v>0</v>
      </c>
      <c r="J531" s="18">
        <v>135.7500</v>
      </c>
      <c r="K531" s="19">
        <v>10.0000</v>
      </c>
      <c r="L531" s="17" t="s">
        <v>80</v>
      </c>
    </row>
    <row r="532" ht="10.95" customHeight="true" customFormat="true" s="9">
      <c r="A532" s="16">
        <v>45245</v>
      </c>
      <c r="B532" s="17" t="s">
        <v>78</v>
      </c>
      <c r="C532" s="17" t="s">
        <v>70</v>
      </c>
      <c r="D532" s="17" t="s">
        <v>22</v>
      </c>
      <c r="E532" s="17" t="s">
        <v>81</v>
      </c>
      <c r="F532" s="17"/>
      <c r="G532" s="18">
        <v>728.8200</v>
      </c>
      <c r="H532" s="18">
        <v>0</v>
      </c>
      <c r="I532" s="18">
        <f ca="1">((I531 + G532) - H532)</f>
        <v>0</v>
      </c>
      <c r="J532" s="18">
        <v>0</v>
      </c>
      <c r="K532" s="19">
        <v>0</v>
      </c>
      <c r="L532" s="17" t="s">
        <v>82</v>
      </c>
    </row>
    <row r="533" ht="10.95" customHeight="true" customFormat="true" s="9">
      <c r="A533" s="16">
        <v>45247</v>
      </c>
      <c r="B533" s="17" t="s">
        <v>78</v>
      </c>
      <c r="C533" s="17" t="s">
        <v>70</v>
      </c>
      <c r="D533" s="17" t="s">
        <v>22</v>
      </c>
      <c r="E533" s="17" t="s">
        <v>79</v>
      </c>
      <c r="F533" s="17"/>
      <c r="G533" s="18">
        <v>1526.9500</v>
      </c>
      <c r="H533" s="18">
        <v>0</v>
      </c>
      <c r="I533" s="18">
        <f ca="1">((I532 + G533) - H533)</f>
        <v>0</v>
      </c>
      <c r="J533" s="18">
        <v>152.7000</v>
      </c>
      <c r="K533" s="19">
        <v>10.0000</v>
      </c>
      <c r="L533" s="17" t="s">
        <v>80</v>
      </c>
    </row>
    <row r="534" ht="10.95" customHeight="true" customFormat="true" s="9">
      <c r="A534" s="16">
        <v>45250</v>
      </c>
      <c r="B534" s="17" t="s">
        <v>78</v>
      </c>
      <c r="C534" s="17" t="s">
        <v>70</v>
      </c>
      <c r="D534" s="17" t="s">
        <v>22</v>
      </c>
      <c r="E534" s="17" t="s">
        <v>103</v>
      </c>
      <c r="F534" s="17"/>
      <c r="G534" s="18">
        <v>65.0000</v>
      </c>
      <c r="H534" s="18">
        <v>0</v>
      </c>
      <c r="I534" s="18">
        <f ca="1">((I533 + G534) - H534)</f>
        <v>0</v>
      </c>
      <c r="J534" s="18">
        <v>0</v>
      </c>
      <c r="K534" s="19">
        <v>0</v>
      </c>
      <c r="L534" s="17" t="s">
        <v>28</v>
      </c>
    </row>
    <row r="535" ht="10.95" customHeight="true" customFormat="true" s="9">
      <c r="A535" s="16">
        <v>45251</v>
      </c>
      <c r="B535" s="17" t="s">
        <v>78</v>
      </c>
      <c r="C535" s="17" t="s">
        <v>70</v>
      </c>
      <c r="D535" s="17" t="s">
        <v>22</v>
      </c>
      <c r="E535" s="17" t="s">
        <v>79</v>
      </c>
      <c r="F535" s="17"/>
      <c r="G535" s="18">
        <v>1556.5000</v>
      </c>
      <c r="H535" s="18">
        <v>0</v>
      </c>
      <c r="I535" s="18">
        <f ca="1">((I534 + G535) - H535)</f>
        <v>0</v>
      </c>
      <c r="J535" s="18">
        <v>155.6500</v>
      </c>
      <c r="K535" s="19">
        <v>10.0000</v>
      </c>
      <c r="L535" s="17" t="s">
        <v>80</v>
      </c>
    </row>
    <row r="536" ht="10.95" customHeight="true" customFormat="true" s="9">
      <c r="A536" s="16">
        <v>45253</v>
      </c>
      <c r="B536" s="17" t="s">
        <v>78</v>
      </c>
      <c r="C536" s="17" t="s">
        <v>70</v>
      </c>
      <c r="D536" s="17" t="s">
        <v>22</v>
      </c>
      <c r="E536" s="17" t="s">
        <v>102</v>
      </c>
      <c r="F536" s="17"/>
      <c r="G536" s="18">
        <v>126.0000</v>
      </c>
      <c r="H536" s="18">
        <v>0</v>
      </c>
      <c r="I536" s="18">
        <f ca="1">((I535 + G536) - H536)</f>
        <v>0</v>
      </c>
      <c r="J536" s="18">
        <v>12.6000</v>
      </c>
      <c r="K536" s="19">
        <v>10.0000</v>
      </c>
      <c r="L536" s="17" t="s">
        <v>80</v>
      </c>
    </row>
    <row r="537" ht="10.95" customHeight="true" customFormat="true" s="9">
      <c r="A537" s="16">
        <v>45257</v>
      </c>
      <c r="B537" s="17" t="s">
        <v>78</v>
      </c>
      <c r="C537" s="17" t="s">
        <v>70</v>
      </c>
      <c r="D537" s="17" t="s">
        <v>22</v>
      </c>
      <c r="E537" s="17" t="s">
        <v>79</v>
      </c>
      <c r="F537" s="17"/>
      <c r="G537" s="18">
        <v>1619.7800</v>
      </c>
      <c r="H537" s="18">
        <v>0</v>
      </c>
      <c r="I537" s="18">
        <f ca="1">((I536 + G537) - H537)</f>
        <v>0</v>
      </c>
      <c r="J537" s="18">
        <v>161.9800</v>
      </c>
      <c r="K537" s="19">
        <v>10.0000</v>
      </c>
      <c r="L537" s="17" t="s">
        <v>80</v>
      </c>
    </row>
    <row r="538" ht="10.95" customHeight="true" customFormat="true" s="9">
      <c r="A538" s="16">
        <v>45257</v>
      </c>
      <c r="B538" s="17" t="s">
        <v>78</v>
      </c>
      <c r="C538" s="17" t="s">
        <v>70</v>
      </c>
      <c r="D538" s="17" t="s">
        <v>22</v>
      </c>
      <c r="E538" s="17" t="s">
        <v>104</v>
      </c>
      <c r="F538" s="17"/>
      <c r="G538" s="18">
        <v>382.3000</v>
      </c>
      <c r="H538" s="18">
        <v>0</v>
      </c>
      <c r="I538" s="18">
        <f ca="1">((I537 + G538) - H538)</f>
        <v>0</v>
      </c>
      <c r="J538" s="18">
        <v>0</v>
      </c>
      <c r="K538" s="19">
        <v>0</v>
      </c>
      <c r="L538" s="17" t="s">
        <v>28</v>
      </c>
    </row>
    <row r="539" ht="10.95" customHeight="true" customFormat="true" s="9">
      <c r="A539" s="16">
        <v>45259</v>
      </c>
      <c r="B539" s="17" t="s">
        <v>78</v>
      </c>
      <c r="C539" s="17" t="s">
        <v>70</v>
      </c>
      <c r="D539" s="17" t="s">
        <v>22</v>
      </c>
      <c r="E539" s="17" t="s">
        <v>79</v>
      </c>
      <c r="F539" s="17"/>
      <c r="G539" s="18">
        <v>1454.7400</v>
      </c>
      <c r="H539" s="18">
        <v>0</v>
      </c>
      <c r="I539" s="18">
        <f ca="1">((I538 + G539) - H539)</f>
        <v>0</v>
      </c>
      <c r="J539" s="18">
        <v>145.4700</v>
      </c>
      <c r="K539" s="19">
        <v>10.0000</v>
      </c>
      <c r="L539" s="17" t="s">
        <v>80</v>
      </c>
    </row>
    <row r="540" ht="10.95" customHeight="true" customFormat="true" s="9">
      <c r="A540" s="16">
        <v>45259</v>
      </c>
      <c r="B540" s="17" t="s">
        <v>78</v>
      </c>
      <c r="C540" s="17" t="s">
        <v>70</v>
      </c>
      <c r="D540" s="17" t="s">
        <v>22</v>
      </c>
      <c r="E540" s="17" t="s">
        <v>84</v>
      </c>
      <c r="F540" s="17"/>
      <c r="G540" s="18">
        <v>65.0000</v>
      </c>
      <c r="H540" s="18">
        <v>0</v>
      </c>
      <c r="I540" s="18">
        <f ca="1">((I539 + G540) - H540)</f>
        <v>0</v>
      </c>
      <c r="J540" s="18">
        <v>0</v>
      </c>
      <c r="K540" s="19">
        <v>0</v>
      </c>
      <c r="L540" s="17" t="s">
        <v>28</v>
      </c>
    </row>
    <row r="541" ht="10.95" customHeight="true" customFormat="true" s="9">
      <c r="A541" s="16">
        <v>45261</v>
      </c>
      <c r="B541" s="17" t="s">
        <v>78</v>
      </c>
      <c r="C541" s="17" t="s">
        <v>70</v>
      </c>
      <c r="D541" s="17" t="s">
        <v>22</v>
      </c>
      <c r="E541" s="17" t="s">
        <v>105</v>
      </c>
      <c r="F541" s="17"/>
      <c r="G541" s="18">
        <v>367.8500</v>
      </c>
      <c r="H541" s="18">
        <v>0</v>
      </c>
      <c r="I541" s="18">
        <f ca="1">((I540 + G541) - H541)</f>
        <v>0</v>
      </c>
      <c r="J541" s="18">
        <v>0</v>
      </c>
      <c r="K541" s="19">
        <v>0</v>
      </c>
      <c r="L541" s="17" t="s">
        <v>82</v>
      </c>
    </row>
    <row r="542" ht="10.95" customHeight="true" customFormat="true" s="9">
      <c r="A542" s="16">
        <v>45261</v>
      </c>
      <c r="B542" s="17" t="s">
        <v>78</v>
      </c>
      <c r="C542" s="17" t="s">
        <v>70</v>
      </c>
      <c r="D542" s="17" t="s">
        <v>22</v>
      </c>
      <c r="E542" s="17" t="s">
        <v>81</v>
      </c>
      <c r="F542" s="17"/>
      <c r="G542" s="18">
        <v>660.8800</v>
      </c>
      <c r="H542" s="18">
        <v>0</v>
      </c>
      <c r="I542" s="18">
        <f ca="1">((I541 + G542) - H542)</f>
        <v>0</v>
      </c>
      <c r="J542" s="18">
        <v>0</v>
      </c>
      <c r="K542" s="19">
        <v>0</v>
      </c>
      <c r="L542" s="17" t="s">
        <v>82</v>
      </c>
    </row>
    <row r="543" ht="10.95" customHeight="true" customFormat="true" s="9">
      <c r="A543" s="16">
        <v>45261</v>
      </c>
      <c r="B543" s="17" t="s">
        <v>78</v>
      </c>
      <c r="C543" s="17" t="s">
        <v>70</v>
      </c>
      <c r="D543" s="17" t="s">
        <v>22</v>
      </c>
      <c r="E543" s="17" t="s">
        <v>79</v>
      </c>
      <c r="F543" s="17"/>
      <c r="G543" s="18">
        <v>2169.0500</v>
      </c>
      <c r="H543" s="18">
        <v>0</v>
      </c>
      <c r="I543" s="18">
        <f ca="1">((I542 + G543) - H543)</f>
        <v>0</v>
      </c>
      <c r="J543" s="18">
        <v>216.9100</v>
      </c>
      <c r="K543" s="19">
        <v>10.0000</v>
      </c>
      <c r="L543" s="17" t="s">
        <v>80</v>
      </c>
    </row>
    <row r="544" ht="10.95" customHeight="true" customFormat="true" s="9">
      <c r="A544" s="16">
        <v>45265</v>
      </c>
      <c r="B544" s="17" t="s">
        <v>78</v>
      </c>
      <c r="C544" s="17" t="s">
        <v>70</v>
      </c>
      <c r="D544" s="17" t="s">
        <v>22</v>
      </c>
      <c r="E544" s="17" t="s">
        <v>79</v>
      </c>
      <c r="F544" s="17"/>
      <c r="G544" s="18">
        <v>1910.2400</v>
      </c>
      <c r="H544" s="18">
        <v>0</v>
      </c>
      <c r="I544" s="18">
        <f ca="1">((I543 + G544) - H544)</f>
        <v>0</v>
      </c>
      <c r="J544" s="18">
        <v>191.0200</v>
      </c>
      <c r="K544" s="19">
        <v>10.0000</v>
      </c>
      <c r="L544" s="17" t="s">
        <v>80</v>
      </c>
    </row>
    <row r="545" ht="10.95" customHeight="true" customFormat="true" s="9">
      <c r="A545" s="16">
        <v>45268</v>
      </c>
      <c r="B545" s="17" t="s">
        <v>78</v>
      </c>
      <c r="C545" s="17" t="s">
        <v>70</v>
      </c>
      <c r="D545" s="17" t="s">
        <v>22</v>
      </c>
      <c r="E545" s="17" t="s">
        <v>79</v>
      </c>
      <c r="F545" s="17"/>
      <c r="G545" s="18">
        <v>1772.5300</v>
      </c>
      <c r="H545" s="18">
        <v>0</v>
      </c>
      <c r="I545" s="18">
        <f ca="1">((I544 + G545) - H545)</f>
        <v>0</v>
      </c>
      <c r="J545" s="18">
        <v>177.2500</v>
      </c>
      <c r="K545" s="19">
        <v>10.0000</v>
      </c>
      <c r="L545" s="17" t="s">
        <v>80</v>
      </c>
    </row>
    <row r="546" ht="10.95" customHeight="true" customFormat="true" s="9">
      <c r="A546" s="16">
        <v>45271</v>
      </c>
      <c r="B546" s="17" t="s">
        <v>78</v>
      </c>
      <c r="C546" s="17" t="s">
        <v>70</v>
      </c>
      <c r="D546" s="17" t="s">
        <v>22</v>
      </c>
      <c r="E546" s="17" t="s">
        <v>106</v>
      </c>
      <c r="F546" s="17"/>
      <c r="G546" s="18">
        <v>53.9700</v>
      </c>
      <c r="H546" s="18">
        <v>0</v>
      </c>
      <c r="I546" s="18">
        <f ca="1">((I545 + G546) - H546)</f>
        <v>0</v>
      </c>
      <c r="J546" s="18">
        <v>5.4000</v>
      </c>
      <c r="K546" s="19">
        <v>10.0000</v>
      </c>
      <c r="L546" s="17" t="s">
        <v>80</v>
      </c>
    </row>
    <row r="547" ht="10.95" customHeight="true" customFormat="true" s="9">
      <c r="A547" s="16">
        <v>45272</v>
      </c>
      <c r="B547" s="17" t="s">
        <v>78</v>
      </c>
      <c r="C547" s="17" t="s">
        <v>70</v>
      </c>
      <c r="D547" s="17" t="s">
        <v>22</v>
      </c>
      <c r="E547" s="17" t="s">
        <v>84</v>
      </c>
      <c r="F547" s="17"/>
      <c r="G547" s="18">
        <v>65.0000</v>
      </c>
      <c r="H547" s="18">
        <v>0</v>
      </c>
      <c r="I547" s="18">
        <f ca="1">((I546 + G547) - H547)</f>
        <v>0</v>
      </c>
      <c r="J547" s="18">
        <v>0</v>
      </c>
      <c r="K547" s="19">
        <v>0</v>
      </c>
      <c r="L547" s="17" t="s">
        <v>28</v>
      </c>
    </row>
    <row r="548" ht="10.95" customHeight="true" customFormat="true" s="9">
      <c r="A548" s="16">
        <v>45273</v>
      </c>
      <c r="B548" s="17" t="s">
        <v>78</v>
      </c>
      <c r="C548" s="17" t="s">
        <v>70</v>
      </c>
      <c r="D548" s="17" t="s">
        <v>22</v>
      </c>
      <c r="E548" s="17" t="s">
        <v>79</v>
      </c>
      <c r="F548" s="17"/>
      <c r="G548" s="18">
        <v>1245.8200</v>
      </c>
      <c r="H548" s="18">
        <v>0</v>
      </c>
      <c r="I548" s="18">
        <f ca="1">((I547 + G548) - H548)</f>
        <v>0</v>
      </c>
      <c r="J548" s="18">
        <v>124.5800</v>
      </c>
      <c r="K548" s="19">
        <v>10.0000</v>
      </c>
      <c r="L548" s="17" t="s">
        <v>80</v>
      </c>
    </row>
    <row r="549" ht="10.95" customHeight="true" customFormat="true" s="9">
      <c r="A549" s="16">
        <v>45273</v>
      </c>
      <c r="B549" s="17" t="s">
        <v>78</v>
      </c>
      <c r="C549" s="17" t="s">
        <v>70</v>
      </c>
      <c r="D549" s="17" t="s">
        <v>22</v>
      </c>
      <c r="E549" s="17" t="s">
        <v>94</v>
      </c>
      <c r="F549" s="17"/>
      <c r="G549" s="18">
        <v>398.2500</v>
      </c>
      <c r="H549" s="18">
        <v>0</v>
      </c>
      <c r="I549" s="18">
        <f ca="1">((I548 + G549) - H549)</f>
        <v>0</v>
      </c>
      <c r="J549" s="18">
        <v>0</v>
      </c>
      <c r="K549" s="19">
        <v>0</v>
      </c>
      <c r="L549" s="17" t="s">
        <v>28</v>
      </c>
    </row>
    <row r="550" ht="10.95" customHeight="true" customFormat="true" s="9">
      <c r="A550" s="16">
        <v>45275</v>
      </c>
      <c r="B550" s="17" t="s">
        <v>78</v>
      </c>
      <c r="C550" s="17" t="s">
        <v>70</v>
      </c>
      <c r="D550" s="17" t="s">
        <v>22</v>
      </c>
      <c r="E550" s="17" t="s">
        <v>79</v>
      </c>
      <c r="F550" s="17"/>
      <c r="G550" s="18">
        <v>1629.9500</v>
      </c>
      <c r="H550" s="18">
        <v>0</v>
      </c>
      <c r="I550" s="18">
        <f ca="1">((I549 + G550) - H550)</f>
        <v>0</v>
      </c>
      <c r="J550" s="18">
        <v>163.0000</v>
      </c>
      <c r="K550" s="19">
        <v>10.0000</v>
      </c>
      <c r="L550" s="17" t="s">
        <v>80</v>
      </c>
    </row>
    <row r="551" ht="10.95" customHeight="true" customFormat="true" s="9">
      <c r="A551" s="16">
        <v>45275</v>
      </c>
      <c r="B551" s="17" t="s">
        <v>78</v>
      </c>
      <c r="C551" s="17" t="s">
        <v>70</v>
      </c>
      <c r="D551" s="17" t="s">
        <v>22</v>
      </c>
      <c r="E551" s="17" t="s">
        <v>107</v>
      </c>
      <c r="F551" s="17"/>
      <c r="G551" s="18">
        <v>510.0000</v>
      </c>
      <c r="H551" s="18">
        <v>0</v>
      </c>
      <c r="I551" s="18">
        <f ca="1">((I550 + G551) - H551)</f>
        <v>0</v>
      </c>
      <c r="J551" s="18">
        <v>0</v>
      </c>
      <c r="K551" s="19">
        <v>0</v>
      </c>
      <c r="L551" s="17" t="s">
        <v>28</v>
      </c>
    </row>
    <row r="552" ht="10.95" customHeight="true" customFormat="true" s="9">
      <c r="A552" s="16">
        <v>45275</v>
      </c>
      <c r="B552" s="17" t="s">
        <v>78</v>
      </c>
      <c r="C552" s="17" t="s">
        <v>70</v>
      </c>
      <c r="D552" s="17" t="s">
        <v>22</v>
      </c>
      <c r="E552" s="17" t="s">
        <v>108</v>
      </c>
      <c r="F552" s="17"/>
      <c r="G552" s="18">
        <v>792.0000</v>
      </c>
      <c r="H552" s="18">
        <v>0</v>
      </c>
      <c r="I552" s="18">
        <f ca="1">((I551 + G552) - H552)</f>
        <v>0</v>
      </c>
      <c r="J552" s="18">
        <v>0</v>
      </c>
      <c r="K552" s="19">
        <v>0</v>
      </c>
      <c r="L552" s="17" t="s">
        <v>28</v>
      </c>
    </row>
    <row r="553" ht="10.95" customHeight="true" customFormat="true" s="9">
      <c r="A553" s="16">
        <v>45278</v>
      </c>
      <c r="B553" s="17" t="s">
        <v>78</v>
      </c>
      <c r="C553" s="17" t="s">
        <v>70</v>
      </c>
      <c r="D553" s="17" t="s">
        <v>22</v>
      </c>
      <c r="E553" s="17" t="s">
        <v>109</v>
      </c>
      <c r="F553" s="17"/>
      <c r="G553" s="18">
        <v>801.8700</v>
      </c>
      <c r="H553" s="18">
        <v>0</v>
      </c>
      <c r="I553" s="18">
        <f ca="1">((I552 + G553) - H553)</f>
        <v>0</v>
      </c>
      <c r="J553" s="18">
        <v>80.1900</v>
      </c>
      <c r="K553" s="19">
        <v>10.0000</v>
      </c>
      <c r="L553" s="17" t="s">
        <v>80</v>
      </c>
    </row>
    <row r="554" ht="10.95" customHeight="true" customFormat="true" s="9">
      <c r="A554" s="16">
        <v>45278</v>
      </c>
      <c r="B554" s="17" t="s">
        <v>78</v>
      </c>
      <c r="C554" s="17" t="s">
        <v>70</v>
      </c>
      <c r="D554" s="17" t="s">
        <v>22</v>
      </c>
      <c r="E554" s="17" t="s">
        <v>110</v>
      </c>
      <c r="F554" s="17"/>
      <c r="G554" s="18">
        <v>18.0000</v>
      </c>
      <c r="H554" s="18">
        <v>0</v>
      </c>
      <c r="I554" s="18">
        <f ca="1">((I553 + G554) - H554)</f>
        <v>0</v>
      </c>
      <c r="J554" s="18">
        <v>0</v>
      </c>
      <c r="K554" s="19">
        <v>0</v>
      </c>
      <c r="L554" s="17" t="s">
        <v>28</v>
      </c>
    </row>
    <row r="555" ht="10.95" customHeight="true" customFormat="true" s="9">
      <c r="A555" s="16">
        <v>45279</v>
      </c>
      <c r="B555" s="17" t="s">
        <v>78</v>
      </c>
      <c r="C555" s="17" t="s">
        <v>70</v>
      </c>
      <c r="D555" s="17" t="s">
        <v>22</v>
      </c>
      <c r="E555" s="17" t="s">
        <v>79</v>
      </c>
      <c r="F555" s="17"/>
      <c r="G555" s="18">
        <v>1673.7500</v>
      </c>
      <c r="H555" s="18">
        <v>0</v>
      </c>
      <c r="I555" s="18">
        <f ca="1">((I554 + G555) - H555)</f>
        <v>0</v>
      </c>
      <c r="J555" s="18">
        <v>167.3700</v>
      </c>
      <c r="K555" s="19">
        <v>10.0000</v>
      </c>
      <c r="L555" s="17" t="s">
        <v>80</v>
      </c>
    </row>
    <row r="556" ht="10.95" customHeight="true" customFormat="true" s="9">
      <c r="A556" s="16">
        <v>45281</v>
      </c>
      <c r="B556" s="17" t="s">
        <v>78</v>
      </c>
      <c r="C556" s="17" t="s">
        <v>70</v>
      </c>
      <c r="D556" s="17" t="s">
        <v>22</v>
      </c>
      <c r="E556" s="17" t="s">
        <v>111</v>
      </c>
      <c r="F556" s="17"/>
      <c r="G556" s="18">
        <v>69.0900</v>
      </c>
      <c r="H556" s="18">
        <v>0</v>
      </c>
      <c r="I556" s="18">
        <f ca="1">((I555 + G556) - H556)</f>
        <v>0</v>
      </c>
      <c r="J556" s="18">
        <v>6.9100</v>
      </c>
      <c r="K556" s="19">
        <v>10.0000</v>
      </c>
      <c r="L556" s="17" t="s">
        <v>80</v>
      </c>
    </row>
    <row r="557" ht="10.95" customHeight="true" customFormat="true" s="9">
      <c r="A557" s="16">
        <v>45281</v>
      </c>
      <c r="B557" s="17" t="s">
        <v>78</v>
      </c>
      <c r="C557" s="17" t="s">
        <v>70</v>
      </c>
      <c r="D557" s="17" t="s">
        <v>22</v>
      </c>
      <c r="E557" s="17" t="s">
        <v>84</v>
      </c>
      <c r="F557" s="17"/>
      <c r="G557" s="18">
        <v>65.0000</v>
      </c>
      <c r="H557" s="18">
        <v>0</v>
      </c>
      <c r="I557" s="18">
        <f ca="1">((I556 + G557) - H557)</f>
        <v>0</v>
      </c>
      <c r="J557" s="18">
        <v>0</v>
      </c>
      <c r="K557" s="19">
        <v>0</v>
      </c>
      <c r="L557" s="17" t="s">
        <v>28</v>
      </c>
    </row>
    <row r="558" ht="10.95" customHeight="true" customFormat="true" s="9">
      <c r="A558" s="16">
        <v>45282</v>
      </c>
      <c r="B558" s="17" t="s">
        <v>78</v>
      </c>
      <c r="C558" s="17" t="s">
        <v>70</v>
      </c>
      <c r="D558" s="17" t="s">
        <v>22</v>
      </c>
      <c r="E558" s="17" t="s">
        <v>79</v>
      </c>
      <c r="F558" s="17"/>
      <c r="G558" s="18">
        <v>2349.8800</v>
      </c>
      <c r="H558" s="18">
        <v>0</v>
      </c>
      <c r="I558" s="18">
        <f ca="1">((I557 + G558) - H558)</f>
        <v>0</v>
      </c>
      <c r="J558" s="18">
        <v>234.9900</v>
      </c>
      <c r="K558" s="19">
        <v>10.0000</v>
      </c>
      <c r="L558" s="17" t="s">
        <v>80</v>
      </c>
    </row>
    <row r="559" ht="10.95" customHeight="true" customFormat="true" s="9">
      <c r="A559" s="16">
        <v>45282</v>
      </c>
      <c r="B559" s="17" t="s">
        <v>78</v>
      </c>
      <c r="C559" s="17" t="s">
        <v>70</v>
      </c>
      <c r="D559" s="17" t="s">
        <v>22</v>
      </c>
      <c r="E559" s="17" t="s">
        <v>112</v>
      </c>
      <c r="F559" s="17"/>
      <c r="G559" s="18">
        <v>21.0000</v>
      </c>
      <c r="H559" s="18">
        <v>0</v>
      </c>
      <c r="I559" s="18">
        <f ca="1">((I558 + G559) - H559)</f>
        <v>0</v>
      </c>
      <c r="J559" s="18">
        <v>0</v>
      </c>
      <c r="K559" s="19">
        <v>0</v>
      </c>
      <c r="L559" s="17" t="s">
        <v>28</v>
      </c>
    </row>
    <row r="560" ht="10.95" customHeight="true" customFormat="true" s="9">
      <c r="A560" s="16">
        <v>45291</v>
      </c>
      <c r="B560" s="17" t="s">
        <v>78</v>
      </c>
      <c r="C560" s="17" t="s">
        <v>70</v>
      </c>
      <c r="D560" s="17" t="s">
        <v>25</v>
      </c>
      <c r="E560" s="17" t="s">
        <v>113</v>
      </c>
      <c r="F560" s="17" t="s">
        <v>32</v>
      </c>
      <c r="G560" s="18">
        <v>65.0000</v>
      </c>
      <c r="H560" s="18">
        <v>0</v>
      </c>
      <c r="I560" s="18">
        <f ca="1">((I559 + G560) - H560)</f>
        <v>0</v>
      </c>
      <c r="J560" s="18">
        <v>0</v>
      </c>
      <c r="K560" s="19">
        <v>0</v>
      </c>
      <c r="L560" s="17" t="s">
        <v>28</v>
      </c>
    </row>
    <row r="561" ht="10.95" customHeight="true" customFormat="true" s="9">
      <c r="A561" s="16">
        <v>45313</v>
      </c>
      <c r="B561" s="17" t="s">
        <v>78</v>
      </c>
      <c r="C561" s="17" t="s">
        <v>70</v>
      </c>
      <c r="D561" s="17" t="s">
        <v>22</v>
      </c>
      <c r="E561" s="17" t="s">
        <v>114</v>
      </c>
      <c r="F561" s="17"/>
      <c r="G561" s="18">
        <v>138.5000</v>
      </c>
      <c r="H561" s="18">
        <v>0</v>
      </c>
      <c r="I561" s="18">
        <f ca="1">((I560 + G561) - H561)</f>
        <v>0</v>
      </c>
      <c r="J561" s="18">
        <v>13.8500</v>
      </c>
      <c r="K561" s="19">
        <v>10.0000</v>
      </c>
      <c r="L561" s="17" t="s">
        <v>80</v>
      </c>
    </row>
    <row r="562" ht="10.95" customHeight="true" customFormat="true" s="9">
      <c r="A562" s="16">
        <v>45313</v>
      </c>
      <c r="B562" s="17" t="s">
        <v>78</v>
      </c>
      <c r="C562" s="17" t="s">
        <v>70</v>
      </c>
      <c r="D562" s="17" t="s">
        <v>22</v>
      </c>
      <c r="E562" s="17" t="s">
        <v>115</v>
      </c>
      <c r="F562" s="17"/>
      <c r="G562" s="18">
        <v>1944.0000</v>
      </c>
      <c r="H562" s="18">
        <v>0</v>
      </c>
      <c r="I562" s="18">
        <f ca="1">((I561 + G562) - H562)</f>
        <v>0</v>
      </c>
      <c r="J562" s="18">
        <v>194.4000</v>
      </c>
      <c r="K562" s="19">
        <v>10.0000</v>
      </c>
      <c r="L562" s="17" t="s">
        <v>80</v>
      </c>
    </row>
    <row r="563" ht="10.95" customHeight="true" customFormat="true" s="9">
      <c r="A563" s="16">
        <v>45313</v>
      </c>
      <c r="B563" s="17" t="s">
        <v>78</v>
      </c>
      <c r="C563" s="17" t="s">
        <v>70</v>
      </c>
      <c r="D563" s="17" t="s">
        <v>22</v>
      </c>
      <c r="E563" s="17" t="s">
        <v>115</v>
      </c>
      <c r="F563" s="17"/>
      <c r="G563" s="18">
        <v>30.7300</v>
      </c>
      <c r="H563" s="18">
        <v>0</v>
      </c>
      <c r="I563" s="18">
        <f ca="1">((I562 + G563) - H563)</f>
        <v>0</v>
      </c>
      <c r="J563" s="18">
        <v>0</v>
      </c>
      <c r="K563" s="19">
        <v>0</v>
      </c>
      <c r="L563" s="17" t="s">
        <v>28</v>
      </c>
    </row>
    <row r="564" ht="10.95" customHeight="true" customFormat="true" s="9">
      <c r="A564" s="16">
        <v>45314</v>
      </c>
      <c r="B564" s="17" t="s">
        <v>78</v>
      </c>
      <c r="C564" s="17" t="s">
        <v>70</v>
      </c>
      <c r="D564" s="17" t="s">
        <v>22</v>
      </c>
      <c r="E564" s="17" t="s">
        <v>115</v>
      </c>
      <c r="F564" s="17"/>
      <c r="G564" s="18">
        <v>1023.2900</v>
      </c>
      <c r="H564" s="18">
        <v>0</v>
      </c>
      <c r="I564" s="18">
        <f ca="1">((I563 + G564) - H564)</f>
        <v>0</v>
      </c>
      <c r="J564" s="18">
        <v>102.3300</v>
      </c>
      <c r="K564" s="19">
        <v>10.0000</v>
      </c>
      <c r="L564" s="17" t="s">
        <v>80</v>
      </c>
    </row>
    <row r="565" ht="10.95" customHeight="true" customFormat="true" s="9">
      <c r="A565" s="16">
        <v>45316</v>
      </c>
      <c r="B565" s="17" t="s">
        <v>78</v>
      </c>
      <c r="C565" s="17" t="s">
        <v>70</v>
      </c>
      <c r="D565" s="17" t="s">
        <v>22</v>
      </c>
      <c r="E565" s="17" t="s">
        <v>109</v>
      </c>
      <c r="F565" s="17"/>
      <c r="G565" s="18">
        <v>770.1300</v>
      </c>
      <c r="H565" s="18">
        <v>0</v>
      </c>
      <c r="I565" s="18">
        <f ca="1">((I564 + G565) - H565)</f>
        <v>0</v>
      </c>
      <c r="J565" s="18">
        <v>0</v>
      </c>
      <c r="K565" s="19">
        <v>0</v>
      </c>
      <c r="L565" s="17" t="s">
        <v>28</v>
      </c>
    </row>
    <row r="566" ht="10.95" customHeight="true" customFormat="true" s="9">
      <c r="A566" s="16">
        <v>45320</v>
      </c>
      <c r="B566" s="17" t="s">
        <v>78</v>
      </c>
      <c r="C566" s="17" t="s">
        <v>70</v>
      </c>
      <c r="D566" s="17" t="s">
        <v>22</v>
      </c>
      <c r="E566" s="17" t="s">
        <v>115</v>
      </c>
      <c r="F566" s="17"/>
      <c r="G566" s="18">
        <v>1953.6400</v>
      </c>
      <c r="H566" s="18">
        <v>0</v>
      </c>
      <c r="I566" s="18">
        <f ca="1">((I565 + G566) - H566)</f>
        <v>0</v>
      </c>
      <c r="J566" s="18">
        <v>195.3600</v>
      </c>
      <c r="K566" s="19">
        <v>10.0000</v>
      </c>
      <c r="L566" s="17" t="s">
        <v>80</v>
      </c>
    </row>
    <row r="567" ht="10.95" customHeight="true" customFormat="true" s="9">
      <c r="A567" s="16">
        <v>45323</v>
      </c>
      <c r="B567" s="17" t="s">
        <v>78</v>
      </c>
      <c r="C567" s="17" t="s">
        <v>70</v>
      </c>
      <c r="D567" s="17" t="s">
        <v>22</v>
      </c>
      <c r="E567" s="17" t="s">
        <v>115</v>
      </c>
      <c r="F567" s="17"/>
      <c r="G567" s="18">
        <v>1468.9500</v>
      </c>
      <c r="H567" s="18">
        <v>0</v>
      </c>
      <c r="I567" s="18">
        <f ca="1">((I566 + G567) - H567)</f>
        <v>0</v>
      </c>
      <c r="J567" s="18">
        <v>146.9000</v>
      </c>
      <c r="K567" s="19">
        <v>10.0000</v>
      </c>
      <c r="L567" s="17" t="s">
        <v>80</v>
      </c>
    </row>
    <row r="568" ht="10.95" customHeight="true" customFormat="true" s="9">
      <c r="A568" s="16">
        <v>45324</v>
      </c>
      <c r="B568" s="17" t="s">
        <v>78</v>
      </c>
      <c r="C568" s="17" t="s">
        <v>70</v>
      </c>
      <c r="D568" s="17" t="s">
        <v>22</v>
      </c>
      <c r="E568" s="17" t="s">
        <v>115</v>
      </c>
      <c r="F568" s="17"/>
      <c r="G568" s="18">
        <v>1510.6400</v>
      </c>
      <c r="H568" s="18">
        <v>0</v>
      </c>
      <c r="I568" s="18">
        <f ca="1">((I567 + G568) - H568)</f>
        <v>0</v>
      </c>
      <c r="J568" s="18">
        <v>151.0600</v>
      </c>
      <c r="K568" s="19">
        <v>10.0000</v>
      </c>
      <c r="L568" s="17" t="s">
        <v>80</v>
      </c>
    </row>
    <row r="569" ht="10.95" customHeight="true" customFormat="true" s="9">
      <c r="A569" s="16">
        <v>45324</v>
      </c>
      <c r="B569" s="17" t="s">
        <v>78</v>
      </c>
      <c r="C569" s="17" t="s">
        <v>70</v>
      </c>
      <c r="D569" s="17" t="s">
        <v>22</v>
      </c>
      <c r="E569" s="17" t="s">
        <v>84</v>
      </c>
      <c r="F569" s="17"/>
      <c r="G569" s="18">
        <v>65.0000</v>
      </c>
      <c r="H569" s="18">
        <v>0</v>
      </c>
      <c r="I569" s="18">
        <f ca="1">((I568 + G569) - H569)</f>
        <v>0</v>
      </c>
      <c r="J569" s="18">
        <v>0</v>
      </c>
      <c r="K569" s="19">
        <v>0</v>
      </c>
      <c r="L569" s="17" t="s">
        <v>28</v>
      </c>
    </row>
    <row r="570" ht="10.95" customHeight="true" customFormat="true" s="9">
      <c r="A570" s="16">
        <v>45324</v>
      </c>
      <c r="B570" s="17" t="s">
        <v>78</v>
      </c>
      <c r="C570" s="17" t="s">
        <v>70</v>
      </c>
      <c r="D570" s="17" t="s">
        <v>22</v>
      </c>
      <c r="E570" s="17" t="s">
        <v>116</v>
      </c>
      <c r="F570" s="17"/>
      <c r="G570" s="18">
        <v>885.0500</v>
      </c>
      <c r="H570" s="18">
        <v>0</v>
      </c>
      <c r="I570" s="18">
        <f ca="1">((I569 + G570) - H570)</f>
        <v>0</v>
      </c>
      <c r="J570" s="18">
        <v>0</v>
      </c>
      <c r="K570" s="19">
        <v>0</v>
      </c>
      <c r="L570" s="17" t="s">
        <v>28</v>
      </c>
    </row>
    <row r="571" ht="10.95" customHeight="true" customFormat="true" s="9">
      <c r="A571" s="16">
        <v>45329</v>
      </c>
      <c r="B571" s="17" t="s">
        <v>78</v>
      </c>
      <c r="C571" s="17" t="s">
        <v>70</v>
      </c>
      <c r="D571" s="17" t="s">
        <v>22</v>
      </c>
      <c r="E571" s="17" t="s">
        <v>109</v>
      </c>
      <c r="F571" s="17"/>
      <c r="G571" s="18">
        <v>869.6300</v>
      </c>
      <c r="H571" s="18">
        <v>0</v>
      </c>
      <c r="I571" s="18">
        <f ca="1">((I570 + G571) - H571)</f>
        <v>0</v>
      </c>
      <c r="J571" s="18">
        <v>0</v>
      </c>
      <c r="K571" s="19">
        <v>0</v>
      </c>
      <c r="L571" s="17" t="s">
        <v>28</v>
      </c>
    </row>
    <row r="572" ht="10.95" customHeight="true" customFormat="true" s="9">
      <c r="A572" s="16">
        <v>45330</v>
      </c>
      <c r="B572" s="17" t="s">
        <v>78</v>
      </c>
      <c r="C572" s="17" t="s">
        <v>70</v>
      </c>
      <c r="D572" s="17" t="s">
        <v>22</v>
      </c>
      <c r="E572" s="17" t="s">
        <v>115</v>
      </c>
      <c r="F572" s="17"/>
      <c r="G572" s="18">
        <v>1390.8500</v>
      </c>
      <c r="H572" s="18">
        <v>0</v>
      </c>
      <c r="I572" s="18">
        <f ca="1">((I571 + G572) - H572)</f>
        <v>0</v>
      </c>
      <c r="J572" s="18">
        <v>139.0900</v>
      </c>
      <c r="K572" s="19">
        <v>10.0000</v>
      </c>
      <c r="L572" s="17" t="s">
        <v>80</v>
      </c>
    </row>
    <row r="573" ht="10.95" customHeight="true" customFormat="true" s="9">
      <c r="A573" s="16">
        <v>45331</v>
      </c>
      <c r="B573" s="17" t="s">
        <v>78</v>
      </c>
      <c r="C573" s="17" t="s">
        <v>70</v>
      </c>
      <c r="D573" s="17" t="s">
        <v>22</v>
      </c>
      <c r="E573" s="17" t="s">
        <v>115</v>
      </c>
      <c r="F573" s="17"/>
      <c r="G573" s="18">
        <v>1514.7600</v>
      </c>
      <c r="H573" s="18">
        <v>0</v>
      </c>
      <c r="I573" s="18">
        <f ca="1">((I572 + G573) - H573)</f>
        <v>0</v>
      </c>
      <c r="J573" s="18">
        <v>151.4800</v>
      </c>
      <c r="K573" s="19">
        <v>10.0000</v>
      </c>
      <c r="L573" s="17" t="s">
        <v>80</v>
      </c>
    </row>
    <row r="574" ht="10.95" customHeight="true" customFormat="true" s="9">
      <c r="A574" s="16">
        <v>45335</v>
      </c>
      <c r="B574" s="17" t="s">
        <v>78</v>
      </c>
      <c r="C574" s="17" t="s">
        <v>70</v>
      </c>
      <c r="D574" s="17" t="s">
        <v>22</v>
      </c>
      <c r="E574" s="17" t="s">
        <v>115</v>
      </c>
      <c r="F574" s="17"/>
      <c r="G574" s="18">
        <v>1146.2500</v>
      </c>
      <c r="H574" s="18">
        <v>0</v>
      </c>
      <c r="I574" s="18">
        <f ca="1">((I573 + G574) - H574)</f>
        <v>0</v>
      </c>
      <c r="J574" s="18">
        <v>114.6300</v>
      </c>
      <c r="K574" s="19">
        <v>10.0000</v>
      </c>
      <c r="L574" s="17" t="s">
        <v>80</v>
      </c>
    </row>
    <row r="575" ht="10.95" customHeight="true" customFormat="true" s="9">
      <c r="A575" s="16">
        <v>45335</v>
      </c>
      <c r="B575" s="17" t="s">
        <v>78</v>
      </c>
      <c r="C575" s="17" t="s">
        <v>70</v>
      </c>
      <c r="D575" s="17" t="s">
        <v>22</v>
      </c>
      <c r="E575" s="17" t="s">
        <v>79</v>
      </c>
      <c r="F575" s="17"/>
      <c r="G575" s="18">
        <v>548.5000</v>
      </c>
      <c r="H575" s="18">
        <v>0</v>
      </c>
      <c r="I575" s="18">
        <f ca="1">((I574 + G575) - H575)</f>
        <v>0</v>
      </c>
      <c r="J575" s="18">
        <v>0</v>
      </c>
      <c r="K575" s="19">
        <v>0</v>
      </c>
      <c r="L575" s="17" t="s">
        <v>28</v>
      </c>
    </row>
    <row r="576" ht="10.95" customHeight="true" customFormat="true" s="9">
      <c r="A576" s="16">
        <v>45335</v>
      </c>
      <c r="B576" s="17" t="s">
        <v>78</v>
      </c>
      <c r="C576" s="17" t="s">
        <v>70</v>
      </c>
      <c r="D576" s="17" t="s">
        <v>22</v>
      </c>
      <c r="E576" s="17" t="s">
        <v>117</v>
      </c>
      <c r="F576" s="17"/>
      <c r="G576" s="18">
        <v>13.5000</v>
      </c>
      <c r="H576" s="18">
        <v>0</v>
      </c>
      <c r="I576" s="18">
        <f ca="1">((I575 + G576) - H576)</f>
        <v>0</v>
      </c>
      <c r="J576" s="18">
        <v>0</v>
      </c>
      <c r="K576" s="19">
        <v>0</v>
      </c>
      <c r="L576" s="17" t="s">
        <v>28</v>
      </c>
    </row>
    <row r="577" ht="10.95" customHeight="true" customFormat="true" s="9">
      <c r="A577" s="16">
        <v>45336</v>
      </c>
      <c r="B577" s="17" t="s">
        <v>78</v>
      </c>
      <c r="C577" s="17" t="s">
        <v>70</v>
      </c>
      <c r="D577" s="17" t="s">
        <v>22</v>
      </c>
      <c r="E577" s="17" t="s">
        <v>118</v>
      </c>
      <c r="F577" s="17"/>
      <c r="G577" s="18">
        <v>42.0000</v>
      </c>
      <c r="H577" s="18">
        <v>0</v>
      </c>
      <c r="I577" s="18">
        <f ca="1">((I576 + G577) - H577)</f>
        <v>0</v>
      </c>
      <c r="J577" s="18">
        <v>4.2000</v>
      </c>
      <c r="K577" s="19">
        <v>10.0000</v>
      </c>
      <c r="L577" s="17" t="s">
        <v>80</v>
      </c>
    </row>
    <row r="578" ht="10.95" customHeight="true" customFormat="true" s="9">
      <c r="A578" s="16">
        <v>45337</v>
      </c>
      <c r="B578" s="17" t="s">
        <v>78</v>
      </c>
      <c r="C578" s="17" t="s">
        <v>70</v>
      </c>
      <c r="D578" s="17" t="s">
        <v>22</v>
      </c>
      <c r="E578" s="17" t="s">
        <v>84</v>
      </c>
      <c r="F578" s="17"/>
      <c r="G578" s="18">
        <v>65.0000</v>
      </c>
      <c r="H578" s="18">
        <v>0</v>
      </c>
      <c r="I578" s="18">
        <f ca="1">((I577 + G578) - H578)</f>
        <v>0</v>
      </c>
      <c r="J578" s="18">
        <v>0</v>
      </c>
      <c r="K578" s="19">
        <v>0</v>
      </c>
      <c r="L578" s="17" t="s">
        <v>28</v>
      </c>
    </row>
    <row r="579" ht="10.95" customHeight="true" customFormat="true" s="9">
      <c r="A579" s="16">
        <v>45338</v>
      </c>
      <c r="B579" s="17" t="s">
        <v>78</v>
      </c>
      <c r="C579" s="17" t="s">
        <v>70</v>
      </c>
      <c r="D579" s="17" t="s">
        <v>22</v>
      </c>
      <c r="E579" s="17" t="s">
        <v>115</v>
      </c>
      <c r="F579" s="17"/>
      <c r="G579" s="18">
        <v>1528.4200</v>
      </c>
      <c r="H579" s="18">
        <v>0</v>
      </c>
      <c r="I579" s="18">
        <f ca="1">((I578 + G579) - H579)</f>
        <v>0</v>
      </c>
      <c r="J579" s="18">
        <v>152.8400</v>
      </c>
      <c r="K579" s="19">
        <v>10.0000</v>
      </c>
      <c r="L579" s="17" t="s">
        <v>80</v>
      </c>
    </row>
    <row r="580" ht="10.95" customHeight="true" customFormat="true" s="9">
      <c r="A580" s="16">
        <v>45343</v>
      </c>
      <c r="B580" s="17" t="s">
        <v>78</v>
      </c>
      <c r="C580" s="17" t="s">
        <v>70</v>
      </c>
      <c r="D580" s="17" t="s">
        <v>22</v>
      </c>
      <c r="E580" s="17" t="s">
        <v>115</v>
      </c>
      <c r="F580" s="17"/>
      <c r="G580" s="18">
        <v>1242.2300</v>
      </c>
      <c r="H580" s="18">
        <v>0</v>
      </c>
      <c r="I580" s="18">
        <f ca="1">((I579 + G580) - H580)</f>
        <v>0</v>
      </c>
      <c r="J580" s="18">
        <v>124.2200</v>
      </c>
      <c r="K580" s="19">
        <v>10.0000</v>
      </c>
      <c r="L580" s="17" t="s">
        <v>80</v>
      </c>
    </row>
    <row r="581" ht="10.95" customHeight="true" customFormat="true" s="9">
      <c r="A581" s="16">
        <v>45343</v>
      </c>
      <c r="B581" s="17" t="s">
        <v>78</v>
      </c>
      <c r="C581" s="17" t="s">
        <v>70</v>
      </c>
      <c r="D581" s="17" t="s">
        <v>22</v>
      </c>
      <c r="E581" s="17" t="s">
        <v>109</v>
      </c>
      <c r="F581" s="17"/>
      <c r="G581" s="18">
        <v>842.7500</v>
      </c>
      <c r="H581" s="18">
        <v>0</v>
      </c>
      <c r="I581" s="18">
        <f ca="1">((I580 + G581) - H581)</f>
        <v>0</v>
      </c>
      <c r="J581" s="18">
        <v>0</v>
      </c>
      <c r="K581" s="19">
        <v>0</v>
      </c>
      <c r="L581" s="17" t="s">
        <v>28</v>
      </c>
    </row>
    <row r="582" ht="10.95" customHeight="true" customFormat="true" s="9">
      <c r="A582" s="16">
        <v>45345</v>
      </c>
      <c r="B582" s="17" t="s">
        <v>78</v>
      </c>
      <c r="C582" s="17" t="s">
        <v>70</v>
      </c>
      <c r="D582" s="17" t="s">
        <v>22</v>
      </c>
      <c r="E582" s="17" t="s">
        <v>115</v>
      </c>
      <c r="F582" s="17"/>
      <c r="G582" s="18">
        <v>1528.4200</v>
      </c>
      <c r="H582" s="18">
        <v>0</v>
      </c>
      <c r="I582" s="18">
        <f ca="1">((I581 + G582) - H582)</f>
        <v>0</v>
      </c>
      <c r="J582" s="18">
        <v>152.8400</v>
      </c>
      <c r="K582" s="19">
        <v>10.0000</v>
      </c>
      <c r="L582" s="17" t="s">
        <v>80</v>
      </c>
    </row>
    <row r="583" ht="10.95" customHeight="true" customFormat="true" s="9">
      <c r="A583" s="16">
        <v>45349</v>
      </c>
      <c r="B583" s="17" t="s">
        <v>78</v>
      </c>
      <c r="C583" s="17" t="s">
        <v>70</v>
      </c>
      <c r="D583" s="17" t="s">
        <v>22</v>
      </c>
      <c r="E583" s="17" t="s">
        <v>119</v>
      </c>
      <c r="F583" s="17"/>
      <c r="G583" s="18">
        <v>65.0000</v>
      </c>
      <c r="H583" s="18">
        <v>0</v>
      </c>
      <c r="I583" s="18">
        <f ca="1">((I582 + G583) - H583)</f>
        <v>0</v>
      </c>
      <c r="J583" s="18">
        <v>0</v>
      </c>
      <c r="K583" s="19">
        <v>0</v>
      </c>
      <c r="L583" s="17" t="s">
        <v>28</v>
      </c>
    </row>
    <row r="584" ht="10.95" customHeight="true" customFormat="true" s="9">
      <c r="A584" s="16">
        <v>45349</v>
      </c>
      <c r="B584" s="17" t="s">
        <v>78</v>
      </c>
      <c r="C584" s="17" t="s">
        <v>70</v>
      </c>
      <c r="D584" s="17" t="s">
        <v>22</v>
      </c>
      <c r="E584" s="17" t="s">
        <v>115</v>
      </c>
      <c r="F584" s="17"/>
      <c r="G584" s="18">
        <v>1702.8000</v>
      </c>
      <c r="H584" s="18">
        <v>0</v>
      </c>
      <c r="I584" s="18">
        <f ca="1">((I583 + G584) - H584)</f>
        <v>0</v>
      </c>
      <c r="J584" s="18">
        <v>170.2800</v>
      </c>
      <c r="K584" s="19">
        <v>10.0000</v>
      </c>
      <c r="L584" s="17" t="s">
        <v>80</v>
      </c>
    </row>
    <row r="585" ht="10.95" customHeight="true" customFormat="true" s="9">
      <c r="A585" s="16">
        <v>45349</v>
      </c>
      <c r="B585" s="17" t="s">
        <v>78</v>
      </c>
      <c r="C585" s="17" t="s">
        <v>70</v>
      </c>
      <c r="D585" s="17" t="s">
        <v>22</v>
      </c>
      <c r="E585" s="17" t="s">
        <v>115</v>
      </c>
      <c r="F585" s="17"/>
      <c r="G585" s="18">
        <v>30.7300</v>
      </c>
      <c r="H585" s="18">
        <v>0</v>
      </c>
      <c r="I585" s="18">
        <f ca="1">((I584 + G585) - H585)</f>
        <v>0</v>
      </c>
      <c r="J585" s="18">
        <v>0</v>
      </c>
      <c r="K585" s="19">
        <v>0</v>
      </c>
      <c r="L585" s="17" t="s">
        <v>28</v>
      </c>
    </row>
    <row r="586" ht="10.95" customHeight="true" customFormat="true" s="9">
      <c r="A586" s="16">
        <v>45352</v>
      </c>
      <c r="B586" s="17" t="s">
        <v>78</v>
      </c>
      <c r="C586" s="17" t="s">
        <v>70</v>
      </c>
      <c r="D586" s="17" t="s">
        <v>22</v>
      </c>
      <c r="E586" s="17" t="s">
        <v>115</v>
      </c>
      <c r="F586" s="17"/>
      <c r="G586" s="18">
        <v>1641.0400</v>
      </c>
      <c r="H586" s="18">
        <v>0</v>
      </c>
      <c r="I586" s="18">
        <f ca="1">((I585 + G586) - H586)</f>
        <v>0</v>
      </c>
      <c r="J586" s="18">
        <v>164.1000</v>
      </c>
      <c r="K586" s="19">
        <v>10.0000</v>
      </c>
      <c r="L586" s="17" t="s">
        <v>80</v>
      </c>
    </row>
    <row r="587" ht="10.95" customHeight="true" customFormat="true" s="9">
      <c r="A587" s="16">
        <v>45352</v>
      </c>
      <c r="B587" s="17" t="s">
        <v>78</v>
      </c>
      <c r="C587" s="17" t="s">
        <v>70</v>
      </c>
      <c r="D587" s="17" t="s">
        <v>22</v>
      </c>
      <c r="E587" s="17" t="s">
        <v>120</v>
      </c>
      <c r="F587" s="17"/>
      <c r="G587" s="18">
        <v>26.8200</v>
      </c>
      <c r="H587" s="18">
        <v>0</v>
      </c>
      <c r="I587" s="18">
        <f ca="1">((I586 + G587) - H587)</f>
        <v>0</v>
      </c>
      <c r="J587" s="18">
        <v>2.6800</v>
      </c>
      <c r="K587" s="19">
        <v>10.0000</v>
      </c>
      <c r="L587" s="17" t="s">
        <v>80</v>
      </c>
    </row>
    <row r="588" ht="10.95" customHeight="true" customFormat="true" s="9">
      <c r="A588" s="16">
        <v>45355</v>
      </c>
      <c r="B588" s="17" t="s">
        <v>78</v>
      </c>
      <c r="C588" s="17" t="s">
        <v>70</v>
      </c>
      <c r="D588" s="17" t="s">
        <v>22</v>
      </c>
      <c r="E588" s="17" t="s">
        <v>121</v>
      </c>
      <c r="F588" s="17"/>
      <c r="G588" s="18">
        <v>45.0000</v>
      </c>
      <c r="H588" s="18">
        <v>0</v>
      </c>
      <c r="I588" s="18">
        <f ca="1">((I587 + G588) - H588)</f>
        <v>0</v>
      </c>
      <c r="J588" s="18">
        <v>4.5000</v>
      </c>
      <c r="K588" s="19">
        <v>10.0000</v>
      </c>
      <c r="L588" s="17" t="s">
        <v>80</v>
      </c>
    </row>
    <row r="589" ht="10.95" customHeight="true" customFormat="true" s="9">
      <c r="A589" s="16">
        <v>45356</v>
      </c>
      <c r="B589" s="17" t="s">
        <v>78</v>
      </c>
      <c r="C589" s="17" t="s">
        <v>70</v>
      </c>
      <c r="D589" s="17" t="s">
        <v>22</v>
      </c>
      <c r="E589" s="17" t="s">
        <v>115</v>
      </c>
      <c r="F589" s="17"/>
      <c r="G589" s="18">
        <v>1251.9000</v>
      </c>
      <c r="H589" s="18">
        <v>0</v>
      </c>
      <c r="I589" s="18">
        <f ca="1">((I588 + G589) - H589)</f>
        <v>0</v>
      </c>
      <c r="J589" s="18">
        <v>125.1900</v>
      </c>
      <c r="K589" s="19">
        <v>10.0000</v>
      </c>
      <c r="L589" s="17" t="s">
        <v>80</v>
      </c>
    </row>
    <row r="590" ht="10.95" customHeight="true" customFormat="true" s="9">
      <c r="A590" s="16">
        <v>45356</v>
      </c>
      <c r="B590" s="17" t="s">
        <v>78</v>
      </c>
      <c r="C590" s="17" t="s">
        <v>70</v>
      </c>
      <c r="D590" s="17" t="s">
        <v>22</v>
      </c>
      <c r="E590" s="17" t="s">
        <v>115</v>
      </c>
      <c r="F590" s="17"/>
      <c r="G590" s="18">
        <v>30.7100</v>
      </c>
      <c r="H590" s="18">
        <v>0</v>
      </c>
      <c r="I590" s="18">
        <f ca="1">((I589 + G590) - H590)</f>
        <v>0</v>
      </c>
      <c r="J590" s="18">
        <v>0</v>
      </c>
      <c r="K590" s="19">
        <v>0</v>
      </c>
      <c r="L590" s="17" t="s">
        <v>28</v>
      </c>
    </row>
    <row r="591" ht="10.95" customHeight="true" customFormat="true" s="9">
      <c r="A591" s="16">
        <v>45356</v>
      </c>
      <c r="B591" s="17" t="s">
        <v>78</v>
      </c>
      <c r="C591" s="17" t="s">
        <v>70</v>
      </c>
      <c r="D591" s="17" t="s">
        <v>22</v>
      </c>
      <c r="E591" s="17" t="s">
        <v>79</v>
      </c>
      <c r="F591" s="17"/>
      <c r="G591" s="18">
        <v>365.0000</v>
      </c>
      <c r="H591" s="18">
        <v>0</v>
      </c>
      <c r="I591" s="18">
        <f ca="1">((I590 + G591) - H591)</f>
        <v>0</v>
      </c>
      <c r="J591" s="18">
        <v>0</v>
      </c>
      <c r="K591" s="19">
        <v>0</v>
      </c>
      <c r="L591" s="17" t="s">
        <v>28</v>
      </c>
    </row>
    <row r="592" ht="10.95" customHeight="true" customFormat="true" s="9">
      <c r="A592" s="16">
        <v>45357</v>
      </c>
      <c r="B592" s="17" t="s">
        <v>78</v>
      </c>
      <c r="C592" s="17" t="s">
        <v>70</v>
      </c>
      <c r="D592" s="17" t="s">
        <v>22</v>
      </c>
      <c r="E592" s="17" t="s">
        <v>109</v>
      </c>
      <c r="F592" s="17"/>
      <c r="G592" s="18">
        <v>725.6900</v>
      </c>
      <c r="H592" s="18">
        <v>0</v>
      </c>
      <c r="I592" s="18">
        <f ca="1">((I591 + G592) - H592)</f>
        <v>0</v>
      </c>
      <c r="J592" s="18">
        <v>0</v>
      </c>
      <c r="K592" s="19">
        <v>0</v>
      </c>
      <c r="L592" s="17" t="s">
        <v>28</v>
      </c>
    </row>
    <row r="593" ht="10.95" customHeight="true" customFormat="true" s="9">
      <c r="A593" s="16">
        <v>45359</v>
      </c>
      <c r="B593" s="17" t="s">
        <v>78</v>
      </c>
      <c r="C593" s="17" t="s">
        <v>70</v>
      </c>
      <c r="D593" s="17" t="s">
        <v>22</v>
      </c>
      <c r="E593" s="17" t="s">
        <v>115</v>
      </c>
      <c r="F593" s="17"/>
      <c r="G593" s="18">
        <v>1600.2600</v>
      </c>
      <c r="H593" s="18">
        <v>0</v>
      </c>
      <c r="I593" s="18">
        <f ca="1">((I592 + G593) - H593)</f>
        <v>0</v>
      </c>
      <c r="J593" s="18">
        <v>160.0300</v>
      </c>
      <c r="K593" s="19">
        <v>10.0000</v>
      </c>
      <c r="L593" s="17" t="s">
        <v>80</v>
      </c>
    </row>
    <row r="594" ht="10.95" customHeight="true" customFormat="true" s="9">
      <c r="A594" s="16">
        <v>45359</v>
      </c>
      <c r="B594" s="17" t="s">
        <v>78</v>
      </c>
      <c r="C594" s="17" t="s">
        <v>70</v>
      </c>
      <c r="D594" s="17" t="s">
        <v>22</v>
      </c>
      <c r="E594" s="17" t="s">
        <v>84</v>
      </c>
      <c r="F594" s="17"/>
      <c r="G594" s="18">
        <v>65.0000</v>
      </c>
      <c r="H594" s="18">
        <v>0</v>
      </c>
      <c r="I594" s="18">
        <f ca="1">((I593 + G594) - H594)</f>
        <v>0</v>
      </c>
      <c r="J594" s="18">
        <v>0</v>
      </c>
      <c r="K594" s="19">
        <v>0</v>
      </c>
      <c r="L594" s="17" t="s">
        <v>28</v>
      </c>
    </row>
    <row r="595" ht="10.95" customHeight="true" customFormat="true" s="9">
      <c r="A595" s="16">
        <v>45363</v>
      </c>
      <c r="B595" s="17" t="s">
        <v>78</v>
      </c>
      <c r="C595" s="17" t="s">
        <v>70</v>
      </c>
      <c r="D595" s="17" t="s">
        <v>22</v>
      </c>
      <c r="E595" s="17" t="s">
        <v>122</v>
      </c>
      <c r="F595" s="17"/>
      <c r="G595" s="18">
        <v>1682.1000</v>
      </c>
      <c r="H595" s="18">
        <v>0</v>
      </c>
      <c r="I595" s="18">
        <f ca="1">((I594 + G595) - H595)</f>
        <v>0</v>
      </c>
      <c r="J595" s="18">
        <v>168.2100</v>
      </c>
      <c r="K595" s="19">
        <v>10.0000</v>
      </c>
      <c r="L595" s="17" t="s">
        <v>80</v>
      </c>
    </row>
    <row r="596" ht="10.95" customHeight="true" customFormat="true" s="9">
      <c r="A596" s="16">
        <v>45363</v>
      </c>
      <c r="B596" s="17" t="s">
        <v>78</v>
      </c>
      <c r="C596" s="17" t="s">
        <v>70</v>
      </c>
      <c r="D596" s="17" t="s">
        <v>22</v>
      </c>
      <c r="E596" s="17" t="s">
        <v>122</v>
      </c>
      <c r="F596" s="17"/>
      <c r="G596" s="18">
        <v>30.7100</v>
      </c>
      <c r="H596" s="18">
        <v>0</v>
      </c>
      <c r="I596" s="18">
        <f ca="1">((I595 + G596) - H596)</f>
        <v>0</v>
      </c>
      <c r="J596" s="18">
        <v>0</v>
      </c>
      <c r="K596" s="19">
        <v>0</v>
      </c>
      <c r="L596" s="17" t="s">
        <v>28</v>
      </c>
    </row>
    <row r="597" ht="10.95" customHeight="true" customFormat="true" s="9">
      <c r="A597" s="16">
        <v>45366</v>
      </c>
      <c r="B597" s="17" t="s">
        <v>78</v>
      </c>
      <c r="C597" s="17" t="s">
        <v>70</v>
      </c>
      <c r="D597" s="17" t="s">
        <v>22</v>
      </c>
      <c r="E597" s="17" t="s">
        <v>115</v>
      </c>
      <c r="F597" s="17"/>
      <c r="G597" s="18">
        <v>1378.6200</v>
      </c>
      <c r="H597" s="18">
        <v>0</v>
      </c>
      <c r="I597" s="18">
        <f ca="1">((I596 + G597) - H597)</f>
        <v>0</v>
      </c>
      <c r="J597" s="18">
        <v>137.8600</v>
      </c>
      <c r="K597" s="19">
        <v>10.0000</v>
      </c>
      <c r="L597" s="17" t="s">
        <v>80</v>
      </c>
    </row>
    <row r="598" ht="10.95" customHeight="true" customFormat="true" s="9">
      <c r="A598" s="16">
        <v>45370</v>
      </c>
      <c r="B598" s="17" t="s">
        <v>78</v>
      </c>
      <c r="C598" s="17" t="s">
        <v>70</v>
      </c>
      <c r="D598" s="17" t="s">
        <v>22</v>
      </c>
      <c r="E598" s="17" t="s">
        <v>84</v>
      </c>
      <c r="F598" s="17"/>
      <c r="G598" s="18">
        <v>65.0000</v>
      </c>
      <c r="H598" s="18">
        <v>0</v>
      </c>
      <c r="I598" s="18">
        <f ca="1">((I597 + G598) - H598)</f>
        <v>0</v>
      </c>
      <c r="J598" s="18">
        <v>0</v>
      </c>
      <c r="K598" s="19">
        <v>0</v>
      </c>
      <c r="L598" s="17" t="s">
        <v>28</v>
      </c>
    </row>
    <row r="599" ht="10.95" customHeight="true" customFormat="true" s="9">
      <c r="A599" s="16">
        <v>45370</v>
      </c>
      <c r="B599" s="17" t="s">
        <v>78</v>
      </c>
      <c r="C599" s="17" t="s">
        <v>70</v>
      </c>
      <c r="D599" s="17" t="s">
        <v>22</v>
      </c>
      <c r="E599" s="17" t="s">
        <v>122</v>
      </c>
      <c r="F599" s="17"/>
      <c r="G599" s="18">
        <v>1822.7400</v>
      </c>
      <c r="H599" s="18">
        <v>0</v>
      </c>
      <c r="I599" s="18">
        <f ca="1">((I598 + G599) - H599)</f>
        <v>0</v>
      </c>
      <c r="J599" s="18">
        <v>182.2700</v>
      </c>
      <c r="K599" s="19">
        <v>10.0000</v>
      </c>
      <c r="L599" s="17" t="s">
        <v>80</v>
      </c>
    </row>
    <row r="600" ht="10.95" customHeight="true" customFormat="true" s="9">
      <c r="A600" s="16">
        <v>45371</v>
      </c>
      <c r="B600" s="17" t="s">
        <v>78</v>
      </c>
      <c r="C600" s="17" t="s">
        <v>70</v>
      </c>
      <c r="D600" s="17" t="s">
        <v>22</v>
      </c>
      <c r="E600" s="17" t="s">
        <v>109</v>
      </c>
      <c r="F600" s="17"/>
      <c r="G600" s="18">
        <v>544.1300</v>
      </c>
      <c r="H600" s="18">
        <v>0</v>
      </c>
      <c r="I600" s="18">
        <f ca="1">((I599 + G600) - H600)</f>
        <v>0</v>
      </c>
      <c r="J600" s="18">
        <v>0</v>
      </c>
      <c r="K600" s="19">
        <v>0</v>
      </c>
      <c r="L600" s="17" t="s">
        <v>28</v>
      </c>
    </row>
    <row r="601" ht="10.95" customHeight="true" customFormat="true" s="9">
      <c r="A601" s="16">
        <v>45373</v>
      </c>
      <c r="B601" s="17" t="s">
        <v>78</v>
      </c>
      <c r="C601" s="17" t="s">
        <v>70</v>
      </c>
      <c r="D601" s="17" t="s">
        <v>22</v>
      </c>
      <c r="E601" s="17" t="s">
        <v>114</v>
      </c>
      <c r="F601" s="17"/>
      <c r="G601" s="18">
        <v>198.2500</v>
      </c>
      <c r="H601" s="18">
        <v>0</v>
      </c>
      <c r="I601" s="18">
        <f ca="1">((I600 + G601) - H601)</f>
        <v>0</v>
      </c>
      <c r="J601" s="18">
        <v>19.8300</v>
      </c>
      <c r="K601" s="19">
        <v>10.0000</v>
      </c>
      <c r="L601" s="17" t="s">
        <v>80</v>
      </c>
    </row>
    <row r="602" ht="10.95" customHeight="true" customFormat="true" s="9">
      <c r="A602" s="16">
        <v>45373</v>
      </c>
      <c r="B602" s="17" t="s">
        <v>78</v>
      </c>
      <c r="C602" s="17" t="s">
        <v>70</v>
      </c>
      <c r="D602" s="17" t="s">
        <v>22</v>
      </c>
      <c r="E602" s="17" t="s">
        <v>115</v>
      </c>
      <c r="F602" s="17"/>
      <c r="G602" s="18">
        <v>1394.4100</v>
      </c>
      <c r="H602" s="18">
        <v>0</v>
      </c>
      <c r="I602" s="18">
        <f ca="1">((I601 + G602) - H602)</f>
        <v>0</v>
      </c>
      <c r="J602" s="18">
        <v>139.4400</v>
      </c>
      <c r="K602" s="19">
        <v>10.0000</v>
      </c>
      <c r="L602" s="17" t="s">
        <v>80</v>
      </c>
    </row>
    <row r="603" ht="10.95" customHeight="true" customFormat="true" s="9">
      <c r="A603" s="16">
        <v>45377</v>
      </c>
      <c r="B603" s="17" t="s">
        <v>78</v>
      </c>
      <c r="C603" s="17" t="s">
        <v>70</v>
      </c>
      <c r="D603" s="17" t="s">
        <v>22</v>
      </c>
      <c r="E603" s="17" t="s">
        <v>115</v>
      </c>
      <c r="F603" s="17"/>
      <c r="G603" s="18">
        <v>1678.2800</v>
      </c>
      <c r="H603" s="18">
        <v>0</v>
      </c>
      <c r="I603" s="18">
        <f ca="1">((I602 + G603) - H603)</f>
        <v>0</v>
      </c>
      <c r="J603" s="18">
        <v>167.8300</v>
      </c>
      <c r="K603" s="19">
        <v>10.0000</v>
      </c>
      <c r="L603" s="17" t="s">
        <v>80</v>
      </c>
    </row>
    <row r="604" ht="10.95" customHeight="true" customFormat="true" s="9">
      <c r="A604" s="16">
        <v>45379</v>
      </c>
      <c r="B604" s="17" t="s">
        <v>78</v>
      </c>
      <c r="C604" s="17" t="s">
        <v>70</v>
      </c>
      <c r="D604" s="17" t="s">
        <v>22</v>
      </c>
      <c r="E604" s="17" t="s">
        <v>122</v>
      </c>
      <c r="F604" s="17"/>
      <c r="G604" s="18">
        <v>2497.4900</v>
      </c>
      <c r="H604" s="18">
        <v>0</v>
      </c>
      <c r="I604" s="18">
        <f ca="1">((I603 + G604) - H604)</f>
        <v>0</v>
      </c>
      <c r="J604" s="18">
        <v>249.7500</v>
      </c>
      <c r="K604" s="19">
        <v>10.0000</v>
      </c>
      <c r="L604" s="17" t="s">
        <v>80</v>
      </c>
    </row>
    <row r="605" ht="10.95" customHeight="true" customFormat="true" s="9">
      <c r="A605" s="16">
        <v>45379</v>
      </c>
      <c r="B605" s="17" t="s">
        <v>78</v>
      </c>
      <c r="C605" s="17" t="s">
        <v>70</v>
      </c>
      <c r="D605" s="17" t="s">
        <v>22</v>
      </c>
      <c r="E605" s="17" t="s">
        <v>79</v>
      </c>
      <c r="F605" s="17"/>
      <c r="G605" s="18">
        <v>395.0000</v>
      </c>
      <c r="H605" s="18">
        <v>0</v>
      </c>
      <c r="I605" s="18">
        <f ca="1">((I604 + G605) - H605)</f>
        <v>0</v>
      </c>
      <c r="J605" s="18">
        <v>0</v>
      </c>
      <c r="K605" s="19">
        <v>0</v>
      </c>
      <c r="L605" s="17" t="s">
        <v>28</v>
      </c>
    </row>
    <row r="606" ht="10.95" customHeight="true" customFormat="true" s="9">
      <c r="A606" s="16">
        <v>45382</v>
      </c>
      <c r="B606" s="17" t="s">
        <v>78</v>
      </c>
      <c r="C606" s="17" t="s">
        <v>70</v>
      </c>
      <c r="D606" s="17" t="s">
        <v>25</v>
      </c>
      <c r="E606" s="17" t="s">
        <v>123</v>
      </c>
      <c r="F606" s="17" t="s">
        <v>39</v>
      </c>
      <c r="G606" s="18">
        <v>90.9100</v>
      </c>
      <c r="H606" s="18">
        <v>0</v>
      </c>
      <c r="I606" s="18">
        <f ca="1">((I605 + G606) - H606)</f>
        <v>0</v>
      </c>
      <c r="J606" s="18">
        <v>9.0900</v>
      </c>
      <c r="K606" s="19">
        <v>10.0000</v>
      </c>
      <c r="L606" s="17" t="s">
        <v>80</v>
      </c>
    </row>
    <row r="607" ht="10.95" customHeight="true" customFormat="true" s="9">
      <c r="A607" s="16">
        <v>45382</v>
      </c>
      <c r="B607" s="17" t="s">
        <v>78</v>
      </c>
      <c r="C607" s="17" t="s">
        <v>70</v>
      </c>
      <c r="D607" s="17" t="s">
        <v>25</v>
      </c>
      <c r="E607" s="17" t="s">
        <v>123</v>
      </c>
      <c r="F607" s="17" t="s">
        <v>39</v>
      </c>
      <c r="G607" s="18">
        <v>65.0000</v>
      </c>
      <c r="H607" s="18">
        <v>0</v>
      </c>
      <c r="I607" s="18">
        <f ca="1">((I606 + G607) - H607)</f>
        <v>0</v>
      </c>
      <c r="J607" s="18">
        <v>0</v>
      </c>
      <c r="K607" s="19">
        <v>0</v>
      </c>
      <c r="L607" s="17" t="s">
        <v>28</v>
      </c>
    </row>
    <row r="608" ht="10.95" customHeight="true" customFormat="true" s="9">
      <c r="A608" s="16">
        <v>45384</v>
      </c>
      <c r="B608" s="17" t="s">
        <v>78</v>
      </c>
      <c r="C608" s="17" t="s">
        <v>70</v>
      </c>
      <c r="D608" s="17" t="s">
        <v>22</v>
      </c>
      <c r="E608" s="17" t="s">
        <v>84</v>
      </c>
      <c r="F608" s="17"/>
      <c r="G608" s="18">
        <v>65.0000</v>
      </c>
      <c r="H608" s="18">
        <v>0</v>
      </c>
      <c r="I608" s="18">
        <f ca="1">((I607 + G608) - H608)</f>
        <v>0</v>
      </c>
      <c r="J608" s="18">
        <v>0</v>
      </c>
      <c r="K608" s="19">
        <v>0</v>
      </c>
      <c r="L608" s="17" t="s">
        <v>28</v>
      </c>
    </row>
    <row r="609" ht="10.95" customHeight="true" customFormat="true" s="9">
      <c r="A609" s="16">
        <v>45384</v>
      </c>
      <c r="B609" s="17" t="s">
        <v>78</v>
      </c>
      <c r="C609" s="17" t="s">
        <v>70</v>
      </c>
      <c r="D609" s="17" t="s">
        <v>22</v>
      </c>
      <c r="E609" s="17" t="s">
        <v>124</v>
      </c>
      <c r="F609" s="17"/>
      <c r="G609" s="18">
        <v>368.6400</v>
      </c>
      <c r="H609" s="18">
        <v>0</v>
      </c>
      <c r="I609" s="18">
        <f ca="1">((I608 + G609) - H609)</f>
        <v>0</v>
      </c>
      <c r="J609" s="18">
        <v>36.8600</v>
      </c>
      <c r="K609" s="19">
        <v>10.0000</v>
      </c>
      <c r="L609" s="17" t="s">
        <v>80</v>
      </c>
    </row>
    <row r="610" ht="10.95" customHeight="true" customFormat="true" s="9">
      <c r="A610" s="16">
        <v>45384</v>
      </c>
      <c r="B610" s="17" t="s">
        <v>78</v>
      </c>
      <c r="C610" s="17" t="s">
        <v>70</v>
      </c>
      <c r="D610" s="17" t="s">
        <v>22</v>
      </c>
      <c r="E610" s="17" t="s">
        <v>122</v>
      </c>
      <c r="F610" s="17"/>
      <c r="G610" s="18">
        <v>1193.2000</v>
      </c>
      <c r="H610" s="18">
        <v>0</v>
      </c>
      <c r="I610" s="18">
        <f ca="1">((I609 + G610) - H610)</f>
        <v>0</v>
      </c>
      <c r="J610" s="18">
        <v>119.3200</v>
      </c>
      <c r="K610" s="19">
        <v>10.0000</v>
      </c>
      <c r="L610" s="17" t="s">
        <v>80</v>
      </c>
    </row>
    <row r="611" ht="10.95" customHeight="true" customFormat="true" s="9">
      <c r="A611" s="16">
        <v>45384</v>
      </c>
      <c r="B611" s="17" t="s">
        <v>78</v>
      </c>
      <c r="C611" s="17" t="s">
        <v>70</v>
      </c>
      <c r="D611" s="17" t="s">
        <v>22</v>
      </c>
      <c r="E611" s="17" t="s">
        <v>122</v>
      </c>
      <c r="F611" s="17"/>
      <c r="G611" s="18">
        <v>30.8000</v>
      </c>
      <c r="H611" s="18">
        <v>0</v>
      </c>
      <c r="I611" s="18">
        <f ca="1">((I610 + G611) - H611)</f>
        <v>0</v>
      </c>
      <c r="J611" s="18">
        <v>0</v>
      </c>
      <c r="K611" s="19">
        <v>0</v>
      </c>
      <c r="L611" s="17" t="s">
        <v>28</v>
      </c>
    </row>
    <row r="612" ht="10.95" customHeight="true" customFormat="true" s="9">
      <c r="A612" s="16">
        <v>45385</v>
      </c>
      <c r="B612" s="17" t="s">
        <v>78</v>
      </c>
      <c r="C612" s="17" t="s">
        <v>70</v>
      </c>
      <c r="D612" s="17" t="s">
        <v>22</v>
      </c>
      <c r="E612" s="17" t="s">
        <v>109</v>
      </c>
      <c r="F612" s="17"/>
      <c r="G612" s="18">
        <v>648.1300</v>
      </c>
      <c r="H612" s="18">
        <v>0</v>
      </c>
      <c r="I612" s="18">
        <f ca="1">((I611 + G612) - H612)</f>
        <v>0</v>
      </c>
      <c r="J612" s="18">
        <v>0</v>
      </c>
      <c r="K612" s="19">
        <v>0</v>
      </c>
      <c r="L612" s="17" t="s">
        <v>28</v>
      </c>
    </row>
    <row r="613" ht="10.95" customHeight="true" customFormat="true" s="9">
      <c r="A613" s="16">
        <v>45387</v>
      </c>
      <c r="B613" s="17" t="s">
        <v>78</v>
      </c>
      <c r="C613" s="17" t="s">
        <v>70</v>
      </c>
      <c r="D613" s="17" t="s">
        <v>22</v>
      </c>
      <c r="E613" s="17" t="s">
        <v>125</v>
      </c>
      <c r="F613" s="17"/>
      <c r="G613" s="18">
        <v>1425.1800</v>
      </c>
      <c r="H613" s="18">
        <v>0</v>
      </c>
      <c r="I613" s="18">
        <f ca="1">((I612 + G613) - H613)</f>
        <v>0</v>
      </c>
      <c r="J613" s="18">
        <v>142.5200</v>
      </c>
      <c r="K613" s="19">
        <v>10.0000</v>
      </c>
      <c r="L613" s="17" t="s">
        <v>80</v>
      </c>
    </row>
    <row r="614" ht="10.95" customHeight="true" customFormat="true" s="9">
      <c r="A614" s="16">
        <v>45387</v>
      </c>
      <c r="B614" s="17" t="s">
        <v>78</v>
      </c>
      <c r="C614" s="17" t="s">
        <v>70</v>
      </c>
      <c r="D614" s="17" t="s">
        <v>22</v>
      </c>
      <c r="E614" s="17" t="s">
        <v>115</v>
      </c>
      <c r="F614" s="17"/>
      <c r="G614" s="18">
        <v>103.9500</v>
      </c>
      <c r="H614" s="18">
        <v>0</v>
      </c>
      <c r="I614" s="18">
        <f ca="1">((I613 + G614) - H614)</f>
        <v>0</v>
      </c>
      <c r="J614" s="18">
        <v>10.4000</v>
      </c>
      <c r="K614" s="19">
        <v>10.0000</v>
      </c>
      <c r="L614" s="17" t="s">
        <v>80</v>
      </c>
    </row>
    <row r="615" ht="10.95" customHeight="true" customFormat="true" s="9">
      <c r="A615" s="16">
        <v>45391</v>
      </c>
      <c r="B615" s="17" t="s">
        <v>78</v>
      </c>
      <c r="C615" s="17" t="s">
        <v>70</v>
      </c>
      <c r="D615" s="17" t="s">
        <v>22</v>
      </c>
      <c r="E615" s="17" t="s">
        <v>126</v>
      </c>
      <c r="F615" s="17"/>
      <c r="G615" s="18">
        <v>65.0000</v>
      </c>
      <c r="H615" s="18">
        <v>0</v>
      </c>
      <c r="I615" s="18">
        <f ca="1">((I614 + G615) - H615)</f>
        <v>0</v>
      </c>
      <c r="J615" s="18">
        <v>0</v>
      </c>
      <c r="K615" s="19">
        <v>0</v>
      </c>
      <c r="L615" s="17" t="s">
        <v>28</v>
      </c>
    </row>
    <row r="616" ht="10.95" customHeight="true" customFormat="true" s="9">
      <c r="A616" s="16">
        <v>45392</v>
      </c>
      <c r="B616" s="17" t="s">
        <v>78</v>
      </c>
      <c r="C616" s="17" t="s">
        <v>70</v>
      </c>
      <c r="D616" s="17" t="s">
        <v>22</v>
      </c>
      <c r="E616" s="17" t="s">
        <v>115</v>
      </c>
      <c r="F616" s="17"/>
      <c r="G616" s="18">
        <v>1611.5000</v>
      </c>
      <c r="H616" s="18">
        <v>0</v>
      </c>
      <c r="I616" s="18">
        <f ca="1">((I615 + G616) - H616)</f>
        <v>0</v>
      </c>
      <c r="J616" s="18">
        <v>161.1500</v>
      </c>
      <c r="K616" s="19">
        <v>10.0000</v>
      </c>
      <c r="L616" s="17" t="s">
        <v>80</v>
      </c>
    </row>
    <row r="617" ht="10.95" customHeight="true" customFormat="true" s="9">
      <c r="A617" s="16">
        <v>45392</v>
      </c>
      <c r="B617" s="17" t="s">
        <v>78</v>
      </c>
      <c r="C617" s="17" t="s">
        <v>70</v>
      </c>
      <c r="D617" s="17" t="s">
        <v>22</v>
      </c>
      <c r="E617" s="17" t="s">
        <v>115</v>
      </c>
      <c r="F617" s="17"/>
      <c r="G617" s="18">
        <v>30.7100</v>
      </c>
      <c r="H617" s="18">
        <v>0</v>
      </c>
      <c r="I617" s="18">
        <f ca="1">((I616 + G617) - H617)</f>
        <v>0</v>
      </c>
      <c r="J617" s="18">
        <v>0</v>
      </c>
      <c r="K617" s="19">
        <v>0</v>
      </c>
      <c r="L617" s="17" t="s">
        <v>28</v>
      </c>
    </row>
    <row r="618" ht="10.95" customHeight="true" customFormat="true" s="9">
      <c r="A618" s="16">
        <v>45394</v>
      </c>
      <c r="B618" s="17" t="s">
        <v>78</v>
      </c>
      <c r="C618" s="17" t="s">
        <v>70</v>
      </c>
      <c r="D618" s="17" t="s">
        <v>22</v>
      </c>
      <c r="E618" s="17" t="s">
        <v>109</v>
      </c>
      <c r="F618" s="17"/>
      <c r="G618" s="18">
        <v>922.6300</v>
      </c>
      <c r="H618" s="18">
        <v>0</v>
      </c>
      <c r="I618" s="18">
        <f ca="1">((I617 + G618) - H618)</f>
        <v>0</v>
      </c>
      <c r="J618" s="18">
        <v>0</v>
      </c>
      <c r="K618" s="19">
        <v>0</v>
      </c>
      <c r="L618" s="17" t="s">
        <v>28</v>
      </c>
    </row>
    <row r="619" ht="10.95" customHeight="true" customFormat="true" s="9">
      <c r="A619" s="16">
        <v>45394</v>
      </c>
      <c r="B619" s="17" t="s">
        <v>78</v>
      </c>
      <c r="C619" s="17" t="s">
        <v>70</v>
      </c>
      <c r="D619" s="17" t="s">
        <v>22</v>
      </c>
      <c r="E619" s="17" t="s">
        <v>122</v>
      </c>
      <c r="F619" s="17"/>
      <c r="G619" s="18">
        <v>1633.5500</v>
      </c>
      <c r="H619" s="18">
        <v>0</v>
      </c>
      <c r="I619" s="18">
        <f ca="1">((I618 + G619) - H619)</f>
        <v>0</v>
      </c>
      <c r="J619" s="18">
        <v>163.3500</v>
      </c>
      <c r="K619" s="19">
        <v>10.0000</v>
      </c>
      <c r="L619" s="17" t="s">
        <v>80</v>
      </c>
    </row>
    <row r="620" ht="10.95" customHeight="true" customFormat="true" s="9">
      <c r="A620" s="16">
        <v>45394</v>
      </c>
      <c r="B620" s="17" t="s">
        <v>78</v>
      </c>
      <c r="C620" s="17" t="s">
        <v>70</v>
      </c>
      <c r="D620" s="17" t="s">
        <v>22</v>
      </c>
      <c r="E620" s="17" t="s">
        <v>127</v>
      </c>
      <c r="F620" s="17"/>
      <c r="G620" s="18">
        <v>296.4900</v>
      </c>
      <c r="H620" s="18">
        <v>0</v>
      </c>
      <c r="I620" s="18">
        <f ca="1">((I619 + G620) - H620)</f>
        <v>0</v>
      </c>
      <c r="J620" s="18">
        <v>0</v>
      </c>
      <c r="K620" s="19">
        <v>0</v>
      </c>
      <c r="L620" s="17" t="s">
        <v>28</v>
      </c>
    </row>
    <row r="621" ht="10.95" customHeight="true" customFormat="true" s="9">
      <c r="A621" s="16">
        <v>45397</v>
      </c>
      <c r="B621" s="17" t="s">
        <v>78</v>
      </c>
      <c r="C621" s="17" t="s">
        <v>70</v>
      </c>
      <c r="D621" s="17" t="s">
        <v>22</v>
      </c>
      <c r="E621" s="17" t="s">
        <v>128</v>
      </c>
      <c r="F621" s="17"/>
      <c r="G621" s="18">
        <v>9.8000</v>
      </c>
      <c r="H621" s="18">
        <v>0</v>
      </c>
      <c r="I621" s="18">
        <f ca="1">((I620 + G621) - H621)</f>
        <v>0</v>
      </c>
      <c r="J621" s="18">
        <v>0.9800</v>
      </c>
      <c r="K621" s="19">
        <v>10.0000</v>
      </c>
      <c r="L621" s="17" t="s">
        <v>80</v>
      </c>
    </row>
    <row r="622" ht="10.95" customHeight="true" customFormat="true" s="9">
      <c r="A622" s="16">
        <v>45397</v>
      </c>
      <c r="B622" s="17" t="s">
        <v>78</v>
      </c>
      <c r="C622" s="17" t="s">
        <v>70</v>
      </c>
      <c r="D622" s="17" t="s">
        <v>22</v>
      </c>
      <c r="E622" s="17" t="s">
        <v>128</v>
      </c>
      <c r="F622" s="17"/>
      <c r="G622" s="18">
        <v>30.0200</v>
      </c>
      <c r="H622" s="18">
        <v>0</v>
      </c>
      <c r="I622" s="18">
        <f ca="1">((I621 + G622) - H622)</f>
        <v>0</v>
      </c>
      <c r="J622" s="18">
        <v>0</v>
      </c>
      <c r="K622" s="19">
        <v>0</v>
      </c>
      <c r="L622" s="17" t="s">
        <v>28</v>
      </c>
    </row>
    <row r="623" ht="10.95" customHeight="true" customFormat="true" s="9">
      <c r="A623" s="16">
        <v>45398</v>
      </c>
      <c r="B623" s="17" t="s">
        <v>78</v>
      </c>
      <c r="C623" s="17" t="s">
        <v>70</v>
      </c>
      <c r="D623" s="17" t="s">
        <v>22</v>
      </c>
      <c r="E623" s="17" t="s">
        <v>122</v>
      </c>
      <c r="F623" s="17"/>
      <c r="G623" s="18">
        <v>1492.9700</v>
      </c>
      <c r="H623" s="18">
        <v>0</v>
      </c>
      <c r="I623" s="18">
        <f ca="1">((I622 + G623) - H623)</f>
        <v>0</v>
      </c>
      <c r="J623" s="18">
        <v>149.3000</v>
      </c>
      <c r="K623" s="19">
        <v>10.0000</v>
      </c>
      <c r="L623" s="17" t="s">
        <v>80</v>
      </c>
    </row>
    <row r="624" ht="10.95" customHeight="true" customFormat="true" s="9">
      <c r="A624" s="16">
        <v>45399</v>
      </c>
      <c r="B624" s="17" t="s">
        <v>78</v>
      </c>
      <c r="C624" s="17" t="s">
        <v>70</v>
      </c>
      <c r="D624" s="17" t="s">
        <v>22</v>
      </c>
      <c r="E624" s="17" t="s">
        <v>129</v>
      </c>
      <c r="F624" s="17"/>
      <c r="G624" s="18">
        <v>415.4500</v>
      </c>
      <c r="H624" s="18">
        <v>0</v>
      </c>
      <c r="I624" s="18">
        <f ca="1">((I623 + G624) - H624)</f>
        <v>0</v>
      </c>
      <c r="J624" s="18">
        <v>0</v>
      </c>
      <c r="K624" s="19">
        <v>0</v>
      </c>
      <c r="L624" s="17" t="s">
        <v>28</v>
      </c>
    </row>
    <row r="625" ht="10.95" customHeight="true" customFormat="true" s="9">
      <c r="A625" s="16">
        <v>45401</v>
      </c>
      <c r="B625" s="17" t="s">
        <v>78</v>
      </c>
      <c r="C625" s="17" t="s">
        <v>70</v>
      </c>
      <c r="D625" s="17" t="s">
        <v>22</v>
      </c>
      <c r="E625" s="17" t="s">
        <v>126</v>
      </c>
      <c r="F625" s="17"/>
      <c r="G625" s="18">
        <v>65.0000</v>
      </c>
      <c r="H625" s="18">
        <v>0</v>
      </c>
      <c r="I625" s="18">
        <f ca="1">((I624 + G625) - H625)</f>
        <v>0</v>
      </c>
      <c r="J625" s="18">
        <v>0</v>
      </c>
      <c r="K625" s="19">
        <v>0</v>
      </c>
      <c r="L625" s="17" t="s">
        <v>28</v>
      </c>
    </row>
    <row r="626" ht="10.95" customHeight="true" customFormat="true" s="9">
      <c r="A626" s="16">
        <v>45401</v>
      </c>
      <c r="B626" s="17" t="s">
        <v>78</v>
      </c>
      <c r="C626" s="17" t="s">
        <v>70</v>
      </c>
      <c r="D626" s="17" t="s">
        <v>22</v>
      </c>
      <c r="E626" s="17" t="s">
        <v>125</v>
      </c>
      <c r="F626" s="17"/>
      <c r="G626" s="18">
        <v>1559.3100</v>
      </c>
      <c r="H626" s="18">
        <v>0</v>
      </c>
      <c r="I626" s="18">
        <f ca="1">((I625 + G626) - H626)</f>
        <v>0</v>
      </c>
      <c r="J626" s="18">
        <v>155.9300</v>
      </c>
      <c r="K626" s="19">
        <v>10.0000</v>
      </c>
      <c r="L626" s="17" t="s">
        <v>80</v>
      </c>
    </row>
    <row r="627" ht="10.95" customHeight="true" customFormat="true" s="9">
      <c r="A627" s="16">
        <v>45406</v>
      </c>
      <c r="B627" s="17" t="s">
        <v>78</v>
      </c>
      <c r="C627" s="17" t="s">
        <v>70</v>
      </c>
      <c r="D627" s="17" t="s">
        <v>22</v>
      </c>
      <c r="E627" s="17" t="s">
        <v>115</v>
      </c>
      <c r="F627" s="17"/>
      <c r="G627" s="18">
        <v>2132.5700</v>
      </c>
      <c r="H627" s="18">
        <v>0</v>
      </c>
      <c r="I627" s="18">
        <f ca="1">((I626 + G627) - H627)</f>
        <v>0</v>
      </c>
      <c r="J627" s="18">
        <v>213.2600</v>
      </c>
      <c r="K627" s="19">
        <v>10.0000</v>
      </c>
      <c r="L627" s="17" t="s">
        <v>80</v>
      </c>
    </row>
    <row r="628" ht="10.95" customHeight="true" customFormat="true" s="9">
      <c r="A628" s="16">
        <v>45406</v>
      </c>
      <c r="B628" s="17" t="s">
        <v>78</v>
      </c>
      <c r="C628" s="17" t="s">
        <v>70</v>
      </c>
      <c r="D628" s="17" t="s">
        <v>22</v>
      </c>
      <c r="E628" s="17" t="s">
        <v>118</v>
      </c>
      <c r="F628" s="17"/>
      <c r="G628" s="18">
        <v>292.5000</v>
      </c>
      <c r="H628" s="18">
        <v>0</v>
      </c>
      <c r="I628" s="18">
        <f ca="1">((I627 + G628) - H628)</f>
        <v>0</v>
      </c>
      <c r="J628" s="18">
        <v>29.2500</v>
      </c>
      <c r="K628" s="19">
        <v>10.0000</v>
      </c>
      <c r="L628" s="17" t="s">
        <v>80</v>
      </c>
    </row>
    <row r="629" ht="10.95" customHeight="true" customFormat="true" s="9">
      <c r="A629" s="16">
        <v>45408</v>
      </c>
      <c r="B629" s="17" t="s">
        <v>78</v>
      </c>
      <c r="C629" s="17" t="s">
        <v>70</v>
      </c>
      <c r="D629" s="17" t="s">
        <v>22</v>
      </c>
      <c r="E629" s="17" t="s">
        <v>125</v>
      </c>
      <c r="F629" s="17"/>
      <c r="G629" s="18">
        <v>1840.3700</v>
      </c>
      <c r="H629" s="18">
        <v>0</v>
      </c>
      <c r="I629" s="18">
        <f ca="1">((I628 + G629) - H629)</f>
        <v>0</v>
      </c>
      <c r="J629" s="18">
        <v>184.0400</v>
      </c>
      <c r="K629" s="19">
        <v>10.0000</v>
      </c>
      <c r="L629" s="17" t="s">
        <v>80</v>
      </c>
    </row>
    <row r="630" ht="10.95" customHeight="true" customFormat="true" s="9">
      <c r="A630" s="16">
        <v>45412</v>
      </c>
      <c r="B630" s="17" t="s">
        <v>78</v>
      </c>
      <c r="C630" s="17" t="s">
        <v>70</v>
      </c>
      <c r="D630" s="17" t="s">
        <v>22</v>
      </c>
      <c r="E630" s="17" t="s">
        <v>119</v>
      </c>
      <c r="F630" s="17"/>
      <c r="G630" s="18">
        <v>65.0000</v>
      </c>
      <c r="H630" s="18">
        <v>0</v>
      </c>
      <c r="I630" s="18">
        <f ca="1">((I629 + G630) - H630)</f>
        <v>0</v>
      </c>
      <c r="J630" s="18">
        <v>0</v>
      </c>
      <c r="K630" s="19">
        <v>0</v>
      </c>
      <c r="L630" s="17" t="s">
        <v>28</v>
      </c>
    </row>
    <row r="631" ht="10.95" customHeight="true" customFormat="true" s="9">
      <c r="A631" s="16">
        <v>45413</v>
      </c>
      <c r="B631" s="17" t="s">
        <v>78</v>
      </c>
      <c r="C631" s="17" t="s">
        <v>70</v>
      </c>
      <c r="D631" s="17" t="s">
        <v>22</v>
      </c>
      <c r="E631" s="17" t="s">
        <v>109</v>
      </c>
      <c r="F631" s="17"/>
      <c r="G631" s="18">
        <v>818.3100</v>
      </c>
      <c r="H631" s="18">
        <v>0</v>
      </c>
      <c r="I631" s="18">
        <f ca="1">((I630 + G631) - H631)</f>
        <v>0</v>
      </c>
      <c r="J631" s="18">
        <v>0</v>
      </c>
      <c r="K631" s="19">
        <v>0</v>
      </c>
      <c r="L631" s="17" t="s">
        <v>28</v>
      </c>
    </row>
    <row r="632" ht="10.95" customHeight="true" customFormat="true" s="9">
      <c r="A632" s="16">
        <v>45413</v>
      </c>
      <c r="B632" s="17" t="s">
        <v>78</v>
      </c>
      <c r="C632" s="17" t="s">
        <v>70</v>
      </c>
      <c r="D632" s="17" t="s">
        <v>22</v>
      </c>
      <c r="E632" s="17" t="s">
        <v>109</v>
      </c>
      <c r="F632" s="17"/>
      <c r="G632" s="18">
        <v>39.6300</v>
      </c>
      <c r="H632" s="18">
        <v>0</v>
      </c>
      <c r="I632" s="18">
        <f ca="1">((I631 + G632) - H632)</f>
        <v>0</v>
      </c>
      <c r="J632" s="18">
        <v>0</v>
      </c>
      <c r="K632" s="19">
        <v>0</v>
      </c>
      <c r="L632" s="17" t="s">
        <v>28</v>
      </c>
    </row>
    <row r="633" ht="10.95" customHeight="true" customFormat="true" s="9">
      <c r="A633" s="16">
        <v>45418</v>
      </c>
      <c r="B633" s="17" t="s">
        <v>78</v>
      </c>
      <c r="C633" s="17" t="s">
        <v>70</v>
      </c>
      <c r="D633" s="17" t="s">
        <v>22</v>
      </c>
      <c r="E633" s="17" t="s">
        <v>125</v>
      </c>
      <c r="F633" s="17"/>
      <c r="G633" s="18">
        <v>2350.1100</v>
      </c>
      <c r="H633" s="18">
        <v>0</v>
      </c>
      <c r="I633" s="18">
        <f ca="1">((I632 + G633) - H633)</f>
        <v>0</v>
      </c>
      <c r="J633" s="18">
        <v>235.0100</v>
      </c>
      <c r="K633" s="19">
        <v>10.0000</v>
      </c>
      <c r="L633" s="17" t="s">
        <v>80</v>
      </c>
    </row>
    <row r="634" ht="10.95" customHeight="true" customFormat="true" s="9">
      <c r="A634" s="16">
        <v>45418</v>
      </c>
      <c r="B634" s="17" t="s">
        <v>78</v>
      </c>
      <c r="C634" s="17" t="s">
        <v>70</v>
      </c>
      <c r="D634" s="17" t="s">
        <v>22</v>
      </c>
      <c r="E634" s="17" t="s">
        <v>115</v>
      </c>
      <c r="F634" s="17"/>
      <c r="G634" s="18">
        <v>925.3900</v>
      </c>
      <c r="H634" s="18">
        <v>0</v>
      </c>
      <c r="I634" s="18">
        <f ca="1">((I633 + G634) - H634)</f>
        <v>0</v>
      </c>
      <c r="J634" s="18">
        <v>92.5400</v>
      </c>
      <c r="K634" s="19">
        <v>10.0000</v>
      </c>
      <c r="L634" s="17" t="s">
        <v>80</v>
      </c>
    </row>
    <row r="635" ht="10.95" customHeight="true" customFormat="true" s="9">
      <c r="A635" s="16">
        <v>45420</v>
      </c>
      <c r="B635" s="17" t="s">
        <v>78</v>
      </c>
      <c r="C635" s="17" t="s">
        <v>70</v>
      </c>
      <c r="D635" s="17" t="s">
        <v>22</v>
      </c>
      <c r="E635" s="17" t="s">
        <v>125</v>
      </c>
      <c r="F635" s="17"/>
      <c r="G635" s="18">
        <v>1004.8500</v>
      </c>
      <c r="H635" s="18">
        <v>0</v>
      </c>
      <c r="I635" s="18">
        <f ca="1">((I634 + G635) - H635)</f>
        <v>0</v>
      </c>
      <c r="J635" s="18">
        <v>100.4800</v>
      </c>
      <c r="K635" s="19">
        <v>10.0000</v>
      </c>
      <c r="L635" s="17" t="s">
        <v>80</v>
      </c>
    </row>
    <row r="636" ht="10.95" customHeight="true" customFormat="true" s="9">
      <c r="A636" s="16">
        <v>45425</v>
      </c>
      <c r="B636" s="17" t="s">
        <v>78</v>
      </c>
      <c r="C636" s="17" t="s">
        <v>70</v>
      </c>
      <c r="D636" s="17" t="s">
        <v>22</v>
      </c>
      <c r="E636" s="17" t="s">
        <v>125</v>
      </c>
      <c r="F636" s="17"/>
      <c r="G636" s="18">
        <v>2204.3800</v>
      </c>
      <c r="H636" s="18">
        <v>0</v>
      </c>
      <c r="I636" s="18">
        <f ca="1">((I635 + G636) - H636)</f>
        <v>0</v>
      </c>
      <c r="J636" s="18">
        <v>220.4400</v>
      </c>
      <c r="K636" s="19">
        <v>10.0000</v>
      </c>
      <c r="L636" s="17" t="s">
        <v>80</v>
      </c>
    </row>
    <row r="637" ht="10.95" customHeight="true" customFormat="true" s="9">
      <c r="A637" s="16">
        <v>45425</v>
      </c>
      <c r="B637" s="17" t="s">
        <v>78</v>
      </c>
      <c r="C637" s="17" t="s">
        <v>70</v>
      </c>
      <c r="D637" s="17" t="s">
        <v>22</v>
      </c>
      <c r="E637" s="17" t="s">
        <v>130</v>
      </c>
      <c r="F637" s="17"/>
      <c r="G637" s="18">
        <v>130.0000</v>
      </c>
      <c r="H637" s="18">
        <v>0</v>
      </c>
      <c r="I637" s="18">
        <f ca="1">((I636 + G637) - H637)</f>
        <v>0</v>
      </c>
      <c r="J637" s="18">
        <v>0</v>
      </c>
      <c r="K637" s="19">
        <v>0</v>
      </c>
      <c r="L637" s="17" t="s">
        <v>28</v>
      </c>
    </row>
    <row r="638" ht="10.95" customHeight="true" customFormat="true" s="9">
      <c r="A638" s="16">
        <v>45427</v>
      </c>
      <c r="B638" s="17" t="s">
        <v>78</v>
      </c>
      <c r="C638" s="17" t="s">
        <v>70</v>
      </c>
      <c r="D638" s="17" t="s">
        <v>22</v>
      </c>
      <c r="E638" s="17" t="s">
        <v>109</v>
      </c>
      <c r="F638" s="17"/>
      <c r="G638" s="18">
        <v>954.6300</v>
      </c>
      <c r="H638" s="18">
        <v>0</v>
      </c>
      <c r="I638" s="18">
        <f ca="1">((I637 + G638) - H638)</f>
        <v>0</v>
      </c>
      <c r="J638" s="18">
        <v>0</v>
      </c>
      <c r="K638" s="19">
        <v>0</v>
      </c>
      <c r="L638" s="17" t="s">
        <v>28</v>
      </c>
    </row>
    <row r="639" ht="10.95" customHeight="true" customFormat="true" s="9">
      <c r="A639" s="16">
        <v>45432</v>
      </c>
      <c r="B639" s="17" t="s">
        <v>78</v>
      </c>
      <c r="C639" s="17" t="s">
        <v>70</v>
      </c>
      <c r="D639" s="17" t="s">
        <v>22</v>
      </c>
      <c r="E639" s="17" t="s">
        <v>115</v>
      </c>
      <c r="F639" s="17"/>
      <c r="G639" s="18">
        <v>1475.2300</v>
      </c>
      <c r="H639" s="18">
        <v>0</v>
      </c>
      <c r="I639" s="18">
        <f ca="1">((I638 + G639) - H639)</f>
        <v>0</v>
      </c>
      <c r="J639" s="18">
        <v>147.5200</v>
      </c>
      <c r="K639" s="19">
        <v>10.0000</v>
      </c>
      <c r="L639" s="17" t="s">
        <v>80</v>
      </c>
    </row>
    <row r="640" ht="10.95" customHeight="true" customFormat="true" s="9">
      <c r="A640" s="16">
        <v>45432</v>
      </c>
      <c r="B640" s="17" t="s">
        <v>78</v>
      </c>
      <c r="C640" s="17" t="s">
        <v>70</v>
      </c>
      <c r="D640" s="17" t="s">
        <v>22</v>
      </c>
      <c r="E640" s="17" t="s">
        <v>125</v>
      </c>
      <c r="F640" s="17"/>
      <c r="G640" s="18">
        <v>1631.4000</v>
      </c>
      <c r="H640" s="18">
        <v>0</v>
      </c>
      <c r="I640" s="18">
        <f ca="1">((I639 + G640) - H640)</f>
        <v>0</v>
      </c>
      <c r="J640" s="18">
        <v>163.1400</v>
      </c>
      <c r="K640" s="19">
        <v>10.0000</v>
      </c>
      <c r="L640" s="17" t="s">
        <v>80</v>
      </c>
    </row>
    <row r="641" ht="10.95" customHeight="true" customFormat="true" s="9">
      <c r="A641" s="16">
        <v>45432</v>
      </c>
      <c r="B641" s="17" t="s">
        <v>78</v>
      </c>
      <c r="C641" s="17" t="s">
        <v>70</v>
      </c>
      <c r="D641" s="17" t="s">
        <v>22</v>
      </c>
      <c r="E641" s="17" t="s">
        <v>125</v>
      </c>
      <c r="F641" s="17"/>
      <c r="G641" s="18">
        <v>30.8400</v>
      </c>
      <c r="H641" s="18">
        <v>0</v>
      </c>
      <c r="I641" s="18">
        <f ca="1">((I640 + G641) - H641)</f>
        <v>0</v>
      </c>
      <c r="J641" s="18">
        <v>0</v>
      </c>
      <c r="K641" s="19">
        <v>0</v>
      </c>
      <c r="L641" s="17" t="s">
        <v>28</v>
      </c>
    </row>
    <row r="642" ht="10.95" customHeight="true" customFormat="true" s="9">
      <c r="A642" s="16">
        <v>45435</v>
      </c>
      <c r="B642" s="17" t="s">
        <v>78</v>
      </c>
      <c r="C642" s="17" t="s">
        <v>70</v>
      </c>
      <c r="D642" s="17" t="s">
        <v>22</v>
      </c>
      <c r="E642" s="17" t="s">
        <v>125</v>
      </c>
      <c r="F642" s="17"/>
      <c r="G642" s="18">
        <v>1604.5000</v>
      </c>
      <c r="H642" s="18">
        <v>0</v>
      </c>
      <c r="I642" s="18">
        <f ca="1">((I641 + G642) - H642)</f>
        <v>0</v>
      </c>
      <c r="J642" s="18">
        <v>160.4500</v>
      </c>
      <c r="K642" s="19">
        <v>10.0000</v>
      </c>
      <c r="L642" s="17" t="s">
        <v>80</v>
      </c>
    </row>
    <row r="643" ht="10.95" customHeight="true" customFormat="true" s="9">
      <c r="A643" s="16">
        <v>45435</v>
      </c>
      <c r="B643" s="17" t="s">
        <v>78</v>
      </c>
      <c r="C643" s="17" t="s">
        <v>70</v>
      </c>
      <c r="D643" s="17" t="s">
        <v>22</v>
      </c>
      <c r="E643" s="17" t="s">
        <v>125</v>
      </c>
      <c r="F643" s="17"/>
      <c r="G643" s="18">
        <v>30.7100</v>
      </c>
      <c r="H643" s="18">
        <v>0</v>
      </c>
      <c r="I643" s="18">
        <f ca="1">((I642 + G643) - H643)</f>
        <v>0</v>
      </c>
      <c r="J643" s="18">
        <v>0</v>
      </c>
      <c r="K643" s="19">
        <v>0</v>
      </c>
      <c r="L643" s="17" t="s">
        <v>28</v>
      </c>
    </row>
    <row r="644" ht="10.95" customHeight="true" customFormat="true" s="9">
      <c r="A644" s="16">
        <v>45436</v>
      </c>
      <c r="B644" s="17" t="s">
        <v>78</v>
      </c>
      <c r="C644" s="17" t="s">
        <v>70</v>
      </c>
      <c r="D644" s="17" t="s">
        <v>22</v>
      </c>
      <c r="E644" s="17" t="s">
        <v>122</v>
      </c>
      <c r="F644" s="17"/>
      <c r="G644" s="18">
        <v>1975.3600</v>
      </c>
      <c r="H644" s="18">
        <v>0</v>
      </c>
      <c r="I644" s="18">
        <f ca="1">((I643 + G644) - H644)</f>
        <v>0</v>
      </c>
      <c r="J644" s="18">
        <v>197.5400</v>
      </c>
      <c r="K644" s="19">
        <v>10.0000</v>
      </c>
      <c r="L644" s="17" t="s">
        <v>80</v>
      </c>
    </row>
    <row r="645" ht="10.95" customHeight="true" customFormat="true" s="9">
      <c r="A645" s="16">
        <v>45441</v>
      </c>
      <c r="B645" s="17" t="s">
        <v>78</v>
      </c>
      <c r="C645" s="17" t="s">
        <v>70</v>
      </c>
      <c r="D645" s="17" t="s">
        <v>22</v>
      </c>
      <c r="E645" s="17" t="s">
        <v>109</v>
      </c>
      <c r="F645" s="17"/>
      <c r="G645" s="18">
        <v>754.5600</v>
      </c>
      <c r="H645" s="18">
        <v>0</v>
      </c>
      <c r="I645" s="18">
        <f ca="1">((I644 + G645) - H645)</f>
        <v>0</v>
      </c>
      <c r="J645" s="18">
        <v>0</v>
      </c>
      <c r="K645" s="19">
        <v>0</v>
      </c>
      <c r="L645" s="17" t="s">
        <v>28</v>
      </c>
    </row>
    <row r="646" ht="10.95" customHeight="true" customFormat="true" s="9">
      <c r="A646" s="16">
        <v>45441</v>
      </c>
      <c r="B646" s="17" t="s">
        <v>78</v>
      </c>
      <c r="C646" s="17" t="s">
        <v>70</v>
      </c>
      <c r="D646" s="17" t="s">
        <v>22</v>
      </c>
      <c r="E646" s="17" t="s">
        <v>125</v>
      </c>
      <c r="F646" s="17"/>
      <c r="G646" s="18">
        <v>1480.8000</v>
      </c>
      <c r="H646" s="18">
        <v>0</v>
      </c>
      <c r="I646" s="18">
        <f ca="1">((I645 + G646) - H646)</f>
        <v>0</v>
      </c>
      <c r="J646" s="18">
        <v>148.0800</v>
      </c>
      <c r="K646" s="19">
        <v>10.0000</v>
      </c>
      <c r="L646" s="17" t="s">
        <v>80</v>
      </c>
    </row>
    <row r="647" ht="10.95" customHeight="true" customFormat="true" s="9">
      <c r="A647" s="16">
        <v>45443</v>
      </c>
      <c r="B647" s="17" t="s">
        <v>78</v>
      </c>
      <c r="C647" s="17" t="s">
        <v>70</v>
      </c>
      <c r="D647" s="17" t="s">
        <v>22</v>
      </c>
      <c r="E647" s="17" t="s">
        <v>84</v>
      </c>
      <c r="F647" s="17"/>
      <c r="G647" s="18">
        <v>135.3700</v>
      </c>
      <c r="H647" s="18">
        <v>0</v>
      </c>
      <c r="I647" s="18">
        <f ca="1">((I646 + G647) - H647)</f>
        <v>0</v>
      </c>
      <c r="J647" s="18">
        <v>0</v>
      </c>
      <c r="K647" s="19">
        <v>0</v>
      </c>
      <c r="L647" s="17" t="s">
        <v>28</v>
      </c>
    </row>
    <row r="648" ht="10.95" customHeight="true" customFormat="true" s="9">
      <c r="A648" s="16">
        <v>45446</v>
      </c>
      <c r="B648" s="17" t="s">
        <v>78</v>
      </c>
      <c r="C648" s="17" t="s">
        <v>70</v>
      </c>
      <c r="D648" s="17" t="s">
        <v>22</v>
      </c>
      <c r="E648" s="17" t="s">
        <v>116</v>
      </c>
      <c r="F648" s="17"/>
      <c r="G648" s="18">
        <v>517.2000</v>
      </c>
      <c r="H648" s="18">
        <v>0</v>
      </c>
      <c r="I648" s="18">
        <f ca="1">((I647 + G648) - H648)</f>
        <v>0</v>
      </c>
      <c r="J648" s="18">
        <v>0</v>
      </c>
      <c r="K648" s="19">
        <v>0</v>
      </c>
      <c r="L648" s="17" t="s">
        <v>28</v>
      </c>
    </row>
    <row r="649" ht="10.95" customHeight="true" customFormat="true" s="9">
      <c r="A649" s="16">
        <v>45446</v>
      </c>
      <c r="B649" s="17" t="s">
        <v>78</v>
      </c>
      <c r="C649" s="17" t="s">
        <v>70</v>
      </c>
      <c r="D649" s="17" t="s">
        <v>22</v>
      </c>
      <c r="E649" s="17" t="s">
        <v>79</v>
      </c>
      <c r="F649" s="17"/>
      <c r="G649" s="18">
        <v>363.0000</v>
      </c>
      <c r="H649" s="18">
        <v>0</v>
      </c>
      <c r="I649" s="18">
        <f ca="1">((I648 + G649) - H649)</f>
        <v>0</v>
      </c>
      <c r="J649" s="18">
        <v>36.3000</v>
      </c>
      <c r="K649" s="19">
        <v>10.0000</v>
      </c>
      <c r="L649" s="17" t="s">
        <v>80</v>
      </c>
    </row>
    <row r="650" ht="10.95" customHeight="true" customFormat="true" s="9">
      <c r="A650" s="16">
        <v>45446</v>
      </c>
      <c r="B650" s="17" t="s">
        <v>78</v>
      </c>
      <c r="C650" s="17" t="s">
        <v>70</v>
      </c>
      <c r="D650" s="17" t="s">
        <v>22</v>
      </c>
      <c r="E650" s="17" t="s">
        <v>122</v>
      </c>
      <c r="F650" s="17"/>
      <c r="G650" s="18">
        <v>1992.1900</v>
      </c>
      <c r="H650" s="18">
        <v>0</v>
      </c>
      <c r="I650" s="18">
        <f ca="1">((I649 + G650) - H650)</f>
        <v>0</v>
      </c>
      <c r="J650" s="18">
        <v>199.2200</v>
      </c>
      <c r="K650" s="19">
        <v>10.0000</v>
      </c>
      <c r="L650" s="17" t="s">
        <v>80</v>
      </c>
    </row>
    <row r="651" ht="10.95" customHeight="true" customFormat="true" s="9">
      <c r="A651" s="16">
        <v>45446</v>
      </c>
      <c r="B651" s="17" t="s">
        <v>78</v>
      </c>
      <c r="C651" s="17" t="s">
        <v>70</v>
      </c>
      <c r="D651" s="17" t="s">
        <v>22</v>
      </c>
      <c r="E651" s="17" t="s">
        <v>79</v>
      </c>
      <c r="F651" s="17"/>
      <c r="G651" s="18">
        <v>374.8200</v>
      </c>
      <c r="H651" s="18">
        <v>0</v>
      </c>
      <c r="I651" s="18">
        <f ca="1">((I650 + G651) - H651)</f>
        <v>0</v>
      </c>
      <c r="J651" s="18">
        <v>37.4800</v>
      </c>
      <c r="K651" s="19">
        <v>10.0000</v>
      </c>
      <c r="L651" s="17" t="s">
        <v>80</v>
      </c>
    </row>
    <row r="652" ht="10.95" customHeight="true" customFormat="true" s="9">
      <c r="A652" s="16">
        <v>45447</v>
      </c>
      <c r="B652" s="17" t="s">
        <v>78</v>
      </c>
      <c r="C652" s="17" t="s">
        <v>70</v>
      </c>
      <c r="D652" s="17" t="s">
        <v>22</v>
      </c>
      <c r="E652" s="17" t="s">
        <v>125</v>
      </c>
      <c r="F652" s="17"/>
      <c r="G652" s="18">
        <v>1713.1900</v>
      </c>
      <c r="H652" s="18">
        <v>0</v>
      </c>
      <c r="I652" s="18">
        <f ca="1">((I651 + G652) - H652)</f>
        <v>0</v>
      </c>
      <c r="J652" s="18">
        <v>171.3200</v>
      </c>
      <c r="K652" s="19">
        <v>10.0000</v>
      </c>
      <c r="L652" s="17" t="s">
        <v>80</v>
      </c>
    </row>
    <row r="653" ht="10.95" customHeight="true" customFormat="true" s="9">
      <c r="A653" s="16">
        <v>45453</v>
      </c>
      <c r="B653" s="17" t="s">
        <v>78</v>
      </c>
      <c r="C653" s="17" t="s">
        <v>70</v>
      </c>
      <c r="D653" s="17" t="s">
        <v>22</v>
      </c>
      <c r="E653" s="17" t="s">
        <v>125</v>
      </c>
      <c r="F653" s="17"/>
      <c r="G653" s="18">
        <v>2240.6100</v>
      </c>
      <c r="H653" s="18">
        <v>0</v>
      </c>
      <c r="I653" s="18">
        <f ca="1">((I652 + G653) - H653)</f>
        <v>0</v>
      </c>
      <c r="J653" s="18">
        <v>224.0600</v>
      </c>
      <c r="K653" s="19">
        <v>10.0000</v>
      </c>
      <c r="L653" s="17" t="s">
        <v>80</v>
      </c>
    </row>
    <row r="654" ht="10.95" customHeight="true" customFormat="true" s="9">
      <c r="A654" s="16">
        <v>45453</v>
      </c>
      <c r="B654" s="17" t="s">
        <v>78</v>
      </c>
      <c r="C654" s="17" t="s">
        <v>70</v>
      </c>
      <c r="D654" s="17" t="s">
        <v>22</v>
      </c>
      <c r="E654" s="17" t="s">
        <v>79</v>
      </c>
      <c r="F654" s="17"/>
      <c r="G654" s="18">
        <v>395.3000</v>
      </c>
      <c r="H654" s="18">
        <v>0</v>
      </c>
      <c r="I654" s="18">
        <f ca="1">((I653 + G654) - H654)</f>
        <v>0</v>
      </c>
      <c r="J654" s="18">
        <v>0</v>
      </c>
      <c r="K654" s="19">
        <v>0</v>
      </c>
      <c r="L654" s="17" t="s">
        <v>28</v>
      </c>
    </row>
    <row r="655" ht="10.95" customHeight="true" customFormat="true" s="9">
      <c r="A655" s="16">
        <v>45454</v>
      </c>
      <c r="B655" s="17" t="s">
        <v>78</v>
      </c>
      <c r="C655" s="17" t="s">
        <v>70</v>
      </c>
      <c r="D655" s="17" t="s">
        <v>22</v>
      </c>
      <c r="E655" s="17" t="s">
        <v>125</v>
      </c>
      <c r="F655" s="17"/>
      <c r="G655" s="18">
        <v>801.3000</v>
      </c>
      <c r="H655" s="18">
        <v>0</v>
      </c>
      <c r="I655" s="18">
        <f ca="1">((I654 + G655) - H655)</f>
        <v>0</v>
      </c>
      <c r="J655" s="18">
        <v>80.1300</v>
      </c>
      <c r="K655" s="19">
        <v>10.0000</v>
      </c>
      <c r="L655" s="17" t="s">
        <v>80</v>
      </c>
    </row>
    <row r="656" ht="10.95" customHeight="true" customFormat="true" s="9">
      <c r="A656" s="16">
        <v>45454</v>
      </c>
      <c r="B656" s="17" t="s">
        <v>78</v>
      </c>
      <c r="C656" s="17" t="s">
        <v>70</v>
      </c>
      <c r="D656" s="17" t="s">
        <v>22</v>
      </c>
      <c r="E656" s="17" t="s">
        <v>125</v>
      </c>
      <c r="F656" s="17"/>
      <c r="G656" s="18">
        <v>30.8900</v>
      </c>
      <c r="H656" s="18">
        <v>0</v>
      </c>
      <c r="I656" s="18">
        <f ca="1">((I655 + G656) - H656)</f>
        <v>0</v>
      </c>
      <c r="J656" s="18">
        <v>0</v>
      </c>
      <c r="K656" s="19">
        <v>0</v>
      </c>
      <c r="L656" s="17" t="s">
        <v>28</v>
      </c>
    </row>
    <row r="657" ht="10.95" customHeight="true" customFormat="true" s="9">
      <c r="A657" s="16">
        <v>45455</v>
      </c>
      <c r="B657" s="17" t="s">
        <v>78</v>
      </c>
      <c r="C657" s="17" t="s">
        <v>70</v>
      </c>
      <c r="D657" s="17" t="s">
        <v>22</v>
      </c>
      <c r="E657" s="17" t="s">
        <v>109</v>
      </c>
      <c r="F657" s="17"/>
      <c r="G657" s="18">
        <v>530.0000</v>
      </c>
      <c r="H657" s="18">
        <v>0</v>
      </c>
      <c r="I657" s="18">
        <f ca="1">((I656 + G657) - H657)</f>
        <v>0</v>
      </c>
      <c r="J657" s="18">
        <v>0</v>
      </c>
      <c r="K657" s="19">
        <v>0</v>
      </c>
      <c r="L657" s="17" t="s">
        <v>28</v>
      </c>
    </row>
    <row r="658" ht="10.95" customHeight="true" customFormat="true" s="9">
      <c r="A658" s="16">
        <v>45457</v>
      </c>
      <c r="B658" s="17" t="s">
        <v>78</v>
      </c>
      <c r="C658" s="17" t="s">
        <v>70</v>
      </c>
      <c r="D658" s="17" t="s">
        <v>22</v>
      </c>
      <c r="E658" s="17" t="s">
        <v>122</v>
      </c>
      <c r="F658" s="17"/>
      <c r="G658" s="18">
        <v>1649.8300</v>
      </c>
      <c r="H658" s="18">
        <v>0</v>
      </c>
      <c r="I658" s="18">
        <f ca="1">((I657 + G658) - H658)</f>
        <v>0</v>
      </c>
      <c r="J658" s="18">
        <v>164.9800</v>
      </c>
      <c r="K658" s="19">
        <v>10.0000</v>
      </c>
      <c r="L658" s="17" t="s">
        <v>80</v>
      </c>
    </row>
    <row r="659" ht="10.95" customHeight="true" customFormat="true" s="9">
      <c r="A659" s="16">
        <v>45464</v>
      </c>
      <c r="B659" s="17" t="s">
        <v>78</v>
      </c>
      <c r="C659" s="17" t="s">
        <v>70</v>
      </c>
      <c r="D659" s="17" t="s">
        <v>22</v>
      </c>
      <c r="E659" s="17" t="s">
        <v>131</v>
      </c>
      <c r="F659" s="17"/>
      <c r="G659" s="18">
        <v>806.4700</v>
      </c>
      <c r="H659" s="18">
        <v>0</v>
      </c>
      <c r="I659" s="18">
        <f ca="1">((I658 + G659) - H659)</f>
        <v>0</v>
      </c>
      <c r="J659" s="18">
        <v>80.6500</v>
      </c>
      <c r="K659" s="19">
        <v>10.0000</v>
      </c>
      <c r="L659" s="17" t="s">
        <v>80</v>
      </c>
    </row>
    <row r="660" ht="10.95" customHeight="true" customFormat="true" s="9">
      <c r="A660" s="16">
        <v>45464</v>
      </c>
      <c r="B660" s="17" t="s">
        <v>78</v>
      </c>
      <c r="C660" s="17" t="s">
        <v>70</v>
      </c>
      <c r="D660" s="17" t="s">
        <v>22</v>
      </c>
      <c r="E660" s="17" t="s">
        <v>122</v>
      </c>
      <c r="F660" s="17"/>
      <c r="G660" s="18">
        <v>2079.8700</v>
      </c>
      <c r="H660" s="18">
        <v>0</v>
      </c>
      <c r="I660" s="18">
        <f ca="1">((I659 + G660) - H660)</f>
        <v>0</v>
      </c>
      <c r="J660" s="18">
        <v>207.9900</v>
      </c>
      <c r="K660" s="19">
        <v>10.0000</v>
      </c>
      <c r="L660" s="17" t="s">
        <v>80</v>
      </c>
    </row>
    <row r="661" ht="10.95" customHeight="true" customFormat="true" s="9">
      <c r="A661" s="16">
        <v>45464</v>
      </c>
      <c r="B661" s="17" t="s">
        <v>78</v>
      </c>
      <c r="C661" s="17" t="s">
        <v>70</v>
      </c>
      <c r="D661" s="17" t="s">
        <v>22</v>
      </c>
      <c r="E661" s="17" t="s">
        <v>125</v>
      </c>
      <c r="F661" s="17"/>
      <c r="G661" s="18">
        <v>1544.0400</v>
      </c>
      <c r="H661" s="18">
        <v>0</v>
      </c>
      <c r="I661" s="18">
        <f ca="1">((I660 + G661) - H661)</f>
        <v>0</v>
      </c>
      <c r="J661" s="18">
        <v>154.4000</v>
      </c>
      <c r="K661" s="19">
        <v>10.0000</v>
      </c>
      <c r="L661" s="17" t="s">
        <v>80</v>
      </c>
    </row>
    <row r="662" ht="10.95" customHeight="true" customFormat="true" s="9">
      <c r="A662" s="16">
        <v>45464</v>
      </c>
      <c r="B662" s="17" t="s">
        <v>78</v>
      </c>
      <c r="C662" s="17" t="s">
        <v>70</v>
      </c>
      <c r="D662" s="17" t="s">
        <v>22</v>
      </c>
      <c r="E662" s="17" t="s">
        <v>129</v>
      </c>
      <c r="F662" s="17"/>
      <c r="G662" s="18">
        <v>549.6000</v>
      </c>
      <c r="H662" s="18">
        <v>0</v>
      </c>
      <c r="I662" s="18">
        <f ca="1">((I661 + G662) - H662)</f>
        <v>0</v>
      </c>
      <c r="J662" s="18">
        <v>0</v>
      </c>
      <c r="K662" s="19">
        <v>0</v>
      </c>
      <c r="L662" s="17" t="s">
        <v>28</v>
      </c>
    </row>
    <row r="663" ht="10.95" customHeight="true" customFormat="true" s="9">
      <c r="A663" s="16">
        <v>45467</v>
      </c>
      <c r="B663" s="17" t="s">
        <v>78</v>
      </c>
      <c r="C663" s="17" t="s">
        <v>70</v>
      </c>
      <c r="D663" s="17" t="s">
        <v>22</v>
      </c>
      <c r="E663" s="17" t="s">
        <v>132</v>
      </c>
      <c r="F663" s="17"/>
      <c r="G663" s="18">
        <v>172.0000</v>
      </c>
      <c r="H663" s="18">
        <v>0</v>
      </c>
      <c r="I663" s="18">
        <f ca="1">((I662 + G663) - H663)</f>
        <v>0</v>
      </c>
      <c r="J663" s="18">
        <v>0</v>
      </c>
      <c r="K663" s="19">
        <v>0</v>
      </c>
      <c r="L663" s="17" t="s">
        <v>28</v>
      </c>
    </row>
    <row r="664" ht="10.95" customHeight="true" customFormat="true" s="9">
      <c r="A664" s="16">
        <v>45467</v>
      </c>
      <c r="B664" s="17" t="s">
        <v>78</v>
      </c>
      <c r="C664" s="17" t="s">
        <v>70</v>
      </c>
      <c r="D664" s="17" t="s">
        <v>22</v>
      </c>
      <c r="E664" s="17" t="s">
        <v>109</v>
      </c>
      <c r="F664" s="17"/>
      <c r="G664" s="18">
        <v>548.6300</v>
      </c>
      <c r="H664" s="18">
        <v>0</v>
      </c>
      <c r="I664" s="18">
        <f ca="1">((I663 + G664) - H664)</f>
        <v>0</v>
      </c>
      <c r="J664" s="18">
        <v>0</v>
      </c>
      <c r="K664" s="19">
        <v>0</v>
      </c>
      <c r="L664" s="17" t="s">
        <v>28</v>
      </c>
    </row>
    <row r="665" ht="10.95" customHeight="true" customFormat="true" s="9">
      <c r="A665" s="16">
        <v>45471</v>
      </c>
      <c r="B665" s="17" t="s">
        <v>78</v>
      </c>
      <c r="C665" s="17" t="s">
        <v>70</v>
      </c>
      <c r="D665" s="17" t="s">
        <v>22</v>
      </c>
      <c r="E665" s="17" t="s">
        <v>125</v>
      </c>
      <c r="F665" s="17"/>
      <c r="G665" s="18">
        <v>1363.2200</v>
      </c>
      <c r="H665" s="18">
        <v>0</v>
      </c>
      <c r="I665" s="18">
        <f ca="1">((I664 + G665) - H665)</f>
        <v>0</v>
      </c>
      <c r="J665" s="18">
        <v>136.3200</v>
      </c>
      <c r="K665" s="19">
        <v>10.0000</v>
      </c>
      <c r="L665" s="17" t="s">
        <v>80</v>
      </c>
    </row>
    <row r="666" ht="10.95" customHeight="true" customFormat="true" s="9">
      <c r="A666" s="16">
        <v>45471</v>
      </c>
      <c r="B666" s="17" t="s">
        <v>78</v>
      </c>
      <c r="C666" s="17" t="s">
        <v>70</v>
      </c>
      <c r="D666" s="17" t="s">
        <v>22</v>
      </c>
      <c r="E666" s="17" t="s">
        <v>115</v>
      </c>
      <c r="F666" s="17"/>
      <c r="G666" s="18">
        <v>2279.8000</v>
      </c>
      <c r="H666" s="18">
        <v>0</v>
      </c>
      <c r="I666" s="18">
        <f ca="1">((I665 + G666) - H666)</f>
        <v>0</v>
      </c>
      <c r="J666" s="18">
        <v>227.9800</v>
      </c>
      <c r="K666" s="19">
        <v>10.0000</v>
      </c>
      <c r="L666" s="17" t="s">
        <v>80</v>
      </c>
    </row>
    <row r="667" ht="10.95" customHeight="true" customFormat="true" s="9">
      <c r="A667" s="16">
        <v>45471</v>
      </c>
      <c r="B667" s="17" t="s">
        <v>78</v>
      </c>
      <c r="C667" s="17" t="s">
        <v>70</v>
      </c>
      <c r="D667" s="17" t="s">
        <v>22</v>
      </c>
      <c r="E667" s="17" t="s">
        <v>115</v>
      </c>
      <c r="F667" s="17"/>
      <c r="G667" s="18">
        <v>30.8800</v>
      </c>
      <c r="H667" s="18">
        <v>0</v>
      </c>
      <c r="I667" s="18">
        <f ca="1">((I666 + G667) - H667)</f>
        <v>0</v>
      </c>
      <c r="J667" s="18">
        <v>0</v>
      </c>
      <c r="K667" s="19">
        <v>0</v>
      </c>
      <c r="L667" s="17" t="s">
        <v>28</v>
      </c>
    </row>
    <row r="668" ht="10.95" customHeight="true" customFormat="true" s="9">
      <c r="A668" s="20" t="s">
        <v>133</v>
      </c>
      <c r="B668" s="20"/>
      <c r="C668" s="20"/>
      <c r="D668" s="20"/>
      <c r="E668" s="20"/>
      <c r="F668" s="20"/>
      <c r="G668" s="21">
        <f ca="1">SUM(G450:G667)</f>
        <v>0</v>
      </c>
      <c r="H668" s="21">
        <f ca="1">SUM(H450:H667)</f>
        <v>0</v>
      </c>
      <c r="I668" s="21">
        <f ca="1">I667</f>
        <v>0</v>
      </c>
      <c r="J668" s="21">
        <f ca="1">SUM(J450:J667)</f>
        <v>0</v>
      </c>
      <c r="K668" s="20"/>
      <c r="L668" s="20"/>
    </row>
    <row r="669" ht="10.95" customHeight="true" customFormat="true" s="9">
      <c r="A669" s="20" t="s">
        <v>53</v>
      </c>
      <c r="B669" s="20"/>
      <c r="C669" s="20"/>
      <c r="D669" s="20"/>
      <c r="E669" s="20"/>
      <c r="F669" s="20"/>
      <c r="G669" s="21">
        <v>197158.1600</v>
      </c>
      <c r="H669" s="21">
        <v>0</v>
      </c>
      <c r="I669" s="21">
        <v>0</v>
      </c>
      <c r="J669" s="21">
        <v>0</v>
      </c>
      <c r="K669" s="20"/>
      <c r="L669" s="20"/>
    </row>
    <row r="670" ht="10.95" customHeight="true" customFormat="true" s="9">
      <c r="A670" s="10" t="s">
        <v>54</v>
      </c>
      <c r="B670" s="10"/>
      <c r="C670" s="10"/>
      <c r="D670" s="10"/>
      <c r="E670" s="10"/>
      <c r="F670" s="10"/>
      <c r="G670" s="11">
        <v>197158.1600</v>
      </c>
      <c r="H670" s="11">
        <v>0</v>
      </c>
      <c r="I670" s="11">
        <f ca="1">I667</f>
        <v>0</v>
      </c>
      <c r="J670" s="11">
        <v>0</v>
      </c>
      <c r="K670" s="10"/>
      <c r="L670" s="10"/>
    </row>
    <row r="671" ht="13.35" customHeight="true"/>
    <row r="672" ht="12.1" customHeight="true" customFormat="true" s="5">
      <c r="A672" s="8" t="s">
        <v>134</v>
      </c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ht="10.95" customHeight="true" customFormat="true" s="9">
      <c r="A673" s="10" t="s">
        <v>16</v>
      </c>
      <c r="B673" s="10"/>
      <c r="C673" s="10"/>
      <c r="D673" s="10"/>
      <c r="E673" s="10"/>
      <c r="F673" s="10"/>
      <c r="G673" s="11">
        <v>0</v>
      </c>
      <c r="H673" s="11">
        <v>0</v>
      </c>
      <c r="I673" s="11">
        <f ca="1">(G673 - H673)</f>
        <v>0</v>
      </c>
      <c r="J673" s="11">
        <v>0</v>
      </c>
      <c r="K673" s="10"/>
      <c r="L673" s="10"/>
    </row>
    <row r="674" ht="10.95" customHeight="true" customFormat="true" s="9">
      <c r="A674" s="12">
        <v>45182</v>
      </c>
      <c r="B674" s="13" t="s">
        <v>135</v>
      </c>
      <c r="C674" s="13" t="s">
        <v>136</v>
      </c>
      <c r="D674" s="13" t="s">
        <v>22</v>
      </c>
      <c r="E674" s="13" t="s">
        <v>137</v>
      </c>
      <c r="F674" s="13"/>
      <c r="G674" s="14">
        <v>8416.8200</v>
      </c>
      <c r="H674" s="14">
        <v>0</v>
      </c>
      <c r="I674" s="14">
        <f ca="1">((I673 + G674) - H674)</f>
        <v>0</v>
      </c>
      <c r="J674" s="14">
        <v>841.6800</v>
      </c>
      <c r="K674" s="15">
        <v>10.0000</v>
      </c>
      <c r="L674" s="13" t="s">
        <v>80</v>
      </c>
    </row>
    <row r="675" ht="10.95" customHeight="true" customFormat="true" s="9">
      <c r="A675" s="16">
        <v>45291</v>
      </c>
      <c r="B675" s="17" t="s">
        <v>135</v>
      </c>
      <c r="C675" s="17" t="s">
        <v>136</v>
      </c>
      <c r="D675" s="17" t="s">
        <v>25</v>
      </c>
      <c r="E675" s="17" t="s">
        <v>113</v>
      </c>
      <c r="F675" s="17" t="s">
        <v>32</v>
      </c>
      <c r="G675" s="18">
        <v>404.2600</v>
      </c>
      <c r="H675" s="18">
        <v>0</v>
      </c>
      <c r="I675" s="18">
        <f ca="1">((I674 + G675) - H675)</f>
        <v>0</v>
      </c>
      <c r="J675" s="18">
        <v>40.4300</v>
      </c>
      <c r="K675" s="19">
        <v>10.0000</v>
      </c>
      <c r="L675" s="17" t="s">
        <v>80</v>
      </c>
    </row>
    <row r="676" ht="10.95" customHeight="true" customFormat="true" s="9">
      <c r="A676" s="16">
        <v>45473</v>
      </c>
      <c r="B676" s="17" t="s">
        <v>135</v>
      </c>
      <c r="C676" s="17" t="s">
        <v>136</v>
      </c>
      <c r="D676" s="17" t="s">
        <v>25</v>
      </c>
      <c r="E676" s="17" t="s">
        <v>138</v>
      </c>
      <c r="F676" s="17" t="s">
        <v>47</v>
      </c>
      <c r="G676" s="18">
        <v>588.8600</v>
      </c>
      <c r="H676" s="18">
        <v>0</v>
      </c>
      <c r="I676" s="18">
        <f ca="1">((I675 + G676) - H676)</f>
        <v>0</v>
      </c>
      <c r="J676" s="18">
        <v>58.8900</v>
      </c>
      <c r="K676" s="19">
        <v>10.0000</v>
      </c>
      <c r="L676" s="17" t="s">
        <v>80</v>
      </c>
    </row>
    <row r="677" ht="10.95" customHeight="true" customFormat="true" s="9">
      <c r="A677" s="20" t="s">
        <v>139</v>
      </c>
      <c r="B677" s="20"/>
      <c r="C677" s="20"/>
      <c r="D677" s="20"/>
      <c r="E677" s="20"/>
      <c r="F677" s="20"/>
      <c r="G677" s="21">
        <f ca="1">SUM(G674:G676)</f>
        <v>0</v>
      </c>
      <c r="H677" s="21">
        <f ca="1">SUM(H674:H676)</f>
        <v>0</v>
      </c>
      <c r="I677" s="21">
        <f ca="1">I676</f>
        <v>0</v>
      </c>
      <c r="J677" s="21">
        <f ca="1">SUM(J674:J676)</f>
        <v>0</v>
      </c>
      <c r="K677" s="20"/>
      <c r="L677" s="20"/>
    </row>
    <row r="678" ht="10.95" customHeight="true" customFormat="true" s="9">
      <c r="A678" s="20" t="s">
        <v>53</v>
      </c>
      <c r="B678" s="20"/>
      <c r="C678" s="20"/>
      <c r="D678" s="20"/>
      <c r="E678" s="20"/>
      <c r="F678" s="20"/>
      <c r="G678" s="21">
        <v>9409.9400</v>
      </c>
      <c r="H678" s="21">
        <v>0</v>
      </c>
      <c r="I678" s="21">
        <v>0</v>
      </c>
      <c r="J678" s="21">
        <v>0</v>
      </c>
      <c r="K678" s="20"/>
      <c r="L678" s="20"/>
    </row>
    <row r="679" ht="10.95" customHeight="true" customFormat="true" s="9">
      <c r="A679" s="10" t="s">
        <v>54</v>
      </c>
      <c r="B679" s="10"/>
      <c r="C679" s="10"/>
      <c r="D679" s="10"/>
      <c r="E679" s="10"/>
      <c r="F679" s="10"/>
      <c r="G679" s="11">
        <v>9409.9400</v>
      </c>
      <c r="H679" s="11">
        <v>0</v>
      </c>
      <c r="I679" s="11">
        <f ca="1">I676</f>
        <v>0</v>
      </c>
      <c r="J679" s="11">
        <v>0</v>
      </c>
      <c r="K679" s="10"/>
      <c r="L679" s="10"/>
    </row>
    <row r="680" ht="13.35" customHeight="true"/>
    <row r="681" ht="12.1" customHeight="true" customFormat="true" s="5">
      <c r="A681" s="8" t="s">
        <v>140</v>
      </c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ht="10.95" customHeight="true" customFormat="true" s="9">
      <c r="A682" s="10" t="s">
        <v>16</v>
      </c>
      <c r="B682" s="10"/>
      <c r="C682" s="10"/>
      <c r="D682" s="10"/>
      <c r="E682" s="10"/>
      <c r="F682" s="10"/>
      <c r="G682" s="11">
        <v>0</v>
      </c>
      <c r="H682" s="11">
        <v>0</v>
      </c>
      <c r="I682" s="11">
        <f ca="1">(G682 - H682)</f>
        <v>0</v>
      </c>
      <c r="J682" s="11">
        <v>0</v>
      </c>
      <c r="K682" s="10"/>
      <c r="L682" s="10"/>
    </row>
    <row r="683" ht="10.95" customHeight="true" customFormat="true" s="9">
      <c r="A683" s="12">
        <v>45110</v>
      </c>
      <c r="B683" s="13" t="s">
        <v>141</v>
      </c>
      <c r="C683" s="13" t="s">
        <v>136</v>
      </c>
      <c r="D683" s="13" t="s">
        <v>22</v>
      </c>
      <c r="E683" s="13" t="s">
        <v>142</v>
      </c>
      <c r="F683" s="13"/>
      <c r="G683" s="14">
        <v>2881.2500</v>
      </c>
      <c r="H683" s="14">
        <v>0</v>
      </c>
      <c r="I683" s="14">
        <f ca="1">((I682 + G683) - H683)</f>
        <v>0</v>
      </c>
      <c r="J683" s="14">
        <v>288.1300</v>
      </c>
      <c r="K683" s="15">
        <v>10.0000</v>
      </c>
      <c r="L683" s="13" t="s">
        <v>80</v>
      </c>
    </row>
    <row r="684" ht="10.95" customHeight="true" customFormat="true" s="9">
      <c r="A684" s="16">
        <v>45199</v>
      </c>
      <c r="B684" s="17" t="s">
        <v>141</v>
      </c>
      <c r="C684" s="17" t="s">
        <v>136</v>
      </c>
      <c r="D684" s="17" t="s">
        <v>25</v>
      </c>
      <c r="E684" s="17" t="s">
        <v>143</v>
      </c>
      <c r="F684" s="17" t="s">
        <v>27</v>
      </c>
      <c r="G684" s="18">
        <v>0</v>
      </c>
      <c r="H684" s="18">
        <v>2881.2500</v>
      </c>
      <c r="I684" s="18">
        <f ca="1">((I683 + G684) - H684)</f>
        <v>0</v>
      </c>
      <c r="J684" s="18">
        <v>-288.1300</v>
      </c>
      <c r="K684" s="19">
        <v>10.0000</v>
      </c>
      <c r="L684" s="17" t="s">
        <v>80</v>
      </c>
    </row>
    <row r="685" ht="10.95" customHeight="true" customFormat="true" s="9">
      <c r="A685" s="16">
        <v>45199</v>
      </c>
      <c r="B685" s="17" t="s">
        <v>141</v>
      </c>
      <c r="C685" s="17" t="s">
        <v>136</v>
      </c>
      <c r="D685" s="17" t="s">
        <v>25</v>
      </c>
      <c r="E685" s="17" t="s">
        <v>144</v>
      </c>
      <c r="F685" s="17" t="s">
        <v>27</v>
      </c>
      <c r="G685" s="18">
        <v>3587.5000</v>
      </c>
      <c r="H685" s="18">
        <v>0</v>
      </c>
      <c r="I685" s="18">
        <f ca="1">((I684 + G685) - H685)</f>
        <v>0</v>
      </c>
      <c r="J685" s="18">
        <v>358.7500</v>
      </c>
      <c r="K685" s="19">
        <v>10.0000</v>
      </c>
      <c r="L685" s="17" t="s">
        <v>80</v>
      </c>
    </row>
    <row r="686" ht="10.95" customHeight="true" customFormat="true" s="9">
      <c r="A686" s="16">
        <v>45201</v>
      </c>
      <c r="B686" s="17" t="s">
        <v>141</v>
      </c>
      <c r="C686" s="17" t="s">
        <v>136</v>
      </c>
      <c r="D686" s="17" t="s">
        <v>22</v>
      </c>
      <c r="E686" s="17" t="s">
        <v>145</v>
      </c>
      <c r="F686" s="17"/>
      <c r="G686" s="18">
        <v>3587.5000</v>
      </c>
      <c r="H686" s="18">
        <v>0</v>
      </c>
      <c r="I686" s="18">
        <f ca="1">((I685 + G686) - H686)</f>
        <v>0</v>
      </c>
      <c r="J686" s="18">
        <v>358.7500</v>
      </c>
      <c r="K686" s="19">
        <v>10.0000</v>
      </c>
      <c r="L686" s="17" t="s">
        <v>80</v>
      </c>
    </row>
    <row r="687" ht="10.95" customHeight="true" customFormat="true" s="9">
      <c r="A687" s="16">
        <v>45291</v>
      </c>
      <c r="B687" s="17" t="s">
        <v>141</v>
      </c>
      <c r="C687" s="17" t="s">
        <v>136</v>
      </c>
      <c r="D687" s="17" t="s">
        <v>25</v>
      </c>
      <c r="E687" s="17" t="s">
        <v>146</v>
      </c>
      <c r="F687" s="17" t="s">
        <v>32</v>
      </c>
      <c r="G687" s="18">
        <v>0</v>
      </c>
      <c r="H687" s="18">
        <v>3587.5000</v>
      </c>
      <c r="I687" s="18">
        <f ca="1">((I686 + G687) - H687)</f>
        <v>0</v>
      </c>
      <c r="J687" s="18">
        <v>-358.7500</v>
      </c>
      <c r="K687" s="19">
        <v>10.0000</v>
      </c>
      <c r="L687" s="17" t="s">
        <v>80</v>
      </c>
    </row>
    <row r="688" ht="10.95" customHeight="true" customFormat="true" s="9">
      <c r="A688" s="16">
        <v>45291</v>
      </c>
      <c r="B688" s="17" t="s">
        <v>141</v>
      </c>
      <c r="C688" s="17" t="s">
        <v>136</v>
      </c>
      <c r="D688" s="17" t="s">
        <v>25</v>
      </c>
      <c r="E688" s="17" t="s">
        <v>147</v>
      </c>
      <c r="F688" s="17" t="s">
        <v>32</v>
      </c>
      <c r="G688" s="18">
        <v>3087.5000</v>
      </c>
      <c r="H688" s="18">
        <v>0</v>
      </c>
      <c r="I688" s="18">
        <f ca="1">((I687 + G688) - H688)</f>
        <v>0</v>
      </c>
      <c r="J688" s="18">
        <v>308.7500</v>
      </c>
      <c r="K688" s="19">
        <v>10.0000</v>
      </c>
      <c r="L688" s="17" t="s">
        <v>80</v>
      </c>
    </row>
    <row r="689" ht="10.95" customHeight="true" customFormat="true" s="9">
      <c r="A689" s="16">
        <v>45384</v>
      </c>
      <c r="B689" s="17" t="s">
        <v>141</v>
      </c>
      <c r="C689" s="17" t="s">
        <v>136</v>
      </c>
      <c r="D689" s="17" t="s">
        <v>22</v>
      </c>
      <c r="E689" s="17" t="s">
        <v>142</v>
      </c>
      <c r="F689" s="17"/>
      <c r="G689" s="18">
        <v>3087.5000</v>
      </c>
      <c r="H689" s="18">
        <v>0</v>
      </c>
      <c r="I689" s="18">
        <f ca="1">((I688 + G689) - H689)</f>
        <v>0</v>
      </c>
      <c r="J689" s="18">
        <v>308.7500</v>
      </c>
      <c r="K689" s="19">
        <v>10.0000</v>
      </c>
      <c r="L689" s="17" t="s">
        <v>80</v>
      </c>
    </row>
    <row r="690" ht="10.95" customHeight="true" customFormat="true" s="9">
      <c r="A690" s="16">
        <v>45473</v>
      </c>
      <c r="B690" s="17" t="s">
        <v>141</v>
      </c>
      <c r="C690" s="17" t="s">
        <v>136</v>
      </c>
      <c r="D690" s="17" t="s">
        <v>25</v>
      </c>
      <c r="E690" s="17" t="s">
        <v>148</v>
      </c>
      <c r="F690" s="17" t="s">
        <v>50</v>
      </c>
      <c r="G690" s="18">
        <v>3087.5000</v>
      </c>
      <c r="H690" s="18">
        <v>0</v>
      </c>
      <c r="I690" s="18">
        <f ca="1">((I689 + G690) - H690)</f>
        <v>0</v>
      </c>
      <c r="J690" s="18">
        <v>0</v>
      </c>
      <c r="K690" s="19">
        <v>0</v>
      </c>
      <c r="L690" s="17" t="s">
        <v>28</v>
      </c>
    </row>
    <row r="691" ht="10.95" customHeight="true" customFormat="true" s="9">
      <c r="A691" s="20" t="s">
        <v>149</v>
      </c>
      <c r="B691" s="20"/>
      <c r="C691" s="20"/>
      <c r="D691" s="20"/>
      <c r="E691" s="20"/>
      <c r="F691" s="20"/>
      <c r="G691" s="21">
        <f ca="1">SUM(G683:G690)</f>
        <v>0</v>
      </c>
      <c r="H691" s="21">
        <f ca="1">SUM(H683:H690)</f>
        <v>0</v>
      </c>
      <c r="I691" s="21">
        <f ca="1">I690</f>
        <v>0</v>
      </c>
      <c r="J691" s="21">
        <f ca="1">SUM(J683:J690)</f>
        <v>0</v>
      </c>
      <c r="K691" s="20"/>
      <c r="L691" s="20"/>
    </row>
    <row r="692" ht="10.95" customHeight="true" customFormat="true" s="9">
      <c r="A692" s="20" t="s">
        <v>53</v>
      </c>
      <c r="B692" s="20"/>
      <c r="C692" s="20"/>
      <c r="D692" s="20"/>
      <c r="E692" s="20"/>
      <c r="F692" s="20"/>
      <c r="G692" s="21">
        <v>12850.0000</v>
      </c>
      <c r="H692" s="21">
        <v>0</v>
      </c>
      <c r="I692" s="21">
        <v>0</v>
      </c>
      <c r="J692" s="21">
        <v>0</v>
      </c>
      <c r="K692" s="20"/>
      <c r="L692" s="20"/>
    </row>
    <row r="693" ht="10.95" customHeight="true" customFormat="true" s="9">
      <c r="A693" s="10" t="s">
        <v>54</v>
      </c>
      <c r="B693" s="10"/>
      <c r="C693" s="10"/>
      <c r="D693" s="10"/>
      <c r="E693" s="10"/>
      <c r="F693" s="10"/>
      <c r="G693" s="11">
        <v>12850.0000</v>
      </c>
      <c r="H693" s="11">
        <v>0</v>
      </c>
      <c r="I693" s="11">
        <f ca="1">I690</f>
        <v>0</v>
      </c>
      <c r="J693" s="11">
        <v>0</v>
      </c>
      <c r="K693" s="10"/>
      <c r="L693" s="10"/>
    </row>
    <row r="694" ht="13.35" customHeight="true"/>
    <row r="695" ht="12.1" customHeight="true" customFormat="true" s="5">
      <c r="A695" s="8" t="s">
        <v>150</v>
      </c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ht="10.95" customHeight="true" customFormat="true" s="9">
      <c r="A696" s="10" t="s">
        <v>16</v>
      </c>
      <c r="B696" s="10"/>
      <c r="C696" s="10"/>
      <c r="D696" s="10"/>
      <c r="E696" s="10"/>
      <c r="F696" s="10"/>
      <c r="G696" s="11">
        <v>0</v>
      </c>
      <c r="H696" s="11">
        <v>0</v>
      </c>
      <c r="I696" s="11">
        <f ca="1">(G696 - H696)</f>
        <v>0</v>
      </c>
      <c r="J696" s="11">
        <v>0</v>
      </c>
      <c r="K696" s="10"/>
      <c r="L696" s="10"/>
    </row>
    <row r="697" ht="10.95" customHeight="true" customFormat="true" s="9">
      <c r="A697" s="12">
        <v>45138</v>
      </c>
      <c r="B697" s="13" t="s">
        <v>151</v>
      </c>
      <c r="C697" s="13" t="s">
        <v>136</v>
      </c>
      <c r="D697" s="13" t="s">
        <v>22</v>
      </c>
      <c r="E697" s="13" t="s">
        <v>152</v>
      </c>
      <c r="F697" s="13"/>
      <c r="G697" s="14">
        <v>10.0000</v>
      </c>
      <c r="H697" s="14">
        <v>0</v>
      </c>
      <c r="I697" s="14">
        <f ca="1">((I696 + G697) - H697)</f>
        <v>0</v>
      </c>
      <c r="J697" s="14">
        <v>0</v>
      </c>
      <c r="K697" s="15">
        <v>0</v>
      </c>
      <c r="L697" s="13" t="s">
        <v>82</v>
      </c>
    </row>
    <row r="698" ht="10.95" customHeight="true" customFormat="true" s="9">
      <c r="A698" s="16">
        <v>45169</v>
      </c>
      <c r="B698" s="17" t="s">
        <v>151</v>
      </c>
      <c r="C698" s="17" t="s">
        <v>136</v>
      </c>
      <c r="D698" s="17" t="s">
        <v>22</v>
      </c>
      <c r="E698" s="17" t="s">
        <v>152</v>
      </c>
      <c r="F698" s="17"/>
      <c r="G698" s="18">
        <v>10.0000</v>
      </c>
      <c r="H698" s="18">
        <v>0</v>
      </c>
      <c r="I698" s="18">
        <f ca="1">((I697 + G698) - H698)</f>
        <v>0</v>
      </c>
      <c r="J698" s="18">
        <v>0</v>
      </c>
      <c r="K698" s="19">
        <v>0</v>
      </c>
      <c r="L698" s="17" t="s">
        <v>82</v>
      </c>
    </row>
    <row r="699" ht="10.95" customHeight="true" customFormat="true" s="9">
      <c r="A699" s="16">
        <v>45198</v>
      </c>
      <c r="B699" s="17" t="s">
        <v>151</v>
      </c>
      <c r="C699" s="17" t="s">
        <v>136</v>
      </c>
      <c r="D699" s="17" t="s">
        <v>22</v>
      </c>
      <c r="E699" s="17" t="s">
        <v>152</v>
      </c>
      <c r="F699" s="17"/>
      <c r="G699" s="18">
        <v>10.0000</v>
      </c>
      <c r="H699" s="18">
        <v>0</v>
      </c>
      <c r="I699" s="18">
        <f ca="1">((I698 + G699) - H699)</f>
        <v>0</v>
      </c>
      <c r="J699" s="18">
        <v>0</v>
      </c>
      <c r="K699" s="19">
        <v>0</v>
      </c>
      <c r="L699" s="17" t="s">
        <v>82</v>
      </c>
    </row>
    <row r="700" ht="10.95" customHeight="true" customFormat="true" s="9">
      <c r="A700" s="16">
        <v>45230</v>
      </c>
      <c r="B700" s="17" t="s">
        <v>151</v>
      </c>
      <c r="C700" s="17" t="s">
        <v>136</v>
      </c>
      <c r="D700" s="17" t="s">
        <v>22</v>
      </c>
      <c r="E700" s="17" t="s">
        <v>152</v>
      </c>
      <c r="F700" s="17"/>
      <c r="G700" s="18">
        <v>10.0000</v>
      </c>
      <c r="H700" s="18">
        <v>0</v>
      </c>
      <c r="I700" s="18">
        <f ca="1">((I699 + G700) - H700)</f>
        <v>0</v>
      </c>
      <c r="J700" s="18">
        <v>0</v>
      </c>
      <c r="K700" s="19">
        <v>0</v>
      </c>
      <c r="L700" s="17" t="s">
        <v>82</v>
      </c>
    </row>
    <row r="701" ht="10.95" customHeight="true" customFormat="true" s="9">
      <c r="A701" s="16">
        <v>45258</v>
      </c>
      <c r="B701" s="17" t="s">
        <v>151</v>
      </c>
      <c r="C701" s="17" t="s">
        <v>136</v>
      </c>
      <c r="D701" s="17" t="s">
        <v>22</v>
      </c>
      <c r="E701" s="17" t="s">
        <v>153</v>
      </c>
      <c r="F701" s="17"/>
      <c r="G701" s="18">
        <v>2.1600</v>
      </c>
      <c r="H701" s="18">
        <v>0</v>
      </c>
      <c r="I701" s="18">
        <f ca="1">((I700 + G701) - H701)</f>
        <v>0</v>
      </c>
      <c r="J701" s="18">
        <v>0</v>
      </c>
      <c r="K701" s="19">
        <v>0</v>
      </c>
      <c r="L701" s="17" t="s">
        <v>82</v>
      </c>
    </row>
    <row r="702" ht="10.95" customHeight="true" customFormat="true" s="9">
      <c r="A702" s="16">
        <v>45260</v>
      </c>
      <c r="B702" s="17" t="s">
        <v>151</v>
      </c>
      <c r="C702" s="17" t="s">
        <v>136</v>
      </c>
      <c r="D702" s="17" t="s">
        <v>22</v>
      </c>
      <c r="E702" s="17" t="s">
        <v>152</v>
      </c>
      <c r="F702" s="17"/>
      <c r="G702" s="18">
        <v>10.0000</v>
      </c>
      <c r="H702" s="18">
        <v>0</v>
      </c>
      <c r="I702" s="18">
        <f ca="1">((I701 + G702) - H702)</f>
        <v>0</v>
      </c>
      <c r="J702" s="18">
        <v>0</v>
      </c>
      <c r="K702" s="19">
        <v>0</v>
      </c>
      <c r="L702" s="17" t="s">
        <v>82</v>
      </c>
    </row>
    <row r="703" ht="10.95" customHeight="true" customFormat="true" s="9">
      <c r="A703" s="16">
        <v>45289</v>
      </c>
      <c r="B703" s="17" t="s">
        <v>151</v>
      </c>
      <c r="C703" s="17" t="s">
        <v>136</v>
      </c>
      <c r="D703" s="17" t="s">
        <v>22</v>
      </c>
      <c r="E703" s="17" t="s">
        <v>152</v>
      </c>
      <c r="F703" s="17"/>
      <c r="G703" s="18">
        <v>10.0000</v>
      </c>
      <c r="H703" s="18">
        <v>0</v>
      </c>
      <c r="I703" s="18">
        <f ca="1">((I702 + G703) - H703)</f>
        <v>0</v>
      </c>
      <c r="J703" s="18">
        <v>0</v>
      </c>
      <c r="K703" s="19">
        <v>0</v>
      </c>
      <c r="L703" s="17" t="s">
        <v>82</v>
      </c>
    </row>
    <row r="704" ht="10.95" customHeight="true" customFormat="true" s="9">
      <c r="A704" s="16">
        <v>45322</v>
      </c>
      <c r="B704" s="17" t="s">
        <v>151</v>
      </c>
      <c r="C704" s="17" t="s">
        <v>136</v>
      </c>
      <c r="D704" s="17" t="s">
        <v>22</v>
      </c>
      <c r="E704" s="17" t="s">
        <v>152</v>
      </c>
      <c r="F704" s="17"/>
      <c r="G704" s="18">
        <v>10.0000</v>
      </c>
      <c r="H704" s="18">
        <v>0</v>
      </c>
      <c r="I704" s="18">
        <f ca="1">((I703 + G704) - H704)</f>
        <v>0</v>
      </c>
      <c r="J704" s="18">
        <v>0</v>
      </c>
      <c r="K704" s="19">
        <v>0</v>
      </c>
      <c r="L704" s="17" t="s">
        <v>82</v>
      </c>
    </row>
    <row r="705" ht="10.95" customHeight="true" customFormat="true" s="9">
      <c r="A705" s="16">
        <v>45351</v>
      </c>
      <c r="B705" s="17" t="s">
        <v>151</v>
      </c>
      <c r="C705" s="17" t="s">
        <v>136</v>
      </c>
      <c r="D705" s="17" t="s">
        <v>22</v>
      </c>
      <c r="E705" s="17" t="s">
        <v>152</v>
      </c>
      <c r="F705" s="17"/>
      <c r="G705" s="18">
        <v>10.0000</v>
      </c>
      <c r="H705" s="18">
        <v>0</v>
      </c>
      <c r="I705" s="18">
        <f ca="1">((I704 + G705) - H705)</f>
        <v>0</v>
      </c>
      <c r="J705" s="18">
        <v>0</v>
      </c>
      <c r="K705" s="19">
        <v>0</v>
      </c>
      <c r="L705" s="17" t="s">
        <v>82</v>
      </c>
    </row>
    <row r="706" ht="10.95" customHeight="true" customFormat="true" s="9">
      <c r="A706" s="16">
        <v>45379</v>
      </c>
      <c r="B706" s="17" t="s">
        <v>151</v>
      </c>
      <c r="C706" s="17" t="s">
        <v>136</v>
      </c>
      <c r="D706" s="17" t="s">
        <v>22</v>
      </c>
      <c r="E706" s="17" t="s">
        <v>152</v>
      </c>
      <c r="F706" s="17"/>
      <c r="G706" s="18">
        <v>10.0000</v>
      </c>
      <c r="H706" s="18">
        <v>0</v>
      </c>
      <c r="I706" s="18">
        <f ca="1">((I705 + G706) - H706)</f>
        <v>0</v>
      </c>
      <c r="J706" s="18">
        <v>0</v>
      </c>
      <c r="K706" s="19">
        <v>0</v>
      </c>
      <c r="L706" s="17" t="s">
        <v>82</v>
      </c>
    </row>
    <row r="707" ht="10.95" customHeight="true" customFormat="true" s="9">
      <c r="A707" s="16">
        <v>45412</v>
      </c>
      <c r="B707" s="17" t="s">
        <v>151</v>
      </c>
      <c r="C707" s="17" t="s">
        <v>136</v>
      </c>
      <c r="D707" s="17" t="s">
        <v>22</v>
      </c>
      <c r="E707" s="17" t="s">
        <v>152</v>
      </c>
      <c r="F707" s="17"/>
      <c r="G707" s="18">
        <v>10.0000</v>
      </c>
      <c r="H707" s="18">
        <v>0</v>
      </c>
      <c r="I707" s="18">
        <f ca="1">((I706 + G707) - H707)</f>
        <v>0</v>
      </c>
      <c r="J707" s="18">
        <v>0</v>
      </c>
      <c r="K707" s="19">
        <v>0</v>
      </c>
      <c r="L707" s="17" t="s">
        <v>82</v>
      </c>
    </row>
    <row r="708" ht="10.95" customHeight="true" customFormat="true" s="9">
      <c r="A708" s="16">
        <v>45443</v>
      </c>
      <c r="B708" s="17" t="s">
        <v>151</v>
      </c>
      <c r="C708" s="17" t="s">
        <v>136</v>
      </c>
      <c r="D708" s="17" t="s">
        <v>22</v>
      </c>
      <c r="E708" s="17" t="s">
        <v>152</v>
      </c>
      <c r="F708" s="17"/>
      <c r="G708" s="18">
        <v>10.0000</v>
      </c>
      <c r="H708" s="18">
        <v>0</v>
      </c>
      <c r="I708" s="18">
        <f ca="1">((I707 + G708) - H708)</f>
        <v>0</v>
      </c>
      <c r="J708" s="18">
        <v>0</v>
      </c>
      <c r="K708" s="19">
        <v>0</v>
      </c>
      <c r="L708" s="17" t="s">
        <v>82</v>
      </c>
    </row>
    <row r="709" ht="10.95" customHeight="true" customFormat="true" s="9">
      <c r="A709" s="16">
        <v>45471</v>
      </c>
      <c r="B709" s="17" t="s">
        <v>151</v>
      </c>
      <c r="C709" s="17" t="s">
        <v>136</v>
      </c>
      <c r="D709" s="17" t="s">
        <v>22</v>
      </c>
      <c r="E709" s="17" t="s">
        <v>152</v>
      </c>
      <c r="F709" s="17"/>
      <c r="G709" s="18">
        <v>10.0000</v>
      </c>
      <c r="H709" s="18">
        <v>0</v>
      </c>
      <c r="I709" s="18">
        <f ca="1">((I708 + G709) - H709)</f>
        <v>0</v>
      </c>
      <c r="J709" s="18">
        <v>0</v>
      </c>
      <c r="K709" s="19">
        <v>0</v>
      </c>
      <c r="L709" s="17" t="s">
        <v>82</v>
      </c>
    </row>
    <row r="710" ht="10.95" customHeight="true" customFormat="true" s="9">
      <c r="A710" s="20" t="s">
        <v>154</v>
      </c>
      <c r="B710" s="20"/>
      <c r="C710" s="20"/>
      <c r="D710" s="20"/>
      <c r="E710" s="20"/>
      <c r="F710" s="20"/>
      <c r="G710" s="21">
        <f ca="1">SUM(G697:G709)</f>
        <v>0</v>
      </c>
      <c r="H710" s="21">
        <f ca="1">SUM(H697:H709)</f>
        <v>0</v>
      </c>
      <c r="I710" s="21">
        <f ca="1">I709</f>
        <v>0</v>
      </c>
      <c r="J710" s="21">
        <f ca="1">SUM(J697:J709)</f>
        <v>0</v>
      </c>
      <c r="K710" s="20"/>
      <c r="L710" s="20"/>
    </row>
    <row r="711" ht="10.95" customHeight="true" customFormat="true" s="9">
      <c r="A711" s="20" t="s">
        <v>53</v>
      </c>
      <c r="B711" s="20"/>
      <c r="C711" s="20"/>
      <c r="D711" s="20"/>
      <c r="E711" s="20"/>
      <c r="F711" s="20"/>
      <c r="G711" s="21">
        <v>122.1600</v>
      </c>
      <c r="H711" s="21">
        <v>0</v>
      </c>
      <c r="I711" s="21">
        <v>0</v>
      </c>
      <c r="J711" s="21">
        <v>0</v>
      </c>
      <c r="K711" s="20"/>
      <c r="L711" s="20"/>
    </row>
    <row r="712" ht="10.95" customHeight="true" customFormat="true" s="9">
      <c r="A712" s="10" t="s">
        <v>54</v>
      </c>
      <c r="B712" s="10"/>
      <c r="C712" s="10"/>
      <c r="D712" s="10"/>
      <c r="E712" s="10"/>
      <c r="F712" s="10"/>
      <c r="G712" s="11">
        <v>122.1600</v>
      </c>
      <c r="H712" s="11">
        <v>0</v>
      </c>
      <c r="I712" s="11">
        <f ca="1">I709</f>
        <v>0</v>
      </c>
      <c r="J712" s="11">
        <v>0</v>
      </c>
      <c r="K712" s="10"/>
      <c r="L712" s="10"/>
    </row>
    <row r="713" ht="13.35" customHeight="true"/>
    <row r="714" ht="12.1" customHeight="true" customFormat="true" s="5">
      <c r="A714" s="8" t="s">
        <v>155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ht="10.95" customHeight="true" customFormat="true" s="9">
      <c r="A715" s="10" t="s">
        <v>16</v>
      </c>
      <c r="B715" s="10"/>
      <c r="C715" s="10"/>
      <c r="D715" s="10"/>
      <c r="E715" s="10"/>
      <c r="F715" s="10"/>
      <c r="G715" s="11">
        <v>0</v>
      </c>
      <c r="H715" s="11">
        <v>0</v>
      </c>
      <c r="I715" s="11">
        <f ca="1">(G715 - H715)</f>
        <v>0</v>
      </c>
      <c r="J715" s="11">
        <v>0</v>
      </c>
      <c r="K715" s="10"/>
      <c r="L715" s="10"/>
    </row>
    <row r="716" ht="10.95" customHeight="true" customFormat="true" s="9">
      <c r="A716" s="12">
        <v>45124</v>
      </c>
      <c r="B716" s="13" t="s">
        <v>156</v>
      </c>
      <c r="C716" s="13" t="s">
        <v>136</v>
      </c>
      <c r="D716" s="13" t="s">
        <v>22</v>
      </c>
      <c r="E716" s="13" t="s">
        <v>157</v>
      </c>
      <c r="F716" s="13"/>
      <c r="G716" s="14">
        <v>10.8200</v>
      </c>
      <c r="H716" s="14">
        <v>0</v>
      </c>
      <c r="I716" s="14">
        <f ca="1">((I715 + G716) - H716)</f>
        <v>0</v>
      </c>
      <c r="J716" s="14">
        <v>1.0800</v>
      </c>
      <c r="K716" s="15">
        <v>10.0000</v>
      </c>
      <c r="L716" s="13" t="s">
        <v>80</v>
      </c>
    </row>
    <row r="717" ht="10.95" customHeight="true" customFormat="true" s="9">
      <c r="A717" s="16">
        <v>45128</v>
      </c>
      <c r="B717" s="17" t="s">
        <v>156</v>
      </c>
      <c r="C717" s="17" t="s">
        <v>136</v>
      </c>
      <c r="D717" s="17" t="s">
        <v>22</v>
      </c>
      <c r="E717" s="17" t="s">
        <v>158</v>
      </c>
      <c r="F717" s="17"/>
      <c r="G717" s="18">
        <v>210.0000</v>
      </c>
      <c r="H717" s="18">
        <v>0</v>
      </c>
      <c r="I717" s="18">
        <f ca="1">((I716 + G717) - H717)</f>
        <v>0</v>
      </c>
      <c r="J717" s="18">
        <v>21.0000</v>
      </c>
      <c r="K717" s="19">
        <v>10.0000</v>
      </c>
      <c r="L717" s="17" t="s">
        <v>80</v>
      </c>
    </row>
    <row r="718" ht="10.95" customHeight="true" customFormat="true" s="9">
      <c r="A718" s="16">
        <v>45155</v>
      </c>
      <c r="B718" s="17" t="s">
        <v>156</v>
      </c>
      <c r="C718" s="17" t="s">
        <v>136</v>
      </c>
      <c r="D718" s="17" t="s">
        <v>22</v>
      </c>
      <c r="E718" s="17" t="s">
        <v>159</v>
      </c>
      <c r="F718" s="17"/>
      <c r="G718" s="18">
        <v>240.0000</v>
      </c>
      <c r="H718" s="18">
        <v>0</v>
      </c>
      <c r="I718" s="18">
        <f ca="1">((I717 + G718) - H718)</f>
        <v>0</v>
      </c>
      <c r="J718" s="18">
        <v>24.0000</v>
      </c>
      <c r="K718" s="19">
        <v>10.0000</v>
      </c>
      <c r="L718" s="17" t="s">
        <v>80</v>
      </c>
    </row>
    <row r="719" ht="10.95" customHeight="true" customFormat="true" s="9">
      <c r="A719" s="16">
        <v>45180</v>
      </c>
      <c r="B719" s="17" t="s">
        <v>156</v>
      </c>
      <c r="C719" s="17" t="s">
        <v>136</v>
      </c>
      <c r="D719" s="17" t="s">
        <v>22</v>
      </c>
      <c r="E719" s="17" t="s">
        <v>92</v>
      </c>
      <c r="F719" s="17"/>
      <c r="G719" s="18">
        <v>15.0900</v>
      </c>
      <c r="H719" s="18">
        <v>0</v>
      </c>
      <c r="I719" s="18">
        <f ca="1">((I718 + G719) - H719)</f>
        <v>0</v>
      </c>
      <c r="J719" s="18">
        <v>1.5100</v>
      </c>
      <c r="K719" s="19">
        <v>10.0000</v>
      </c>
      <c r="L719" s="17" t="s">
        <v>80</v>
      </c>
    </row>
    <row r="720" ht="10.95" customHeight="true" customFormat="true" s="9">
      <c r="A720" s="16">
        <v>45244</v>
      </c>
      <c r="B720" s="17" t="s">
        <v>156</v>
      </c>
      <c r="C720" s="17" t="s">
        <v>136</v>
      </c>
      <c r="D720" s="17" t="s">
        <v>22</v>
      </c>
      <c r="E720" s="17" t="s">
        <v>160</v>
      </c>
      <c r="F720" s="17"/>
      <c r="G720" s="18">
        <v>240.0000</v>
      </c>
      <c r="H720" s="18">
        <v>0</v>
      </c>
      <c r="I720" s="18">
        <f ca="1">((I719 + G720) - H720)</f>
        <v>0</v>
      </c>
      <c r="J720" s="18">
        <v>24.0000</v>
      </c>
      <c r="K720" s="19">
        <v>10.0000</v>
      </c>
      <c r="L720" s="17" t="s">
        <v>80</v>
      </c>
    </row>
    <row r="721" ht="10.95" customHeight="true" customFormat="true" s="9">
      <c r="A721" s="16">
        <v>45291</v>
      </c>
      <c r="B721" s="17" t="s">
        <v>156</v>
      </c>
      <c r="C721" s="17" t="s">
        <v>136</v>
      </c>
      <c r="D721" s="17" t="s">
        <v>25</v>
      </c>
      <c r="E721" s="17" t="s">
        <v>113</v>
      </c>
      <c r="F721" s="17" t="s">
        <v>32</v>
      </c>
      <c r="G721" s="18">
        <v>18.6400</v>
      </c>
      <c r="H721" s="18">
        <v>0</v>
      </c>
      <c r="I721" s="18">
        <f ca="1">((I720 + G721) - H721)</f>
        <v>0</v>
      </c>
      <c r="J721" s="18">
        <v>1.8600</v>
      </c>
      <c r="K721" s="19">
        <v>10.0000</v>
      </c>
      <c r="L721" s="17" t="s">
        <v>80</v>
      </c>
    </row>
    <row r="722" ht="10.95" customHeight="true" customFormat="true" s="9">
      <c r="A722" s="16">
        <v>45328</v>
      </c>
      <c r="B722" s="17" t="s">
        <v>156</v>
      </c>
      <c r="C722" s="17" t="s">
        <v>136</v>
      </c>
      <c r="D722" s="17" t="s">
        <v>22</v>
      </c>
      <c r="E722" s="17" t="s">
        <v>161</v>
      </c>
      <c r="F722" s="17"/>
      <c r="G722" s="18">
        <v>16.8200</v>
      </c>
      <c r="H722" s="18">
        <v>0</v>
      </c>
      <c r="I722" s="18">
        <f ca="1">((I721 + G722) - H722)</f>
        <v>0</v>
      </c>
      <c r="J722" s="18">
        <v>1.6800</v>
      </c>
      <c r="K722" s="19">
        <v>10.0000</v>
      </c>
      <c r="L722" s="17" t="s">
        <v>80</v>
      </c>
    </row>
    <row r="723" ht="10.95" customHeight="true" customFormat="true" s="9">
      <c r="A723" s="16">
        <v>45336</v>
      </c>
      <c r="B723" s="17" t="s">
        <v>156</v>
      </c>
      <c r="C723" s="17" t="s">
        <v>136</v>
      </c>
      <c r="D723" s="17" t="s">
        <v>22</v>
      </c>
      <c r="E723" s="17" t="s">
        <v>162</v>
      </c>
      <c r="F723" s="17"/>
      <c r="G723" s="18">
        <v>240.0000</v>
      </c>
      <c r="H723" s="18">
        <v>0</v>
      </c>
      <c r="I723" s="18">
        <f ca="1">((I722 + G723) - H723)</f>
        <v>0</v>
      </c>
      <c r="J723" s="18">
        <v>24.0000</v>
      </c>
      <c r="K723" s="19">
        <v>10.0000</v>
      </c>
      <c r="L723" s="17" t="s">
        <v>80</v>
      </c>
    </row>
    <row r="724" ht="10.95" customHeight="true" customFormat="true" s="9">
      <c r="A724" s="16">
        <v>45344</v>
      </c>
      <c r="B724" s="17" t="s">
        <v>156</v>
      </c>
      <c r="C724" s="17" t="s">
        <v>136</v>
      </c>
      <c r="D724" s="17" t="s">
        <v>22</v>
      </c>
      <c r="E724" s="17" t="s">
        <v>163</v>
      </c>
      <c r="F724" s="17"/>
      <c r="G724" s="18">
        <v>210.0000</v>
      </c>
      <c r="H724" s="18">
        <v>0</v>
      </c>
      <c r="I724" s="18">
        <f ca="1">((I723 + G724) - H724)</f>
        <v>0</v>
      </c>
      <c r="J724" s="18">
        <v>21.0000</v>
      </c>
      <c r="K724" s="19">
        <v>10.0000</v>
      </c>
      <c r="L724" s="17" t="s">
        <v>80</v>
      </c>
    </row>
    <row r="725" ht="10.95" customHeight="true" customFormat="true" s="9">
      <c r="A725" s="16">
        <v>45349</v>
      </c>
      <c r="B725" s="17" t="s">
        <v>156</v>
      </c>
      <c r="C725" s="17" t="s">
        <v>136</v>
      </c>
      <c r="D725" s="17" t="s">
        <v>22</v>
      </c>
      <c r="E725" s="17" t="s">
        <v>164</v>
      </c>
      <c r="F725" s="17"/>
      <c r="G725" s="18">
        <v>10.7000</v>
      </c>
      <c r="H725" s="18">
        <v>0</v>
      </c>
      <c r="I725" s="18">
        <f ca="1">((I724 + G725) - H725)</f>
        <v>0</v>
      </c>
      <c r="J725" s="18">
        <v>1.0700</v>
      </c>
      <c r="K725" s="19">
        <v>10.0000</v>
      </c>
      <c r="L725" s="17" t="s">
        <v>80</v>
      </c>
    </row>
    <row r="726" ht="10.95" customHeight="true" customFormat="true" s="9">
      <c r="A726" s="16">
        <v>45349</v>
      </c>
      <c r="B726" s="17" t="s">
        <v>156</v>
      </c>
      <c r="C726" s="17" t="s">
        <v>136</v>
      </c>
      <c r="D726" s="17" t="s">
        <v>22</v>
      </c>
      <c r="E726" s="17" t="s">
        <v>164</v>
      </c>
      <c r="F726" s="17"/>
      <c r="G726" s="18">
        <v>17.9800</v>
      </c>
      <c r="H726" s="18">
        <v>0</v>
      </c>
      <c r="I726" s="18">
        <f ca="1">((I725 + G726) - H726)</f>
        <v>0</v>
      </c>
      <c r="J726" s="18">
        <v>0</v>
      </c>
      <c r="K726" s="19">
        <v>0</v>
      </c>
      <c r="L726" s="17" t="s">
        <v>28</v>
      </c>
    </row>
    <row r="727" ht="10.95" customHeight="true" customFormat="true" s="9">
      <c r="A727" s="16">
        <v>45362</v>
      </c>
      <c r="B727" s="17" t="s">
        <v>156</v>
      </c>
      <c r="C727" s="17" t="s">
        <v>136</v>
      </c>
      <c r="D727" s="17" t="s">
        <v>22</v>
      </c>
      <c r="E727" s="17" t="s">
        <v>165</v>
      </c>
      <c r="F727" s="17"/>
      <c r="G727" s="18">
        <v>37.2400</v>
      </c>
      <c r="H727" s="18">
        <v>0</v>
      </c>
      <c r="I727" s="18">
        <f ca="1">((I726 + G727) - H727)</f>
        <v>0</v>
      </c>
      <c r="J727" s="18">
        <v>3.7200</v>
      </c>
      <c r="K727" s="19">
        <v>10.0000</v>
      </c>
      <c r="L727" s="17" t="s">
        <v>80</v>
      </c>
    </row>
    <row r="728" ht="10.95" customHeight="true" customFormat="true" s="9">
      <c r="A728" s="16">
        <v>45404</v>
      </c>
      <c r="B728" s="17" t="s">
        <v>156</v>
      </c>
      <c r="C728" s="17" t="s">
        <v>136</v>
      </c>
      <c r="D728" s="17" t="s">
        <v>22</v>
      </c>
      <c r="E728" s="17" t="s">
        <v>166</v>
      </c>
      <c r="F728" s="17"/>
      <c r="G728" s="18">
        <v>37.0500</v>
      </c>
      <c r="H728" s="18">
        <v>0</v>
      </c>
      <c r="I728" s="18">
        <f ca="1">((I727 + G728) - H728)</f>
        <v>0</v>
      </c>
      <c r="J728" s="18">
        <v>3.7000</v>
      </c>
      <c r="K728" s="19">
        <v>10.0000</v>
      </c>
      <c r="L728" s="17" t="s">
        <v>80</v>
      </c>
    </row>
    <row r="729" ht="10.95" customHeight="true" customFormat="true" s="9">
      <c r="A729" s="16">
        <v>45432</v>
      </c>
      <c r="B729" s="17" t="s">
        <v>156</v>
      </c>
      <c r="C729" s="17" t="s">
        <v>136</v>
      </c>
      <c r="D729" s="17" t="s">
        <v>22</v>
      </c>
      <c r="E729" s="17" t="s">
        <v>162</v>
      </c>
      <c r="F729" s="17"/>
      <c r="G729" s="18">
        <v>240.0000</v>
      </c>
      <c r="H729" s="18">
        <v>0</v>
      </c>
      <c r="I729" s="18">
        <f ca="1">((I728 + G729) - H729)</f>
        <v>0</v>
      </c>
      <c r="J729" s="18">
        <v>24.0000</v>
      </c>
      <c r="K729" s="19">
        <v>10.0000</v>
      </c>
      <c r="L729" s="17" t="s">
        <v>80</v>
      </c>
    </row>
    <row r="730" ht="10.95" customHeight="true" customFormat="true" s="9">
      <c r="A730" s="16">
        <v>45448</v>
      </c>
      <c r="B730" s="17" t="s">
        <v>156</v>
      </c>
      <c r="C730" s="17" t="s">
        <v>136</v>
      </c>
      <c r="D730" s="17" t="s">
        <v>22</v>
      </c>
      <c r="E730" s="17" t="s">
        <v>161</v>
      </c>
      <c r="F730" s="17"/>
      <c r="G730" s="18">
        <v>8.1800</v>
      </c>
      <c r="H730" s="18">
        <v>0</v>
      </c>
      <c r="I730" s="18">
        <f ca="1">((I729 + G730) - H730)</f>
        <v>0</v>
      </c>
      <c r="J730" s="18">
        <v>0.8200</v>
      </c>
      <c r="K730" s="19">
        <v>10.0000</v>
      </c>
      <c r="L730" s="17" t="s">
        <v>80</v>
      </c>
    </row>
    <row r="731" ht="10.95" customHeight="true" customFormat="true" s="9">
      <c r="A731" s="16">
        <v>45455</v>
      </c>
      <c r="B731" s="17" t="s">
        <v>156</v>
      </c>
      <c r="C731" s="17" t="s">
        <v>136</v>
      </c>
      <c r="D731" s="17" t="s">
        <v>22</v>
      </c>
      <c r="E731" s="17" t="s">
        <v>167</v>
      </c>
      <c r="F731" s="17"/>
      <c r="G731" s="18">
        <v>12.9500</v>
      </c>
      <c r="H731" s="18">
        <v>0</v>
      </c>
      <c r="I731" s="18">
        <f ca="1">((I730 + G731) - H731)</f>
        <v>0</v>
      </c>
      <c r="J731" s="18">
        <v>1.3000</v>
      </c>
      <c r="K731" s="19">
        <v>10.0000</v>
      </c>
      <c r="L731" s="17" t="s">
        <v>80</v>
      </c>
    </row>
    <row r="732" ht="10.95" customHeight="true" customFormat="true" s="9">
      <c r="A732" s="16">
        <v>45471</v>
      </c>
      <c r="B732" s="17" t="s">
        <v>156</v>
      </c>
      <c r="C732" s="17" t="s">
        <v>136</v>
      </c>
      <c r="D732" s="17" t="s">
        <v>22</v>
      </c>
      <c r="E732" s="17" t="s">
        <v>168</v>
      </c>
      <c r="F732" s="17"/>
      <c r="G732" s="18">
        <v>9.0900</v>
      </c>
      <c r="H732" s="18">
        <v>0</v>
      </c>
      <c r="I732" s="18">
        <f ca="1">((I731 + G732) - H732)</f>
        <v>0</v>
      </c>
      <c r="J732" s="18">
        <v>0.9100</v>
      </c>
      <c r="K732" s="19">
        <v>10.0000</v>
      </c>
      <c r="L732" s="17" t="s">
        <v>80</v>
      </c>
    </row>
    <row r="733" ht="10.95" customHeight="true" customFormat="true" s="9">
      <c r="A733" s="20" t="s">
        <v>169</v>
      </c>
      <c r="B733" s="20"/>
      <c r="C733" s="20"/>
      <c r="D733" s="20"/>
      <c r="E733" s="20"/>
      <c r="F733" s="20"/>
      <c r="G733" s="21">
        <f ca="1">SUM(G716:G732)</f>
        <v>0</v>
      </c>
      <c r="H733" s="21">
        <f ca="1">SUM(H716:H732)</f>
        <v>0</v>
      </c>
      <c r="I733" s="21">
        <f ca="1">I732</f>
        <v>0</v>
      </c>
      <c r="J733" s="21">
        <f ca="1">SUM(J716:J732)</f>
        <v>0</v>
      </c>
      <c r="K733" s="20"/>
      <c r="L733" s="20"/>
    </row>
    <row r="734" ht="10.95" customHeight="true" customFormat="true" s="9">
      <c r="A734" s="20" t="s">
        <v>53</v>
      </c>
      <c r="B734" s="20"/>
      <c r="C734" s="20"/>
      <c r="D734" s="20"/>
      <c r="E734" s="20"/>
      <c r="F734" s="20"/>
      <c r="G734" s="21">
        <v>1574.5600</v>
      </c>
      <c r="H734" s="21">
        <v>0</v>
      </c>
      <c r="I734" s="21">
        <v>0</v>
      </c>
      <c r="J734" s="21">
        <v>0</v>
      </c>
      <c r="K734" s="20"/>
      <c r="L734" s="20"/>
    </row>
    <row r="735" ht="10.95" customHeight="true" customFormat="true" s="9">
      <c r="A735" s="10" t="s">
        <v>54</v>
      </c>
      <c r="B735" s="10"/>
      <c r="C735" s="10"/>
      <c r="D735" s="10"/>
      <c r="E735" s="10"/>
      <c r="F735" s="10"/>
      <c r="G735" s="11">
        <v>1574.5600</v>
      </c>
      <c r="H735" s="11">
        <v>0</v>
      </c>
      <c r="I735" s="11">
        <f ca="1">I732</f>
        <v>0</v>
      </c>
      <c r="J735" s="11">
        <v>0</v>
      </c>
      <c r="K735" s="10"/>
      <c r="L735" s="10"/>
    </row>
    <row r="736" ht="13.35" customHeight="true"/>
    <row r="737" ht="12.1" customHeight="true" customFormat="true" s="5">
      <c r="A737" s="8" t="s">
        <v>170</v>
      </c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ht="10.95" customHeight="true" customFormat="true" s="9">
      <c r="A738" s="10" t="s">
        <v>16</v>
      </c>
      <c r="B738" s="10"/>
      <c r="C738" s="10"/>
      <c r="D738" s="10"/>
      <c r="E738" s="10"/>
      <c r="F738" s="10"/>
      <c r="G738" s="11">
        <v>0</v>
      </c>
      <c r="H738" s="11">
        <v>0</v>
      </c>
      <c r="I738" s="11">
        <f ca="1">(G738 - H738)</f>
        <v>0</v>
      </c>
      <c r="J738" s="11">
        <v>0</v>
      </c>
      <c r="K738" s="10"/>
      <c r="L738" s="10"/>
    </row>
    <row r="739" ht="10.95" customHeight="true" customFormat="true" s="9">
      <c r="A739" s="12">
        <v>45138</v>
      </c>
      <c r="B739" s="13" t="s">
        <v>171</v>
      </c>
      <c r="C739" s="13" t="s">
        <v>136</v>
      </c>
      <c r="D739" s="13"/>
      <c r="E739" s="13" t="s">
        <v>172</v>
      </c>
      <c r="F739" s="13"/>
      <c r="G739" s="14">
        <v>91.8000</v>
      </c>
      <c r="H739" s="14">
        <v>0</v>
      </c>
      <c r="I739" s="14">
        <f ca="1">((I738 + G739) - H739)</f>
        <v>0</v>
      </c>
      <c r="J739" s="14">
        <v>0</v>
      </c>
      <c r="K739" s="15">
        <v>0</v>
      </c>
      <c r="L739" s="13"/>
    </row>
    <row r="740" ht="10.95" customHeight="true" customFormat="true" s="9">
      <c r="A740" s="16">
        <v>45138</v>
      </c>
      <c r="B740" s="17" t="s">
        <v>171</v>
      </c>
      <c r="C740" s="17" t="s">
        <v>136</v>
      </c>
      <c r="D740" s="17"/>
      <c r="E740" s="17" t="s">
        <v>173</v>
      </c>
      <c r="F740" s="17"/>
      <c r="G740" s="18">
        <v>119.2300</v>
      </c>
      <c r="H740" s="18">
        <v>0</v>
      </c>
      <c r="I740" s="18">
        <f ca="1">((I739 + G740) - H740)</f>
        <v>0</v>
      </c>
      <c r="J740" s="18">
        <v>0</v>
      </c>
      <c r="K740" s="19">
        <v>0</v>
      </c>
      <c r="L740" s="17"/>
    </row>
    <row r="741" ht="10.95" customHeight="true" customFormat="true" s="9">
      <c r="A741" s="16">
        <v>45138</v>
      </c>
      <c r="B741" s="17" t="s">
        <v>171</v>
      </c>
      <c r="C741" s="17" t="s">
        <v>136</v>
      </c>
      <c r="D741" s="17"/>
      <c r="E741" s="17" t="s">
        <v>174</v>
      </c>
      <c r="F741" s="17"/>
      <c r="G741" s="18">
        <v>39.8800</v>
      </c>
      <c r="H741" s="18">
        <v>0</v>
      </c>
      <c r="I741" s="18">
        <f ca="1">((I740 + G741) - H741)</f>
        <v>0</v>
      </c>
      <c r="J741" s="18">
        <v>0</v>
      </c>
      <c r="K741" s="19">
        <v>0</v>
      </c>
      <c r="L741" s="17"/>
    </row>
    <row r="742" ht="10.95" customHeight="true" customFormat="true" s="9">
      <c r="A742" s="16">
        <v>45138</v>
      </c>
      <c r="B742" s="17" t="s">
        <v>171</v>
      </c>
      <c r="C742" s="17" t="s">
        <v>136</v>
      </c>
      <c r="D742" s="17"/>
      <c r="E742" s="17" t="s">
        <v>175</v>
      </c>
      <c r="F742" s="17"/>
      <c r="G742" s="18">
        <v>33.1400</v>
      </c>
      <c r="H742" s="18">
        <v>0</v>
      </c>
      <c r="I742" s="18">
        <f ca="1">((I741 + G742) - H742)</f>
        <v>0</v>
      </c>
      <c r="J742" s="18">
        <v>0</v>
      </c>
      <c r="K742" s="19">
        <v>0</v>
      </c>
      <c r="L742" s="17"/>
    </row>
    <row r="743" ht="10.95" customHeight="true" customFormat="true" s="9">
      <c r="A743" s="16">
        <v>45138</v>
      </c>
      <c r="B743" s="17" t="s">
        <v>171</v>
      </c>
      <c r="C743" s="17" t="s">
        <v>136</v>
      </c>
      <c r="D743" s="17"/>
      <c r="E743" s="17" t="s">
        <v>176</v>
      </c>
      <c r="F743" s="17"/>
      <c r="G743" s="18">
        <v>11.1500</v>
      </c>
      <c r="H743" s="18">
        <v>0</v>
      </c>
      <c r="I743" s="18">
        <f ca="1">((I742 + G743) - H743)</f>
        <v>0</v>
      </c>
      <c r="J743" s="18">
        <v>0</v>
      </c>
      <c r="K743" s="19">
        <v>0</v>
      </c>
      <c r="L743" s="17"/>
    </row>
    <row r="744" ht="10.95" customHeight="true" customFormat="true" s="9">
      <c r="A744" s="16">
        <v>45138</v>
      </c>
      <c r="B744" s="17" t="s">
        <v>171</v>
      </c>
      <c r="C744" s="17" t="s">
        <v>136</v>
      </c>
      <c r="D744" s="17"/>
      <c r="E744" s="17" t="s">
        <v>177</v>
      </c>
      <c r="F744" s="17"/>
      <c r="G744" s="18">
        <v>21.8600</v>
      </c>
      <c r="H744" s="18">
        <v>0</v>
      </c>
      <c r="I744" s="18">
        <f ca="1">((I743 + G744) - H744)</f>
        <v>0</v>
      </c>
      <c r="J744" s="18">
        <v>0</v>
      </c>
      <c r="K744" s="19">
        <v>0</v>
      </c>
      <c r="L744" s="17"/>
    </row>
    <row r="745" ht="10.95" customHeight="true" customFormat="true" s="9">
      <c r="A745" s="16">
        <v>45169</v>
      </c>
      <c r="B745" s="17" t="s">
        <v>171</v>
      </c>
      <c r="C745" s="17" t="s">
        <v>136</v>
      </c>
      <c r="D745" s="17"/>
      <c r="E745" s="17" t="s">
        <v>178</v>
      </c>
      <c r="F745" s="17"/>
      <c r="G745" s="18">
        <v>91.7900</v>
      </c>
      <c r="H745" s="18">
        <v>0</v>
      </c>
      <c r="I745" s="18">
        <f ca="1">((I744 + G745) - H745)</f>
        <v>0</v>
      </c>
      <c r="J745" s="18">
        <v>0</v>
      </c>
      <c r="K745" s="19">
        <v>0</v>
      </c>
      <c r="L745" s="17"/>
    </row>
    <row r="746" ht="10.95" customHeight="true" customFormat="true" s="9">
      <c r="A746" s="16">
        <v>45169</v>
      </c>
      <c r="B746" s="17" t="s">
        <v>171</v>
      </c>
      <c r="C746" s="17" t="s">
        <v>136</v>
      </c>
      <c r="D746" s="17"/>
      <c r="E746" s="17" t="s">
        <v>179</v>
      </c>
      <c r="F746" s="17"/>
      <c r="G746" s="18">
        <v>119.2300</v>
      </c>
      <c r="H746" s="18">
        <v>0</v>
      </c>
      <c r="I746" s="18">
        <f ca="1">((I745 + G746) - H746)</f>
        <v>0</v>
      </c>
      <c r="J746" s="18">
        <v>0</v>
      </c>
      <c r="K746" s="19">
        <v>0</v>
      </c>
      <c r="L746" s="17"/>
    </row>
    <row r="747" ht="10.95" customHeight="true" customFormat="true" s="9">
      <c r="A747" s="16">
        <v>45169</v>
      </c>
      <c r="B747" s="17" t="s">
        <v>171</v>
      </c>
      <c r="C747" s="17" t="s">
        <v>136</v>
      </c>
      <c r="D747" s="17"/>
      <c r="E747" s="17" t="s">
        <v>180</v>
      </c>
      <c r="F747" s="17"/>
      <c r="G747" s="18">
        <v>39.8700</v>
      </c>
      <c r="H747" s="18">
        <v>0</v>
      </c>
      <c r="I747" s="18">
        <f ca="1">((I746 + G747) - H747)</f>
        <v>0</v>
      </c>
      <c r="J747" s="18">
        <v>0</v>
      </c>
      <c r="K747" s="19">
        <v>0</v>
      </c>
      <c r="L747" s="17"/>
    </row>
    <row r="748" ht="10.95" customHeight="true" customFormat="true" s="9">
      <c r="A748" s="16">
        <v>45169</v>
      </c>
      <c r="B748" s="17" t="s">
        <v>171</v>
      </c>
      <c r="C748" s="17" t="s">
        <v>136</v>
      </c>
      <c r="D748" s="17"/>
      <c r="E748" s="17" t="s">
        <v>181</v>
      </c>
      <c r="F748" s="17"/>
      <c r="G748" s="18">
        <v>33.1400</v>
      </c>
      <c r="H748" s="18">
        <v>0</v>
      </c>
      <c r="I748" s="18">
        <f ca="1">((I747 + G748) - H748)</f>
        <v>0</v>
      </c>
      <c r="J748" s="18">
        <v>0</v>
      </c>
      <c r="K748" s="19">
        <v>0</v>
      </c>
      <c r="L748" s="17"/>
    </row>
    <row r="749" ht="10.95" customHeight="true" customFormat="true" s="9">
      <c r="A749" s="16">
        <v>45169</v>
      </c>
      <c r="B749" s="17" t="s">
        <v>171</v>
      </c>
      <c r="C749" s="17" t="s">
        <v>136</v>
      </c>
      <c r="D749" s="17"/>
      <c r="E749" s="17" t="s">
        <v>182</v>
      </c>
      <c r="F749" s="17"/>
      <c r="G749" s="18">
        <v>11.1600</v>
      </c>
      <c r="H749" s="18">
        <v>0</v>
      </c>
      <c r="I749" s="18">
        <f ca="1">((I748 + G749) - H749)</f>
        <v>0</v>
      </c>
      <c r="J749" s="18">
        <v>0</v>
      </c>
      <c r="K749" s="19">
        <v>0</v>
      </c>
      <c r="L749" s="17"/>
    </row>
    <row r="750" ht="10.95" customHeight="true" customFormat="true" s="9">
      <c r="A750" s="16">
        <v>45169</v>
      </c>
      <c r="B750" s="17" t="s">
        <v>171</v>
      </c>
      <c r="C750" s="17" t="s">
        <v>136</v>
      </c>
      <c r="D750" s="17"/>
      <c r="E750" s="17" t="s">
        <v>183</v>
      </c>
      <c r="F750" s="17"/>
      <c r="G750" s="18">
        <v>21.8600</v>
      </c>
      <c r="H750" s="18">
        <v>0</v>
      </c>
      <c r="I750" s="18">
        <f ca="1">((I749 + G750) - H750)</f>
        <v>0</v>
      </c>
      <c r="J750" s="18">
        <v>0</v>
      </c>
      <c r="K750" s="19">
        <v>0</v>
      </c>
      <c r="L750" s="17"/>
    </row>
    <row r="751" ht="10.95" customHeight="true" customFormat="true" s="9">
      <c r="A751" s="16">
        <v>45199</v>
      </c>
      <c r="B751" s="17" t="s">
        <v>171</v>
      </c>
      <c r="C751" s="17" t="s">
        <v>136</v>
      </c>
      <c r="D751" s="17"/>
      <c r="E751" s="17" t="s">
        <v>184</v>
      </c>
      <c r="F751" s="17"/>
      <c r="G751" s="18">
        <v>88.8400</v>
      </c>
      <c r="H751" s="18">
        <v>0</v>
      </c>
      <c r="I751" s="18">
        <f ca="1">((I750 + G751) - H751)</f>
        <v>0</v>
      </c>
      <c r="J751" s="18">
        <v>0</v>
      </c>
      <c r="K751" s="19">
        <v>0</v>
      </c>
      <c r="L751" s="17"/>
    </row>
    <row r="752" ht="10.95" customHeight="true" customFormat="true" s="9">
      <c r="A752" s="16">
        <v>45199</v>
      </c>
      <c r="B752" s="17" t="s">
        <v>171</v>
      </c>
      <c r="C752" s="17" t="s">
        <v>136</v>
      </c>
      <c r="D752" s="17"/>
      <c r="E752" s="17" t="s">
        <v>185</v>
      </c>
      <c r="F752" s="17"/>
      <c r="G752" s="18">
        <v>115.3900</v>
      </c>
      <c r="H752" s="18">
        <v>0</v>
      </c>
      <c r="I752" s="18">
        <f ca="1">((I751 + G752) - H752)</f>
        <v>0</v>
      </c>
      <c r="J752" s="18">
        <v>0</v>
      </c>
      <c r="K752" s="19">
        <v>0</v>
      </c>
      <c r="L752" s="17"/>
    </row>
    <row r="753" ht="10.95" customHeight="true" customFormat="true" s="9">
      <c r="A753" s="16">
        <v>45199</v>
      </c>
      <c r="B753" s="17" t="s">
        <v>171</v>
      </c>
      <c r="C753" s="17" t="s">
        <v>136</v>
      </c>
      <c r="D753" s="17"/>
      <c r="E753" s="17" t="s">
        <v>186</v>
      </c>
      <c r="F753" s="17"/>
      <c r="G753" s="18">
        <v>38.5900</v>
      </c>
      <c r="H753" s="18">
        <v>0</v>
      </c>
      <c r="I753" s="18">
        <f ca="1">((I752 + G753) - H753)</f>
        <v>0</v>
      </c>
      <c r="J753" s="18">
        <v>0</v>
      </c>
      <c r="K753" s="19">
        <v>0</v>
      </c>
      <c r="L753" s="17"/>
    </row>
    <row r="754" ht="10.95" customHeight="true" customFormat="true" s="9">
      <c r="A754" s="16">
        <v>45199</v>
      </c>
      <c r="B754" s="17" t="s">
        <v>171</v>
      </c>
      <c r="C754" s="17" t="s">
        <v>136</v>
      </c>
      <c r="D754" s="17"/>
      <c r="E754" s="17" t="s">
        <v>187</v>
      </c>
      <c r="F754" s="17"/>
      <c r="G754" s="18">
        <v>32.0800</v>
      </c>
      <c r="H754" s="18">
        <v>0</v>
      </c>
      <c r="I754" s="18">
        <f ca="1">((I753 + G754) - H754)</f>
        <v>0</v>
      </c>
      <c r="J754" s="18">
        <v>0</v>
      </c>
      <c r="K754" s="19">
        <v>0</v>
      </c>
      <c r="L754" s="17"/>
    </row>
    <row r="755" ht="10.95" customHeight="true" customFormat="true" s="9">
      <c r="A755" s="16">
        <v>45199</v>
      </c>
      <c r="B755" s="17" t="s">
        <v>171</v>
      </c>
      <c r="C755" s="17" t="s">
        <v>136</v>
      </c>
      <c r="D755" s="17"/>
      <c r="E755" s="17" t="s">
        <v>188</v>
      </c>
      <c r="F755" s="17"/>
      <c r="G755" s="18">
        <v>10.7900</v>
      </c>
      <c r="H755" s="18">
        <v>0</v>
      </c>
      <c r="I755" s="18">
        <f ca="1">((I754 + G755) - H755)</f>
        <v>0</v>
      </c>
      <c r="J755" s="18">
        <v>0</v>
      </c>
      <c r="K755" s="19">
        <v>0</v>
      </c>
      <c r="L755" s="17"/>
    </row>
    <row r="756" ht="10.95" customHeight="true" customFormat="true" s="9">
      <c r="A756" s="16">
        <v>45199</v>
      </c>
      <c r="B756" s="17" t="s">
        <v>171</v>
      </c>
      <c r="C756" s="17" t="s">
        <v>136</v>
      </c>
      <c r="D756" s="17"/>
      <c r="E756" s="17" t="s">
        <v>189</v>
      </c>
      <c r="F756" s="17"/>
      <c r="G756" s="18">
        <v>21.1500</v>
      </c>
      <c r="H756" s="18">
        <v>0</v>
      </c>
      <c r="I756" s="18">
        <f ca="1">((I755 + G756) - H756)</f>
        <v>0</v>
      </c>
      <c r="J756" s="18">
        <v>0</v>
      </c>
      <c r="K756" s="19">
        <v>0</v>
      </c>
      <c r="L756" s="17"/>
    </row>
    <row r="757" ht="10.95" customHeight="true" customFormat="true" s="9">
      <c r="A757" s="16">
        <v>45230</v>
      </c>
      <c r="B757" s="17" t="s">
        <v>171</v>
      </c>
      <c r="C757" s="17" t="s">
        <v>136</v>
      </c>
      <c r="D757" s="17"/>
      <c r="E757" s="17" t="s">
        <v>190</v>
      </c>
      <c r="F757" s="17"/>
      <c r="G757" s="18">
        <v>91.7900</v>
      </c>
      <c r="H757" s="18">
        <v>0</v>
      </c>
      <c r="I757" s="18">
        <f ca="1">((I756 + G757) - H757)</f>
        <v>0</v>
      </c>
      <c r="J757" s="18">
        <v>0</v>
      </c>
      <c r="K757" s="19">
        <v>0</v>
      </c>
      <c r="L757" s="17"/>
    </row>
    <row r="758" ht="10.95" customHeight="true" customFormat="true" s="9">
      <c r="A758" s="16">
        <v>45230</v>
      </c>
      <c r="B758" s="17" t="s">
        <v>171</v>
      </c>
      <c r="C758" s="17" t="s">
        <v>136</v>
      </c>
      <c r="D758" s="17"/>
      <c r="E758" s="17" t="s">
        <v>191</v>
      </c>
      <c r="F758" s="17"/>
      <c r="G758" s="18">
        <v>119.2300</v>
      </c>
      <c r="H758" s="18">
        <v>0</v>
      </c>
      <c r="I758" s="18">
        <f ca="1">((I757 + G758) - H758)</f>
        <v>0</v>
      </c>
      <c r="J758" s="18">
        <v>0</v>
      </c>
      <c r="K758" s="19">
        <v>0</v>
      </c>
      <c r="L758" s="17"/>
    </row>
    <row r="759" ht="10.95" customHeight="true" customFormat="true" s="9">
      <c r="A759" s="16">
        <v>45230</v>
      </c>
      <c r="B759" s="17" t="s">
        <v>171</v>
      </c>
      <c r="C759" s="17" t="s">
        <v>136</v>
      </c>
      <c r="D759" s="17"/>
      <c r="E759" s="17" t="s">
        <v>192</v>
      </c>
      <c r="F759" s="17"/>
      <c r="G759" s="18">
        <v>39.8800</v>
      </c>
      <c r="H759" s="18">
        <v>0</v>
      </c>
      <c r="I759" s="18">
        <f ca="1">((I758 + G759) - H759)</f>
        <v>0</v>
      </c>
      <c r="J759" s="18">
        <v>0</v>
      </c>
      <c r="K759" s="19">
        <v>0</v>
      </c>
      <c r="L759" s="17"/>
    </row>
    <row r="760" ht="10.95" customHeight="true" customFormat="true" s="9">
      <c r="A760" s="16">
        <v>45230</v>
      </c>
      <c r="B760" s="17" t="s">
        <v>171</v>
      </c>
      <c r="C760" s="17" t="s">
        <v>136</v>
      </c>
      <c r="D760" s="17"/>
      <c r="E760" s="17" t="s">
        <v>193</v>
      </c>
      <c r="F760" s="17"/>
      <c r="G760" s="18">
        <v>33.1400</v>
      </c>
      <c r="H760" s="18">
        <v>0</v>
      </c>
      <c r="I760" s="18">
        <f ca="1">((I759 + G760) - H760)</f>
        <v>0</v>
      </c>
      <c r="J760" s="18">
        <v>0</v>
      </c>
      <c r="K760" s="19">
        <v>0</v>
      </c>
      <c r="L760" s="17"/>
    </row>
    <row r="761" ht="10.95" customHeight="true" customFormat="true" s="9">
      <c r="A761" s="16">
        <v>45230</v>
      </c>
      <c r="B761" s="17" t="s">
        <v>171</v>
      </c>
      <c r="C761" s="17" t="s">
        <v>136</v>
      </c>
      <c r="D761" s="17"/>
      <c r="E761" s="17" t="s">
        <v>194</v>
      </c>
      <c r="F761" s="17"/>
      <c r="G761" s="18">
        <v>11.1600</v>
      </c>
      <c r="H761" s="18">
        <v>0</v>
      </c>
      <c r="I761" s="18">
        <f ca="1">((I760 + G761) - H761)</f>
        <v>0</v>
      </c>
      <c r="J761" s="18">
        <v>0</v>
      </c>
      <c r="K761" s="19">
        <v>0</v>
      </c>
      <c r="L761" s="17"/>
    </row>
    <row r="762" ht="10.95" customHeight="true" customFormat="true" s="9">
      <c r="A762" s="16">
        <v>45230</v>
      </c>
      <c r="B762" s="17" t="s">
        <v>171</v>
      </c>
      <c r="C762" s="17" t="s">
        <v>136</v>
      </c>
      <c r="D762" s="17"/>
      <c r="E762" s="17" t="s">
        <v>195</v>
      </c>
      <c r="F762" s="17"/>
      <c r="G762" s="18">
        <v>21.8600</v>
      </c>
      <c r="H762" s="18">
        <v>0</v>
      </c>
      <c r="I762" s="18">
        <f ca="1">((I761 + G762) - H762)</f>
        <v>0</v>
      </c>
      <c r="J762" s="18">
        <v>0</v>
      </c>
      <c r="K762" s="19">
        <v>0</v>
      </c>
      <c r="L762" s="17"/>
    </row>
    <row r="763" ht="10.95" customHeight="true" customFormat="true" s="9">
      <c r="A763" s="16">
        <v>45260</v>
      </c>
      <c r="B763" s="17" t="s">
        <v>171</v>
      </c>
      <c r="C763" s="17" t="s">
        <v>136</v>
      </c>
      <c r="D763" s="17"/>
      <c r="E763" s="17" t="s">
        <v>196</v>
      </c>
      <c r="F763" s="17"/>
      <c r="G763" s="18">
        <v>88.8400</v>
      </c>
      <c r="H763" s="18">
        <v>0</v>
      </c>
      <c r="I763" s="18">
        <f ca="1">((I762 + G763) - H763)</f>
        <v>0</v>
      </c>
      <c r="J763" s="18">
        <v>0</v>
      </c>
      <c r="K763" s="19">
        <v>0</v>
      </c>
      <c r="L763" s="17"/>
    </row>
    <row r="764" ht="10.95" customHeight="true" customFormat="true" s="9">
      <c r="A764" s="16">
        <v>45260</v>
      </c>
      <c r="B764" s="17" t="s">
        <v>171</v>
      </c>
      <c r="C764" s="17" t="s">
        <v>136</v>
      </c>
      <c r="D764" s="17"/>
      <c r="E764" s="17" t="s">
        <v>197</v>
      </c>
      <c r="F764" s="17"/>
      <c r="G764" s="18">
        <v>115.3800</v>
      </c>
      <c r="H764" s="18">
        <v>0</v>
      </c>
      <c r="I764" s="18">
        <f ca="1">((I763 + G764) - H764)</f>
        <v>0</v>
      </c>
      <c r="J764" s="18">
        <v>0</v>
      </c>
      <c r="K764" s="19">
        <v>0</v>
      </c>
      <c r="L764" s="17"/>
    </row>
    <row r="765" ht="10.95" customHeight="true" customFormat="true" s="9">
      <c r="A765" s="16">
        <v>45260</v>
      </c>
      <c r="B765" s="17" t="s">
        <v>171</v>
      </c>
      <c r="C765" s="17" t="s">
        <v>136</v>
      </c>
      <c r="D765" s="17"/>
      <c r="E765" s="17" t="s">
        <v>198</v>
      </c>
      <c r="F765" s="17"/>
      <c r="G765" s="18">
        <v>38.5900</v>
      </c>
      <c r="H765" s="18">
        <v>0</v>
      </c>
      <c r="I765" s="18">
        <f ca="1">((I764 + G765) - H765)</f>
        <v>0</v>
      </c>
      <c r="J765" s="18">
        <v>0</v>
      </c>
      <c r="K765" s="19">
        <v>0</v>
      </c>
      <c r="L765" s="17"/>
    </row>
    <row r="766" ht="10.95" customHeight="true" customFormat="true" s="9">
      <c r="A766" s="16">
        <v>45260</v>
      </c>
      <c r="B766" s="17" t="s">
        <v>171</v>
      </c>
      <c r="C766" s="17" t="s">
        <v>136</v>
      </c>
      <c r="D766" s="17"/>
      <c r="E766" s="17" t="s">
        <v>199</v>
      </c>
      <c r="F766" s="17"/>
      <c r="G766" s="18">
        <v>32.0700</v>
      </c>
      <c r="H766" s="18">
        <v>0</v>
      </c>
      <c r="I766" s="18">
        <f ca="1">((I765 + G766) - H766)</f>
        <v>0</v>
      </c>
      <c r="J766" s="18">
        <v>0</v>
      </c>
      <c r="K766" s="19">
        <v>0</v>
      </c>
      <c r="L766" s="17"/>
    </row>
    <row r="767" ht="10.95" customHeight="true" customFormat="true" s="9">
      <c r="A767" s="16">
        <v>45260</v>
      </c>
      <c r="B767" s="17" t="s">
        <v>171</v>
      </c>
      <c r="C767" s="17" t="s">
        <v>136</v>
      </c>
      <c r="D767" s="17"/>
      <c r="E767" s="17" t="s">
        <v>200</v>
      </c>
      <c r="F767" s="17"/>
      <c r="G767" s="18">
        <v>10.7900</v>
      </c>
      <c r="H767" s="18">
        <v>0</v>
      </c>
      <c r="I767" s="18">
        <f ca="1">((I766 + G767) - H767)</f>
        <v>0</v>
      </c>
      <c r="J767" s="18">
        <v>0</v>
      </c>
      <c r="K767" s="19">
        <v>0</v>
      </c>
      <c r="L767" s="17"/>
    </row>
    <row r="768" ht="10.95" customHeight="true" customFormat="true" s="9">
      <c r="A768" s="16">
        <v>45260</v>
      </c>
      <c r="B768" s="17" t="s">
        <v>171</v>
      </c>
      <c r="C768" s="17" t="s">
        <v>136</v>
      </c>
      <c r="D768" s="17"/>
      <c r="E768" s="17" t="s">
        <v>201</v>
      </c>
      <c r="F768" s="17"/>
      <c r="G768" s="18">
        <v>21.1500</v>
      </c>
      <c r="H768" s="18">
        <v>0</v>
      </c>
      <c r="I768" s="18">
        <f ca="1">((I767 + G768) - H768)</f>
        <v>0</v>
      </c>
      <c r="J768" s="18">
        <v>0</v>
      </c>
      <c r="K768" s="19">
        <v>0</v>
      </c>
      <c r="L768" s="17"/>
    </row>
    <row r="769" ht="10.95" customHeight="true" customFormat="true" s="9">
      <c r="A769" s="16">
        <v>45291</v>
      </c>
      <c r="B769" s="17" t="s">
        <v>171</v>
      </c>
      <c r="C769" s="17" t="s">
        <v>136</v>
      </c>
      <c r="D769" s="17"/>
      <c r="E769" s="17" t="s">
        <v>202</v>
      </c>
      <c r="F769" s="17"/>
      <c r="G769" s="18">
        <v>91.7900</v>
      </c>
      <c r="H769" s="18">
        <v>0</v>
      </c>
      <c r="I769" s="18">
        <f ca="1">((I768 + G769) - H769)</f>
        <v>0</v>
      </c>
      <c r="J769" s="18">
        <v>0</v>
      </c>
      <c r="K769" s="19">
        <v>0</v>
      </c>
      <c r="L769" s="17"/>
    </row>
    <row r="770" ht="10.95" customHeight="true" customFormat="true" s="9">
      <c r="A770" s="16">
        <v>45291</v>
      </c>
      <c r="B770" s="17" t="s">
        <v>171</v>
      </c>
      <c r="C770" s="17" t="s">
        <v>136</v>
      </c>
      <c r="D770" s="17"/>
      <c r="E770" s="17" t="s">
        <v>203</v>
      </c>
      <c r="F770" s="17"/>
      <c r="G770" s="18">
        <v>119.2300</v>
      </c>
      <c r="H770" s="18">
        <v>0</v>
      </c>
      <c r="I770" s="18">
        <f ca="1">((I769 + G770) - H770)</f>
        <v>0</v>
      </c>
      <c r="J770" s="18">
        <v>0</v>
      </c>
      <c r="K770" s="19">
        <v>0</v>
      </c>
      <c r="L770" s="17"/>
    </row>
    <row r="771" ht="10.95" customHeight="true" customFormat="true" s="9">
      <c r="A771" s="16">
        <v>45291</v>
      </c>
      <c r="B771" s="17" t="s">
        <v>171</v>
      </c>
      <c r="C771" s="17" t="s">
        <v>136</v>
      </c>
      <c r="D771" s="17"/>
      <c r="E771" s="17" t="s">
        <v>204</v>
      </c>
      <c r="F771" s="17"/>
      <c r="G771" s="18">
        <v>39.8700</v>
      </c>
      <c r="H771" s="18">
        <v>0</v>
      </c>
      <c r="I771" s="18">
        <f ca="1">((I770 + G771) - H771)</f>
        <v>0</v>
      </c>
      <c r="J771" s="18">
        <v>0</v>
      </c>
      <c r="K771" s="19">
        <v>0</v>
      </c>
      <c r="L771" s="17"/>
    </row>
    <row r="772" ht="10.95" customHeight="true" customFormat="true" s="9">
      <c r="A772" s="16">
        <v>45291</v>
      </c>
      <c r="B772" s="17" t="s">
        <v>171</v>
      </c>
      <c r="C772" s="17" t="s">
        <v>136</v>
      </c>
      <c r="D772" s="17"/>
      <c r="E772" s="17" t="s">
        <v>205</v>
      </c>
      <c r="F772" s="17"/>
      <c r="G772" s="18">
        <v>33.1400</v>
      </c>
      <c r="H772" s="18">
        <v>0</v>
      </c>
      <c r="I772" s="18">
        <f ca="1">((I771 + G772) - H772)</f>
        <v>0</v>
      </c>
      <c r="J772" s="18">
        <v>0</v>
      </c>
      <c r="K772" s="19">
        <v>0</v>
      </c>
      <c r="L772" s="17"/>
    </row>
    <row r="773" ht="10.95" customHeight="true" customFormat="true" s="9">
      <c r="A773" s="16">
        <v>45291</v>
      </c>
      <c r="B773" s="17" t="s">
        <v>171</v>
      </c>
      <c r="C773" s="17" t="s">
        <v>136</v>
      </c>
      <c r="D773" s="17"/>
      <c r="E773" s="17" t="s">
        <v>206</v>
      </c>
      <c r="F773" s="17"/>
      <c r="G773" s="18">
        <v>11.1600</v>
      </c>
      <c r="H773" s="18">
        <v>0</v>
      </c>
      <c r="I773" s="18">
        <f ca="1">((I772 + G773) - H773)</f>
        <v>0</v>
      </c>
      <c r="J773" s="18">
        <v>0</v>
      </c>
      <c r="K773" s="19">
        <v>0</v>
      </c>
      <c r="L773" s="17"/>
    </row>
    <row r="774" ht="10.95" customHeight="true" customFormat="true" s="9">
      <c r="A774" s="16">
        <v>45291</v>
      </c>
      <c r="B774" s="17" t="s">
        <v>171</v>
      </c>
      <c r="C774" s="17" t="s">
        <v>136</v>
      </c>
      <c r="D774" s="17"/>
      <c r="E774" s="17" t="s">
        <v>207</v>
      </c>
      <c r="F774" s="17"/>
      <c r="G774" s="18">
        <v>21.8600</v>
      </c>
      <c r="H774" s="18">
        <v>0</v>
      </c>
      <c r="I774" s="18">
        <f ca="1">((I773 + G774) - H774)</f>
        <v>0</v>
      </c>
      <c r="J774" s="18">
        <v>0</v>
      </c>
      <c r="K774" s="19">
        <v>0</v>
      </c>
      <c r="L774" s="17"/>
    </row>
    <row r="775" ht="10.95" customHeight="true" customFormat="true" s="9">
      <c r="A775" s="16">
        <v>45322</v>
      </c>
      <c r="B775" s="17" t="s">
        <v>171</v>
      </c>
      <c r="C775" s="17" t="s">
        <v>136</v>
      </c>
      <c r="D775" s="17"/>
      <c r="E775" s="17" t="s">
        <v>208</v>
      </c>
      <c r="F775" s="17"/>
      <c r="G775" s="18">
        <v>91.8000</v>
      </c>
      <c r="H775" s="18">
        <v>0</v>
      </c>
      <c r="I775" s="18">
        <f ca="1">((I774 + G775) - H775)</f>
        <v>0</v>
      </c>
      <c r="J775" s="18">
        <v>0</v>
      </c>
      <c r="K775" s="19">
        <v>0</v>
      </c>
      <c r="L775" s="17"/>
    </row>
    <row r="776" ht="10.95" customHeight="true" customFormat="true" s="9">
      <c r="A776" s="16">
        <v>45322</v>
      </c>
      <c r="B776" s="17" t="s">
        <v>171</v>
      </c>
      <c r="C776" s="17" t="s">
        <v>136</v>
      </c>
      <c r="D776" s="17"/>
      <c r="E776" s="17" t="s">
        <v>209</v>
      </c>
      <c r="F776" s="17"/>
      <c r="G776" s="18">
        <v>119.2400</v>
      </c>
      <c r="H776" s="18">
        <v>0</v>
      </c>
      <c r="I776" s="18">
        <f ca="1">((I775 + G776) - H776)</f>
        <v>0</v>
      </c>
      <c r="J776" s="18">
        <v>0</v>
      </c>
      <c r="K776" s="19">
        <v>0</v>
      </c>
      <c r="L776" s="17"/>
    </row>
    <row r="777" ht="10.95" customHeight="true" customFormat="true" s="9">
      <c r="A777" s="16">
        <v>45322</v>
      </c>
      <c r="B777" s="17" t="s">
        <v>171</v>
      </c>
      <c r="C777" s="17" t="s">
        <v>136</v>
      </c>
      <c r="D777" s="17"/>
      <c r="E777" s="17" t="s">
        <v>210</v>
      </c>
      <c r="F777" s="17"/>
      <c r="G777" s="18">
        <v>39.8800</v>
      </c>
      <c r="H777" s="18">
        <v>0</v>
      </c>
      <c r="I777" s="18">
        <f ca="1">((I776 + G777) - H777)</f>
        <v>0</v>
      </c>
      <c r="J777" s="18">
        <v>0</v>
      </c>
      <c r="K777" s="19">
        <v>0</v>
      </c>
      <c r="L777" s="17"/>
    </row>
    <row r="778" ht="10.95" customHeight="true" customFormat="true" s="9">
      <c r="A778" s="16">
        <v>45322</v>
      </c>
      <c r="B778" s="17" t="s">
        <v>171</v>
      </c>
      <c r="C778" s="17" t="s">
        <v>136</v>
      </c>
      <c r="D778" s="17"/>
      <c r="E778" s="17" t="s">
        <v>211</v>
      </c>
      <c r="F778" s="17"/>
      <c r="G778" s="18">
        <v>33.1500</v>
      </c>
      <c r="H778" s="18">
        <v>0</v>
      </c>
      <c r="I778" s="18">
        <f ca="1">((I777 + G778) - H778)</f>
        <v>0</v>
      </c>
      <c r="J778" s="18">
        <v>0</v>
      </c>
      <c r="K778" s="19">
        <v>0</v>
      </c>
      <c r="L778" s="17"/>
    </row>
    <row r="779" ht="10.95" customHeight="true" customFormat="true" s="9">
      <c r="A779" s="16">
        <v>45322</v>
      </c>
      <c r="B779" s="17" t="s">
        <v>171</v>
      </c>
      <c r="C779" s="17" t="s">
        <v>136</v>
      </c>
      <c r="D779" s="17"/>
      <c r="E779" s="17" t="s">
        <v>212</v>
      </c>
      <c r="F779" s="17"/>
      <c r="G779" s="18">
        <v>11.1500</v>
      </c>
      <c r="H779" s="18">
        <v>0</v>
      </c>
      <c r="I779" s="18">
        <f ca="1">((I778 + G779) - H779)</f>
        <v>0</v>
      </c>
      <c r="J779" s="18">
        <v>0</v>
      </c>
      <c r="K779" s="19">
        <v>0</v>
      </c>
      <c r="L779" s="17"/>
    </row>
    <row r="780" ht="10.95" customHeight="true" customFormat="true" s="9">
      <c r="A780" s="16">
        <v>45322</v>
      </c>
      <c r="B780" s="17" t="s">
        <v>171</v>
      </c>
      <c r="C780" s="17" t="s">
        <v>136</v>
      </c>
      <c r="D780" s="17"/>
      <c r="E780" s="17" t="s">
        <v>213</v>
      </c>
      <c r="F780" s="17"/>
      <c r="G780" s="18">
        <v>21.8600</v>
      </c>
      <c r="H780" s="18">
        <v>0</v>
      </c>
      <c r="I780" s="18">
        <f ca="1">((I779 + G780) - H780)</f>
        <v>0</v>
      </c>
      <c r="J780" s="18">
        <v>0</v>
      </c>
      <c r="K780" s="19">
        <v>0</v>
      </c>
      <c r="L780" s="17"/>
    </row>
    <row r="781" ht="10.95" customHeight="true" customFormat="true" s="9">
      <c r="A781" s="16">
        <v>45322</v>
      </c>
      <c r="B781" s="17" t="s">
        <v>171</v>
      </c>
      <c r="C781" s="17" t="s">
        <v>136</v>
      </c>
      <c r="D781" s="17"/>
      <c r="E781" s="17" t="s">
        <v>214</v>
      </c>
      <c r="F781" s="17"/>
      <c r="G781" s="18">
        <v>4.5800</v>
      </c>
      <c r="H781" s="18">
        <v>0</v>
      </c>
      <c r="I781" s="18">
        <f ca="1">((I780 + G781) - H781)</f>
        <v>0</v>
      </c>
      <c r="J781" s="18">
        <v>0</v>
      </c>
      <c r="K781" s="19">
        <v>0</v>
      </c>
      <c r="L781" s="17"/>
    </row>
    <row r="782" ht="10.95" customHeight="true" customFormat="true" s="9">
      <c r="A782" s="16">
        <v>45322</v>
      </c>
      <c r="B782" s="17" t="s">
        <v>171</v>
      </c>
      <c r="C782" s="17" t="s">
        <v>136</v>
      </c>
      <c r="D782" s="17"/>
      <c r="E782" s="17" t="s">
        <v>215</v>
      </c>
      <c r="F782" s="17"/>
      <c r="G782" s="18">
        <v>1.3300</v>
      </c>
      <c r="H782" s="18">
        <v>0</v>
      </c>
      <c r="I782" s="18">
        <f ca="1">((I781 + G782) - H782)</f>
        <v>0</v>
      </c>
      <c r="J782" s="18">
        <v>0</v>
      </c>
      <c r="K782" s="19">
        <v>0</v>
      </c>
      <c r="L782" s="17"/>
    </row>
    <row r="783" ht="10.95" customHeight="true" customFormat="true" s="9">
      <c r="A783" s="16">
        <v>45351</v>
      </c>
      <c r="B783" s="17" t="s">
        <v>171</v>
      </c>
      <c r="C783" s="17" t="s">
        <v>136</v>
      </c>
      <c r="D783" s="17"/>
      <c r="E783" s="17" t="s">
        <v>216</v>
      </c>
      <c r="F783" s="17"/>
      <c r="G783" s="18">
        <v>85.8700</v>
      </c>
      <c r="H783" s="18">
        <v>0</v>
      </c>
      <c r="I783" s="18">
        <f ca="1">((I782 + G783) - H783)</f>
        <v>0</v>
      </c>
      <c r="J783" s="18">
        <v>0</v>
      </c>
      <c r="K783" s="19">
        <v>0</v>
      </c>
      <c r="L783" s="17"/>
    </row>
    <row r="784" ht="10.95" customHeight="true" customFormat="true" s="9">
      <c r="A784" s="16">
        <v>45351</v>
      </c>
      <c r="B784" s="17" t="s">
        <v>171</v>
      </c>
      <c r="C784" s="17" t="s">
        <v>136</v>
      </c>
      <c r="D784" s="17"/>
      <c r="E784" s="17" t="s">
        <v>217</v>
      </c>
      <c r="F784" s="17"/>
      <c r="G784" s="18">
        <v>111.5300</v>
      </c>
      <c r="H784" s="18">
        <v>0</v>
      </c>
      <c r="I784" s="18">
        <f ca="1">((I783 + G784) - H784)</f>
        <v>0</v>
      </c>
      <c r="J784" s="18">
        <v>0</v>
      </c>
      <c r="K784" s="19">
        <v>0</v>
      </c>
      <c r="L784" s="17"/>
    </row>
    <row r="785" ht="10.95" customHeight="true" customFormat="true" s="9">
      <c r="A785" s="16">
        <v>45351</v>
      </c>
      <c r="B785" s="17" t="s">
        <v>171</v>
      </c>
      <c r="C785" s="17" t="s">
        <v>136</v>
      </c>
      <c r="D785" s="17"/>
      <c r="E785" s="17" t="s">
        <v>218</v>
      </c>
      <c r="F785" s="17"/>
      <c r="G785" s="18">
        <v>37.3000</v>
      </c>
      <c r="H785" s="18">
        <v>0</v>
      </c>
      <c r="I785" s="18">
        <f ca="1">((I784 + G785) - H785)</f>
        <v>0</v>
      </c>
      <c r="J785" s="18">
        <v>0</v>
      </c>
      <c r="K785" s="19">
        <v>0</v>
      </c>
      <c r="L785" s="17"/>
    </row>
    <row r="786" ht="10.95" customHeight="true" customFormat="true" s="9">
      <c r="A786" s="16">
        <v>45351</v>
      </c>
      <c r="B786" s="17" t="s">
        <v>171</v>
      </c>
      <c r="C786" s="17" t="s">
        <v>136</v>
      </c>
      <c r="D786" s="17"/>
      <c r="E786" s="17" t="s">
        <v>219</v>
      </c>
      <c r="F786" s="17"/>
      <c r="G786" s="18">
        <v>31.0000</v>
      </c>
      <c r="H786" s="18">
        <v>0</v>
      </c>
      <c r="I786" s="18">
        <f ca="1">((I785 + G786) - H786)</f>
        <v>0</v>
      </c>
      <c r="J786" s="18">
        <v>0</v>
      </c>
      <c r="K786" s="19">
        <v>0</v>
      </c>
      <c r="L786" s="17"/>
    </row>
    <row r="787" ht="10.95" customHeight="true" customFormat="true" s="9">
      <c r="A787" s="16">
        <v>45351</v>
      </c>
      <c r="B787" s="17" t="s">
        <v>171</v>
      </c>
      <c r="C787" s="17" t="s">
        <v>136</v>
      </c>
      <c r="D787" s="17"/>
      <c r="E787" s="17" t="s">
        <v>220</v>
      </c>
      <c r="F787" s="17"/>
      <c r="G787" s="18">
        <v>10.4400</v>
      </c>
      <c r="H787" s="18">
        <v>0</v>
      </c>
      <c r="I787" s="18">
        <f ca="1">((I786 + G787) - H787)</f>
        <v>0</v>
      </c>
      <c r="J787" s="18">
        <v>0</v>
      </c>
      <c r="K787" s="19">
        <v>0</v>
      </c>
      <c r="L787" s="17"/>
    </row>
    <row r="788" ht="10.95" customHeight="true" customFormat="true" s="9">
      <c r="A788" s="16">
        <v>45351</v>
      </c>
      <c r="B788" s="17" t="s">
        <v>171</v>
      </c>
      <c r="C788" s="17" t="s">
        <v>136</v>
      </c>
      <c r="D788" s="17"/>
      <c r="E788" s="17" t="s">
        <v>221</v>
      </c>
      <c r="F788" s="17"/>
      <c r="G788" s="18">
        <v>20.4500</v>
      </c>
      <c r="H788" s="18">
        <v>0</v>
      </c>
      <c r="I788" s="18">
        <f ca="1">((I787 + G788) - H788)</f>
        <v>0</v>
      </c>
      <c r="J788" s="18">
        <v>0</v>
      </c>
      <c r="K788" s="19">
        <v>0</v>
      </c>
      <c r="L788" s="17"/>
    </row>
    <row r="789" ht="10.95" customHeight="true" customFormat="true" s="9">
      <c r="A789" s="16">
        <v>45351</v>
      </c>
      <c r="B789" s="17" t="s">
        <v>171</v>
      </c>
      <c r="C789" s="17" t="s">
        <v>136</v>
      </c>
      <c r="D789" s="17"/>
      <c r="E789" s="17" t="s">
        <v>222</v>
      </c>
      <c r="F789" s="17"/>
      <c r="G789" s="18">
        <v>13.2800</v>
      </c>
      <c r="H789" s="18">
        <v>0</v>
      </c>
      <c r="I789" s="18">
        <f ca="1">((I788 + G789) - H789)</f>
        <v>0</v>
      </c>
      <c r="J789" s="18">
        <v>0</v>
      </c>
      <c r="K789" s="19">
        <v>0</v>
      </c>
      <c r="L789" s="17"/>
    </row>
    <row r="790" ht="10.95" customHeight="true" customFormat="true" s="9">
      <c r="A790" s="16">
        <v>45351</v>
      </c>
      <c r="B790" s="17" t="s">
        <v>171</v>
      </c>
      <c r="C790" s="17" t="s">
        <v>136</v>
      </c>
      <c r="D790" s="17"/>
      <c r="E790" s="17" t="s">
        <v>223</v>
      </c>
      <c r="F790" s="17"/>
      <c r="G790" s="18">
        <v>12.8300</v>
      </c>
      <c r="H790" s="18">
        <v>0</v>
      </c>
      <c r="I790" s="18">
        <f ca="1">((I789 + G790) - H790)</f>
        <v>0</v>
      </c>
      <c r="J790" s="18">
        <v>0</v>
      </c>
      <c r="K790" s="19">
        <v>0</v>
      </c>
      <c r="L790" s="17"/>
    </row>
    <row r="791" ht="10.95" customHeight="true" customFormat="true" s="9">
      <c r="A791" s="16">
        <v>45382</v>
      </c>
      <c r="B791" s="17" t="s">
        <v>171</v>
      </c>
      <c r="C791" s="17" t="s">
        <v>136</v>
      </c>
      <c r="D791" s="17"/>
      <c r="E791" s="17" t="s">
        <v>224</v>
      </c>
      <c r="F791" s="17"/>
      <c r="G791" s="18">
        <v>91.8000</v>
      </c>
      <c r="H791" s="18">
        <v>0</v>
      </c>
      <c r="I791" s="18">
        <f ca="1">((I790 + G791) - H791)</f>
        <v>0</v>
      </c>
      <c r="J791" s="18">
        <v>0</v>
      </c>
      <c r="K791" s="19">
        <v>0</v>
      </c>
      <c r="L791" s="17"/>
    </row>
    <row r="792" ht="10.95" customHeight="true" customFormat="true" s="9">
      <c r="A792" s="16">
        <v>45382</v>
      </c>
      <c r="B792" s="17" t="s">
        <v>171</v>
      </c>
      <c r="C792" s="17" t="s">
        <v>136</v>
      </c>
      <c r="D792" s="17"/>
      <c r="E792" s="17" t="s">
        <v>225</v>
      </c>
      <c r="F792" s="17"/>
      <c r="G792" s="18">
        <v>119.2400</v>
      </c>
      <c r="H792" s="18">
        <v>0</v>
      </c>
      <c r="I792" s="18">
        <f ca="1">((I791 + G792) - H792)</f>
        <v>0</v>
      </c>
      <c r="J792" s="18">
        <v>0</v>
      </c>
      <c r="K792" s="19">
        <v>0</v>
      </c>
      <c r="L792" s="17"/>
    </row>
    <row r="793" ht="10.95" customHeight="true" customFormat="true" s="9">
      <c r="A793" s="16">
        <v>45382</v>
      </c>
      <c r="B793" s="17" t="s">
        <v>171</v>
      </c>
      <c r="C793" s="17" t="s">
        <v>136</v>
      </c>
      <c r="D793" s="17"/>
      <c r="E793" s="17" t="s">
        <v>226</v>
      </c>
      <c r="F793" s="17"/>
      <c r="G793" s="18">
        <v>39.8800</v>
      </c>
      <c r="H793" s="18">
        <v>0</v>
      </c>
      <c r="I793" s="18">
        <f ca="1">((I792 + G793) - H793)</f>
        <v>0</v>
      </c>
      <c r="J793" s="18">
        <v>0</v>
      </c>
      <c r="K793" s="19">
        <v>0</v>
      </c>
      <c r="L793" s="17"/>
    </row>
    <row r="794" ht="10.95" customHeight="true" customFormat="true" s="9">
      <c r="A794" s="16">
        <v>45382</v>
      </c>
      <c r="B794" s="17" t="s">
        <v>171</v>
      </c>
      <c r="C794" s="17" t="s">
        <v>136</v>
      </c>
      <c r="D794" s="17"/>
      <c r="E794" s="17" t="s">
        <v>227</v>
      </c>
      <c r="F794" s="17"/>
      <c r="G794" s="18">
        <v>33.1400</v>
      </c>
      <c r="H794" s="18">
        <v>0</v>
      </c>
      <c r="I794" s="18">
        <f ca="1">((I793 + G794) - H794)</f>
        <v>0</v>
      </c>
      <c r="J794" s="18">
        <v>0</v>
      </c>
      <c r="K794" s="19">
        <v>0</v>
      </c>
      <c r="L794" s="17"/>
    </row>
    <row r="795" ht="10.95" customHeight="true" customFormat="true" s="9">
      <c r="A795" s="16">
        <v>45382</v>
      </c>
      <c r="B795" s="17" t="s">
        <v>171</v>
      </c>
      <c r="C795" s="17" t="s">
        <v>136</v>
      </c>
      <c r="D795" s="17"/>
      <c r="E795" s="17" t="s">
        <v>228</v>
      </c>
      <c r="F795" s="17"/>
      <c r="G795" s="18">
        <v>11.1500</v>
      </c>
      <c r="H795" s="18">
        <v>0</v>
      </c>
      <c r="I795" s="18">
        <f ca="1">((I794 + G795) - H795)</f>
        <v>0</v>
      </c>
      <c r="J795" s="18">
        <v>0</v>
      </c>
      <c r="K795" s="19">
        <v>0</v>
      </c>
      <c r="L795" s="17"/>
    </row>
    <row r="796" ht="10.95" customHeight="true" customFormat="true" s="9">
      <c r="A796" s="16">
        <v>45382</v>
      </c>
      <c r="B796" s="17" t="s">
        <v>171</v>
      </c>
      <c r="C796" s="17" t="s">
        <v>136</v>
      </c>
      <c r="D796" s="17"/>
      <c r="E796" s="17" t="s">
        <v>229</v>
      </c>
      <c r="F796" s="17"/>
      <c r="G796" s="18">
        <v>21.8500</v>
      </c>
      <c r="H796" s="18">
        <v>0</v>
      </c>
      <c r="I796" s="18">
        <f ca="1">((I795 + G796) - H796)</f>
        <v>0</v>
      </c>
      <c r="J796" s="18">
        <v>0</v>
      </c>
      <c r="K796" s="19">
        <v>0</v>
      </c>
      <c r="L796" s="17"/>
    </row>
    <row r="797" ht="10.95" customHeight="true" customFormat="true" s="9">
      <c r="A797" s="16">
        <v>45382</v>
      </c>
      <c r="B797" s="17" t="s">
        <v>171</v>
      </c>
      <c r="C797" s="17" t="s">
        <v>136</v>
      </c>
      <c r="D797" s="17"/>
      <c r="E797" s="17" t="s">
        <v>230</v>
      </c>
      <c r="F797" s="17"/>
      <c r="G797" s="18">
        <v>14.2000</v>
      </c>
      <c r="H797" s="18">
        <v>0</v>
      </c>
      <c r="I797" s="18">
        <f ca="1">((I796 + G797) - H797)</f>
        <v>0</v>
      </c>
      <c r="J797" s="18">
        <v>0</v>
      </c>
      <c r="K797" s="19">
        <v>0</v>
      </c>
      <c r="L797" s="17"/>
    </row>
    <row r="798" ht="10.95" customHeight="true" customFormat="true" s="9">
      <c r="A798" s="16">
        <v>45382</v>
      </c>
      <c r="B798" s="17" t="s">
        <v>171</v>
      </c>
      <c r="C798" s="17" t="s">
        <v>136</v>
      </c>
      <c r="D798" s="17"/>
      <c r="E798" s="17" t="s">
        <v>231</v>
      </c>
      <c r="F798" s="17"/>
      <c r="G798" s="18">
        <v>13.7300</v>
      </c>
      <c r="H798" s="18">
        <v>0</v>
      </c>
      <c r="I798" s="18">
        <f ca="1">((I797 + G798) - H798)</f>
        <v>0</v>
      </c>
      <c r="J798" s="18">
        <v>0</v>
      </c>
      <c r="K798" s="19">
        <v>0</v>
      </c>
      <c r="L798" s="17"/>
    </row>
    <row r="799" ht="10.95" customHeight="true" customFormat="true" s="9">
      <c r="A799" s="16">
        <v>45412</v>
      </c>
      <c r="B799" s="17" t="s">
        <v>171</v>
      </c>
      <c r="C799" s="17" t="s">
        <v>136</v>
      </c>
      <c r="D799" s="17"/>
      <c r="E799" s="17" t="s">
        <v>232</v>
      </c>
      <c r="F799" s="17"/>
      <c r="G799" s="18">
        <v>88.8300</v>
      </c>
      <c r="H799" s="18">
        <v>0</v>
      </c>
      <c r="I799" s="18">
        <f ca="1">((I798 + G799) - H799)</f>
        <v>0</v>
      </c>
      <c r="J799" s="18">
        <v>0</v>
      </c>
      <c r="K799" s="19">
        <v>0</v>
      </c>
      <c r="L799" s="17"/>
    </row>
    <row r="800" ht="10.95" customHeight="true" customFormat="true" s="9">
      <c r="A800" s="16">
        <v>45412</v>
      </c>
      <c r="B800" s="17" t="s">
        <v>171</v>
      </c>
      <c r="C800" s="17" t="s">
        <v>136</v>
      </c>
      <c r="D800" s="17"/>
      <c r="E800" s="17" t="s">
        <v>233</v>
      </c>
      <c r="F800" s="17"/>
      <c r="G800" s="18">
        <v>115.3800</v>
      </c>
      <c r="H800" s="18">
        <v>0</v>
      </c>
      <c r="I800" s="18">
        <f ca="1">((I799 + G800) - H800)</f>
        <v>0</v>
      </c>
      <c r="J800" s="18">
        <v>0</v>
      </c>
      <c r="K800" s="19">
        <v>0</v>
      </c>
      <c r="L800" s="17"/>
    </row>
    <row r="801" ht="10.95" customHeight="true" customFormat="true" s="9">
      <c r="A801" s="16">
        <v>45412</v>
      </c>
      <c r="B801" s="17" t="s">
        <v>171</v>
      </c>
      <c r="C801" s="17" t="s">
        <v>136</v>
      </c>
      <c r="D801" s="17"/>
      <c r="E801" s="17" t="s">
        <v>234</v>
      </c>
      <c r="F801" s="17"/>
      <c r="G801" s="18">
        <v>38.5900</v>
      </c>
      <c r="H801" s="18">
        <v>0</v>
      </c>
      <c r="I801" s="18">
        <f ca="1">((I800 + G801) - H801)</f>
        <v>0</v>
      </c>
      <c r="J801" s="18">
        <v>0</v>
      </c>
      <c r="K801" s="19">
        <v>0</v>
      </c>
      <c r="L801" s="17"/>
    </row>
    <row r="802" ht="10.95" customHeight="true" customFormat="true" s="9">
      <c r="A802" s="16">
        <v>45412</v>
      </c>
      <c r="B802" s="17" t="s">
        <v>171</v>
      </c>
      <c r="C802" s="17" t="s">
        <v>136</v>
      </c>
      <c r="D802" s="17"/>
      <c r="E802" s="17" t="s">
        <v>235</v>
      </c>
      <c r="F802" s="17"/>
      <c r="G802" s="18">
        <v>32.0800</v>
      </c>
      <c r="H802" s="18">
        <v>0</v>
      </c>
      <c r="I802" s="18">
        <f ca="1">((I801 + G802) - H802)</f>
        <v>0</v>
      </c>
      <c r="J802" s="18">
        <v>0</v>
      </c>
      <c r="K802" s="19">
        <v>0</v>
      </c>
      <c r="L802" s="17"/>
    </row>
    <row r="803" ht="10.95" customHeight="true" customFormat="true" s="9">
      <c r="A803" s="16">
        <v>45412</v>
      </c>
      <c r="B803" s="17" t="s">
        <v>171</v>
      </c>
      <c r="C803" s="17" t="s">
        <v>136</v>
      </c>
      <c r="D803" s="17"/>
      <c r="E803" s="17" t="s">
        <v>236</v>
      </c>
      <c r="F803" s="17"/>
      <c r="G803" s="18">
        <v>10.7900</v>
      </c>
      <c r="H803" s="18">
        <v>0</v>
      </c>
      <c r="I803" s="18">
        <f ca="1">((I802 + G803) - H803)</f>
        <v>0</v>
      </c>
      <c r="J803" s="18">
        <v>0</v>
      </c>
      <c r="K803" s="19">
        <v>0</v>
      </c>
      <c r="L803" s="17"/>
    </row>
    <row r="804" ht="10.95" customHeight="true" customFormat="true" s="9">
      <c r="A804" s="16">
        <v>45412</v>
      </c>
      <c r="B804" s="17" t="s">
        <v>171</v>
      </c>
      <c r="C804" s="17" t="s">
        <v>136</v>
      </c>
      <c r="D804" s="17"/>
      <c r="E804" s="17" t="s">
        <v>237</v>
      </c>
      <c r="F804" s="17"/>
      <c r="G804" s="18">
        <v>21.1600</v>
      </c>
      <c r="H804" s="18">
        <v>0</v>
      </c>
      <c r="I804" s="18">
        <f ca="1">((I803 + G804) - H804)</f>
        <v>0</v>
      </c>
      <c r="J804" s="18">
        <v>0</v>
      </c>
      <c r="K804" s="19">
        <v>0</v>
      </c>
      <c r="L804" s="17"/>
    </row>
    <row r="805" ht="10.95" customHeight="true" customFormat="true" s="9">
      <c r="A805" s="16">
        <v>45412</v>
      </c>
      <c r="B805" s="17" t="s">
        <v>171</v>
      </c>
      <c r="C805" s="17" t="s">
        <v>136</v>
      </c>
      <c r="D805" s="17"/>
      <c r="E805" s="17" t="s">
        <v>238</v>
      </c>
      <c r="F805" s="17"/>
      <c r="G805" s="18">
        <v>13.7400</v>
      </c>
      <c r="H805" s="18">
        <v>0</v>
      </c>
      <c r="I805" s="18">
        <f ca="1">((I804 + G805) - H805)</f>
        <v>0</v>
      </c>
      <c r="J805" s="18">
        <v>0</v>
      </c>
      <c r="K805" s="19">
        <v>0</v>
      </c>
      <c r="L805" s="17"/>
    </row>
    <row r="806" ht="10.95" customHeight="true" customFormat="true" s="9">
      <c r="A806" s="16">
        <v>45412</v>
      </c>
      <c r="B806" s="17" t="s">
        <v>171</v>
      </c>
      <c r="C806" s="17" t="s">
        <v>136</v>
      </c>
      <c r="D806" s="17"/>
      <c r="E806" s="17" t="s">
        <v>239</v>
      </c>
      <c r="F806" s="17"/>
      <c r="G806" s="18">
        <v>13.2700</v>
      </c>
      <c r="H806" s="18">
        <v>0</v>
      </c>
      <c r="I806" s="18">
        <f ca="1">((I805 + G806) - H806)</f>
        <v>0</v>
      </c>
      <c r="J806" s="18">
        <v>0</v>
      </c>
      <c r="K806" s="19">
        <v>0</v>
      </c>
      <c r="L806" s="17"/>
    </row>
    <row r="807" ht="10.95" customHeight="true" customFormat="true" s="9">
      <c r="A807" s="16">
        <v>45443</v>
      </c>
      <c r="B807" s="17" t="s">
        <v>171</v>
      </c>
      <c r="C807" s="17" t="s">
        <v>136</v>
      </c>
      <c r="D807" s="17"/>
      <c r="E807" s="17" t="s">
        <v>240</v>
      </c>
      <c r="F807" s="17"/>
      <c r="G807" s="18">
        <v>91.8000</v>
      </c>
      <c r="H807" s="18">
        <v>0</v>
      </c>
      <c r="I807" s="18">
        <f ca="1">((I806 + G807) - H807)</f>
        <v>0</v>
      </c>
      <c r="J807" s="18">
        <v>0</v>
      </c>
      <c r="K807" s="19">
        <v>0</v>
      </c>
      <c r="L807" s="17"/>
    </row>
    <row r="808" ht="10.95" customHeight="true" customFormat="true" s="9">
      <c r="A808" s="16">
        <v>45443</v>
      </c>
      <c r="B808" s="17" t="s">
        <v>171</v>
      </c>
      <c r="C808" s="17" t="s">
        <v>136</v>
      </c>
      <c r="D808" s="17"/>
      <c r="E808" s="17" t="s">
        <v>241</v>
      </c>
      <c r="F808" s="17"/>
      <c r="G808" s="18">
        <v>119.2300</v>
      </c>
      <c r="H808" s="18">
        <v>0</v>
      </c>
      <c r="I808" s="18">
        <f ca="1">((I807 + G808) - H808)</f>
        <v>0</v>
      </c>
      <c r="J808" s="18">
        <v>0</v>
      </c>
      <c r="K808" s="19">
        <v>0</v>
      </c>
      <c r="L808" s="17"/>
    </row>
    <row r="809" ht="10.95" customHeight="true" customFormat="true" s="9">
      <c r="A809" s="16">
        <v>45443</v>
      </c>
      <c r="B809" s="17" t="s">
        <v>171</v>
      </c>
      <c r="C809" s="17" t="s">
        <v>136</v>
      </c>
      <c r="D809" s="17"/>
      <c r="E809" s="17" t="s">
        <v>242</v>
      </c>
      <c r="F809" s="17"/>
      <c r="G809" s="18">
        <v>39.8700</v>
      </c>
      <c r="H809" s="18">
        <v>0</v>
      </c>
      <c r="I809" s="18">
        <f ca="1">((I808 + G809) - H809)</f>
        <v>0</v>
      </c>
      <c r="J809" s="18">
        <v>0</v>
      </c>
      <c r="K809" s="19">
        <v>0</v>
      </c>
      <c r="L809" s="17"/>
    </row>
    <row r="810" ht="10.95" customHeight="true" customFormat="true" s="9">
      <c r="A810" s="16">
        <v>45443</v>
      </c>
      <c r="B810" s="17" t="s">
        <v>171</v>
      </c>
      <c r="C810" s="17" t="s">
        <v>136</v>
      </c>
      <c r="D810" s="17"/>
      <c r="E810" s="17" t="s">
        <v>243</v>
      </c>
      <c r="F810" s="17"/>
      <c r="G810" s="18">
        <v>33.1400</v>
      </c>
      <c r="H810" s="18">
        <v>0</v>
      </c>
      <c r="I810" s="18">
        <f ca="1">((I809 + G810) - H810)</f>
        <v>0</v>
      </c>
      <c r="J810" s="18">
        <v>0</v>
      </c>
      <c r="K810" s="19">
        <v>0</v>
      </c>
      <c r="L810" s="17"/>
    </row>
    <row r="811" ht="10.95" customHeight="true" customFormat="true" s="9">
      <c r="A811" s="16">
        <v>45443</v>
      </c>
      <c r="B811" s="17" t="s">
        <v>171</v>
      </c>
      <c r="C811" s="17" t="s">
        <v>136</v>
      </c>
      <c r="D811" s="17"/>
      <c r="E811" s="17" t="s">
        <v>244</v>
      </c>
      <c r="F811" s="17"/>
      <c r="G811" s="18">
        <v>11.1600</v>
      </c>
      <c r="H811" s="18">
        <v>0</v>
      </c>
      <c r="I811" s="18">
        <f ca="1">((I810 + G811) - H811)</f>
        <v>0</v>
      </c>
      <c r="J811" s="18">
        <v>0</v>
      </c>
      <c r="K811" s="19">
        <v>0</v>
      </c>
      <c r="L811" s="17"/>
    </row>
    <row r="812" ht="10.95" customHeight="true" customFormat="true" s="9">
      <c r="A812" s="16">
        <v>45443</v>
      </c>
      <c r="B812" s="17" t="s">
        <v>171</v>
      </c>
      <c r="C812" s="17" t="s">
        <v>136</v>
      </c>
      <c r="D812" s="17"/>
      <c r="E812" s="17" t="s">
        <v>245</v>
      </c>
      <c r="F812" s="17"/>
      <c r="G812" s="18">
        <v>21.8600</v>
      </c>
      <c r="H812" s="18">
        <v>0</v>
      </c>
      <c r="I812" s="18">
        <f ca="1">((I811 + G812) - H812)</f>
        <v>0</v>
      </c>
      <c r="J812" s="18">
        <v>0</v>
      </c>
      <c r="K812" s="19">
        <v>0</v>
      </c>
      <c r="L812" s="17"/>
    </row>
    <row r="813" ht="10.95" customHeight="true" customFormat="true" s="9">
      <c r="A813" s="16">
        <v>45443</v>
      </c>
      <c r="B813" s="17" t="s">
        <v>171</v>
      </c>
      <c r="C813" s="17" t="s">
        <v>136</v>
      </c>
      <c r="D813" s="17"/>
      <c r="E813" s="17" t="s">
        <v>246</v>
      </c>
      <c r="F813" s="17"/>
      <c r="G813" s="18">
        <v>14.1900</v>
      </c>
      <c r="H813" s="18">
        <v>0</v>
      </c>
      <c r="I813" s="18">
        <f ca="1">((I812 + G813) - H813)</f>
        <v>0</v>
      </c>
      <c r="J813" s="18">
        <v>0</v>
      </c>
      <c r="K813" s="19">
        <v>0</v>
      </c>
      <c r="L813" s="17"/>
    </row>
    <row r="814" ht="10.95" customHeight="true" customFormat="true" s="9">
      <c r="A814" s="16">
        <v>45443</v>
      </c>
      <c r="B814" s="17" t="s">
        <v>171</v>
      </c>
      <c r="C814" s="17" t="s">
        <v>136</v>
      </c>
      <c r="D814" s="17"/>
      <c r="E814" s="17" t="s">
        <v>247</v>
      </c>
      <c r="F814" s="17"/>
      <c r="G814" s="18">
        <v>13.7300</v>
      </c>
      <c r="H814" s="18">
        <v>0</v>
      </c>
      <c r="I814" s="18">
        <f ca="1">((I813 + G814) - H814)</f>
        <v>0</v>
      </c>
      <c r="J814" s="18">
        <v>0</v>
      </c>
      <c r="K814" s="19">
        <v>0</v>
      </c>
      <c r="L814" s="17"/>
    </row>
    <row r="815" ht="10.95" customHeight="true" customFormat="true" s="9">
      <c r="A815" s="16">
        <v>45473</v>
      </c>
      <c r="B815" s="17" t="s">
        <v>171</v>
      </c>
      <c r="C815" s="17" t="s">
        <v>136</v>
      </c>
      <c r="D815" s="17"/>
      <c r="E815" s="17" t="s">
        <v>248</v>
      </c>
      <c r="F815" s="17"/>
      <c r="G815" s="18">
        <v>88.8400</v>
      </c>
      <c r="H815" s="18">
        <v>0</v>
      </c>
      <c r="I815" s="18">
        <f ca="1">((I814 + G815) - H815)</f>
        <v>0</v>
      </c>
      <c r="J815" s="18">
        <v>0</v>
      </c>
      <c r="K815" s="19">
        <v>0</v>
      </c>
      <c r="L815" s="17"/>
    </row>
    <row r="816" ht="10.95" customHeight="true" customFormat="true" s="9">
      <c r="A816" s="16">
        <v>45473</v>
      </c>
      <c r="B816" s="17" t="s">
        <v>171</v>
      </c>
      <c r="C816" s="17" t="s">
        <v>136</v>
      </c>
      <c r="D816" s="17"/>
      <c r="E816" s="17" t="s">
        <v>249</v>
      </c>
      <c r="F816" s="17"/>
      <c r="G816" s="18">
        <v>115.3900</v>
      </c>
      <c r="H816" s="18">
        <v>0</v>
      </c>
      <c r="I816" s="18">
        <f ca="1">((I815 + G816) - H816)</f>
        <v>0</v>
      </c>
      <c r="J816" s="18">
        <v>0</v>
      </c>
      <c r="K816" s="19">
        <v>0</v>
      </c>
      <c r="L816" s="17"/>
    </row>
    <row r="817" ht="10.95" customHeight="true" customFormat="true" s="9">
      <c r="A817" s="16">
        <v>45473</v>
      </c>
      <c r="B817" s="17" t="s">
        <v>171</v>
      </c>
      <c r="C817" s="17" t="s">
        <v>136</v>
      </c>
      <c r="D817" s="17"/>
      <c r="E817" s="17" t="s">
        <v>250</v>
      </c>
      <c r="F817" s="17"/>
      <c r="G817" s="18">
        <v>38.5900</v>
      </c>
      <c r="H817" s="18">
        <v>0</v>
      </c>
      <c r="I817" s="18">
        <f ca="1">((I816 + G817) - H817)</f>
        <v>0</v>
      </c>
      <c r="J817" s="18">
        <v>0</v>
      </c>
      <c r="K817" s="19">
        <v>0</v>
      </c>
      <c r="L817" s="17"/>
    </row>
    <row r="818" ht="10.95" customHeight="true" customFormat="true" s="9">
      <c r="A818" s="16">
        <v>45473</v>
      </c>
      <c r="B818" s="17" t="s">
        <v>171</v>
      </c>
      <c r="C818" s="17" t="s">
        <v>136</v>
      </c>
      <c r="D818" s="17"/>
      <c r="E818" s="17" t="s">
        <v>251</v>
      </c>
      <c r="F818" s="17"/>
      <c r="G818" s="18">
        <v>32.0700</v>
      </c>
      <c r="H818" s="18">
        <v>0</v>
      </c>
      <c r="I818" s="18">
        <f ca="1">((I817 + G818) - H818)</f>
        <v>0</v>
      </c>
      <c r="J818" s="18">
        <v>0</v>
      </c>
      <c r="K818" s="19">
        <v>0</v>
      </c>
      <c r="L818" s="17"/>
    </row>
    <row r="819" ht="10.95" customHeight="true" customFormat="true" s="9">
      <c r="A819" s="16">
        <v>45473</v>
      </c>
      <c r="B819" s="17" t="s">
        <v>171</v>
      </c>
      <c r="C819" s="17" t="s">
        <v>136</v>
      </c>
      <c r="D819" s="17"/>
      <c r="E819" s="17" t="s">
        <v>252</v>
      </c>
      <c r="F819" s="17"/>
      <c r="G819" s="18">
        <v>10.7900</v>
      </c>
      <c r="H819" s="18">
        <v>0</v>
      </c>
      <c r="I819" s="18">
        <f ca="1">((I818 + G819) - H819)</f>
        <v>0</v>
      </c>
      <c r="J819" s="18">
        <v>0</v>
      </c>
      <c r="K819" s="19">
        <v>0</v>
      </c>
      <c r="L819" s="17"/>
    </row>
    <row r="820" ht="10.95" customHeight="true" customFormat="true" s="9">
      <c r="A820" s="16">
        <v>45473</v>
      </c>
      <c r="B820" s="17" t="s">
        <v>171</v>
      </c>
      <c r="C820" s="17" t="s">
        <v>136</v>
      </c>
      <c r="D820" s="17"/>
      <c r="E820" s="17" t="s">
        <v>253</v>
      </c>
      <c r="F820" s="17"/>
      <c r="G820" s="18">
        <v>21.1500</v>
      </c>
      <c r="H820" s="18">
        <v>0</v>
      </c>
      <c r="I820" s="18">
        <f ca="1">((I819 + G820) - H820)</f>
        <v>0</v>
      </c>
      <c r="J820" s="18">
        <v>0</v>
      </c>
      <c r="K820" s="19">
        <v>0</v>
      </c>
      <c r="L820" s="17"/>
    </row>
    <row r="821" ht="10.95" customHeight="true" customFormat="true" s="9">
      <c r="A821" s="16">
        <v>45473</v>
      </c>
      <c r="B821" s="17" t="s">
        <v>171</v>
      </c>
      <c r="C821" s="17" t="s">
        <v>136</v>
      </c>
      <c r="D821" s="17"/>
      <c r="E821" s="17" t="s">
        <v>254</v>
      </c>
      <c r="F821" s="17"/>
      <c r="G821" s="18">
        <v>13.7400</v>
      </c>
      <c r="H821" s="18">
        <v>0</v>
      </c>
      <c r="I821" s="18">
        <f ca="1">((I820 + G821) - H821)</f>
        <v>0</v>
      </c>
      <c r="J821" s="18">
        <v>0</v>
      </c>
      <c r="K821" s="19">
        <v>0</v>
      </c>
      <c r="L821" s="17"/>
    </row>
    <row r="822" ht="10.95" customHeight="true" customFormat="true" s="9">
      <c r="A822" s="16">
        <v>45473</v>
      </c>
      <c r="B822" s="17" t="s">
        <v>171</v>
      </c>
      <c r="C822" s="17" t="s">
        <v>136</v>
      </c>
      <c r="D822" s="17"/>
      <c r="E822" s="17" t="s">
        <v>255</v>
      </c>
      <c r="F822" s="17"/>
      <c r="G822" s="18">
        <v>13.2700</v>
      </c>
      <c r="H822" s="18">
        <v>0</v>
      </c>
      <c r="I822" s="18">
        <f ca="1">((I821 + G822) - H822)</f>
        <v>0</v>
      </c>
      <c r="J822" s="18">
        <v>0</v>
      </c>
      <c r="K822" s="19">
        <v>0</v>
      </c>
      <c r="L822" s="17"/>
    </row>
    <row r="823" ht="10.95" customHeight="true" customFormat="true" s="9">
      <c r="A823" s="20" t="s">
        <v>256</v>
      </c>
      <c r="B823" s="20"/>
      <c r="C823" s="20"/>
      <c r="D823" s="20"/>
      <c r="E823" s="20"/>
      <c r="F823" s="20"/>
      <c r="G823" s="21">
        <f ca="1">SUM(G739:G822)</f>
        <v>0</v>
      </c>
      <c r="H823" s="21">
        <f ca="1">SUM(H739:H822)</f>
        <v>0</v>
      </c>
      <c r="I823" s="21">
        <f ca="1">I822</f>
        <v>0</v>
      </c>
      <c r="J823" s="21">
        <f ca="1">SUM(J739:J822)</f>
        <v>0</v>
      </c>
      <c r="K823" s="20"/>
      <c r="L823" s="20"/>
    </row>
    <row r="824" ht="10.95" customHeight="true" customFormat="true" s="9">
      <c r="A824" s="20" t="s">
        <v>53</v>
      </c>
      <c r="B824" s="20"/>
      <c r="C824" s="20"/>
      <c r="D824" s="20"/>
      <c r="E824" s="20"/>
      <c r="F824" s="20"/>
      <c r="G824" s="21">
        <v>3885.2200</v>
      </c>
      <c r="H824" s="21">
        <v>0</v>
      </c>
      <c r="I824" s="21">
        <v>0</v>
      </c>
      <c r="J824" s="21">
        <v>0</v>
      </c>
      <c r="K824" s="20"/>
      <c r="L824" s="20"/>
    </row>
    <row r="825" ht="10.95" customHeight="true" customFormat="true" s="9">
      <c r="A825" s="10" t="s">
        <v>54</v>
      </c>
      <c r="B825" s="10"/>
      <c r="C825" s="10"/>
      <c r="D825" s="10"/>
      <c r="E825" s="10"/>
      <c r="F825" s="10"/>
      <c r="G825" s="11">
        <v>3885.2200</v>
      </c>
      <c r="H825" s="11">
        <v>0</v>
      </c>
      <c r="I825" s="11">
        <f ca="1">I822</f>
        <v>0</v>
      </c>
      <c r="J825" s="11">
        <v>0</v>
      </c>
      <c r="K825" s="10"/>
      <c r="L825" s="10"/>
    </row>
    <row r="826" ht="13.35" customHeight="true"/>
    <row r="827" ht="12.1" customHeight="true" customFormat="true" s="5">
      <c r="A827" s="8" t="s">
        <v>257</v>
      </c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ht="10.95" customHeight="true" customFormat="true" s="9">
      <c r="A828" s="10" t="s">
        <v>16</v>
      </c>
      <c r="B828" s="10"/>
      <c r="C828" s="10"/>
      <c r="D828" s="10"/>
      <c r="E828" s="10"/>
      <c r="F828" s="10"/>
      <c r="G828" s="11">
        <v>0</v>
      </c>
      <c r="H828" s="11">
        <v>0</v>
      </c>
      <c r="I828" s="11">
        <f ca="1">(G828 - H828)</f>
        <v>0</v>
      </c>
      <c r="J828" s="11">
        <v>0</v>
      </c>
      <c r="K828" s="10"/>
      <c r="L828" s="10"/>
    </row>
    <row r="829" ht="10.95" customHeight="true" customFormat="true" s="9">
      <c r="A829" s="12">
        <v>45267</v>
      </c>
      <c r="B829" s="13" t="s">
        <v>258</v>
      </c>
      <c r="C829" s="13" t="s">
        <v>136</v>
      </c>
      <c r="D829" s="13" t="s">
        <v>22</v>
      </c>
      <c r="E829" s="13" t="s">
        <v>259</v>
      </c>
      <c r="F829" s="13"/>
      <c r="G829" s="14">
        <v>18.1400</v>
      </c>
      <c r="H829" s="14">
        <v>0</v>
      </c>
      <c r="I829" s="14">
        <f ca="1">((I828 + G829) - H829)</f>
        <v>0</v>
      </c>
      <c r="J829" s="14">
        <v>1.8100</v>
      </c>
      <c r="K829" s="15">
        <v>10.0000</v>
      </c>
      <c r="L829" s="13" t="s">
        <v>80</v>
      </c>
    </row>
    <row r="830" ht="10.95" customHeight="true" customFormat="true" s="9">
      <c r="A830" s="16">
        <v>45291</v>
      </c>
      <c r="B830" s="17" t="s">
        <v>258</v>
      </c>
      <c r="C830" s="17" t="s">
        <v>136</v>
      </c>
      <c r="D830" s="17" t="s">
        <v>25</v>
      </c>
      <c r="E830" s="17" t="s">
        <v>113</v>
      </c>
      <c r="F830" s="17" t="s">
        <v>32</v>
      </c>
      <c r="G830" s="18">
        <v>600.7700</v>
      </c>
      <c r="H830" s="18">
        <v>0</v>
      </c>
      <c r="I830" s="18">
        <f ca="1">((I829 + G830) - H830)</f>
        <v>0</v>
      </c>
      <c r="J830" s="18">
        <v>60.0800</v>
      </c>
      <c r="K830" s="19">
        <v>10.0000</v>
      </c>
      <c r="L830" s="17" t="s">
        <v>80</v>
      </c>
    </row>
    <row r="831" ht="10.95" customHeight="true" customFormat="true" s="9">
      <c r="A831" s="16">
        <v>45291</v>
      </c>
      <c r="B831" s="17" t="s">
        <v>258</v>
      </c>
      <c r="C831" s="17" t="s">
        <v>136</v>
      </c>
      <c r="D831" s="17" t="s">
        <v>25</v>
      </c>
      <c r="E831" s="17" t="s">
        <v>113</v>
      </c>
      <c r="F831" s="17" t="s">
        <v>32</v>
      </c>
      <c r="G831" s="18">
        <v>286.2900</v>
      </c>
      <c r="H831" s="18">
        <v>0</v>
      </c>
      <c r="I831" s="18">
        <f ca="1">((I830 + G831) - H831)</f>
        <v>0</v>
      </c>
      <c r="J831" s="18">
        <v>0</v>
      </c>
      <c r="K831" s="19">
        <v>0</v>
      </c>
      <c r="L831" s="17" t="s">
        <v>82</v>
      </c>
    </row>
    <row r="832" ht="10.95" customHeight="true" customFormat="true" s="9">
      <c r="A832" s="16">
        <v>45473</v>
      </c>
      <c r="B832" s="17" t="s">
        <v>258</v>
      </c>
      <c r="C832" s="17" t="s">
        <v>136</v>
      </c>
      <c r="D832" s="17" t="s">
        <v>25</v>
      </c>
      <c r="E832" s="17" t="s">
        <v>260</v>
      </c>
      <c r="F832" s="17" t="s">
        <v>50</v>
      </c>
      <c r="G832" s="18">
        <v>61.8900</v>
      </c>
      <c r="H832" s="18">
        <v>0</v>
      </c>
      <c r="I832" s="18">
        <f ca="1">((I831 + G832) - H832)</f>
        <v>0</v>
      </c>
      <c r="J832" s="18">
        <v>0</v>
      </c>
      <c r="K832" s="19">
        <v>0</v>
      </c>
      <c r="L832" s="17" t="s">
        <v>28</v>
      </c>
    </row>
    <row r="833" ht="10.95" customHeight="true" customFormat="true" s="9">
      <c r="A833" s="20" t="s">
        <v>261</v>
      </c>
      <c r="B833" s="20"/>
      <c r="C833" s="20"/>
      <c r="D833" s="20"/>
      <c r="E833" s="20"/>
      <c r="F833" s="20"/>
      <c r="G833" s="21">
        <f ca="1">SUM(G829:G832)</f>
        <v>0</v>
      </c>
      <c r="H833" s="21">
        <f ca="1">SUM(H829:H832)</f>
        <v>0</v>
      </c>
      <c r="I833" s="21">
        <f ca="1">I832</f>
        <v>0</v>
      </c>
      <c r="J833" s="21">
        <f ca="1">SUM(J829:J832)</f>
        <v>0</v>
      </c>
      <c r="K833" s="20"/>
      <c r="L833" s="20"/>
    </row>
    <row r="834" ht="10.95" customHeight="true" customFormat="true" s="9">
      <c r="A834" s="20" t="s">
        <v>53</v>
      </c>
      <c r="B834" s="20"/>
      <c r="C834" s="20"/>
      <c r="D834" s="20"/>
      <c r="E834" s="20"/>
      <c r="F834" s="20"/>
      <c r="G834" s="21">
        <v>967.0900</v>
      </c>
      <c r="H834" s="21">
        <v>0</v>
      </c>
      <c r="I834" s="21">
        <v>0</v>
      </c>
      <c r="J834" s="21">
        <v>0</v>
      </c>
      <c r="K834" s="20"/>
      <c r="L834" s="20"/>
    </row>
    <row r="835" ht="10.95" customHeight="true" customFormat="true" s="9">
      <c r="A835" s="10" t="s">
        <v>54</v>
      </c>
      <c r="B835" s="10"/>
      <c r="C835" s="10"/>
      <c r="D835" s="10"/>
      <c r="E835" s="10"/>
      <c r="F835" s="10"/>
      <c r="G835" s="11">
        <v>967.0900</v>
      </c>
      <c r="H835" s="11">
        <v>0</v>
      </c>
      <c r="I835" s="11">
        <f ca="1">I832</f>
        <v>0</v>
      </c>
      <c r="J835" s="11">
        <v>0</v>
      </c>
      <c r="K835" s="10"/>
      <c r="L835" s="10"/>
    </row>
    <row r="836" ht="13.35" customHeight="true"/>
    <row r="837" ht="12.1" customHeight="true" customFormat="true" s="5">
      <c r="A837" s="8" t="s">
        <v>262</v>
      </c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ht="10.95" customHeight="true" customFormat="true" s="9">
      <c r="A838" s="10" t="s">
        <v>16</v>
      </c>
      <c r="B838" s="10"/>
      <c r="C838" s="10"/>
      <c r="D838" s="10"/>
      <c r="E838" s="10"/>
      <c r="F838" s="10"/>
      <c r="G838" s="11">
        <v>0</v>
      </c>
      <c r="H838" s="11">
        <v>0</v>
      </c>
      <c r="I838" s="11">
        <f ca="1">(G838 - H838)</f>
        <v>0</v>
      </c>
      <c r="J838" s="11">
        <v>0</v>
      </c>
      <c r="K838" s="10"/>
      <c r="L838" s="10"/>
    </row>
    <row r="839" ht="10.95" customHeight="true" customFormat="true" s="9">
      <c r="A839" s="12">
        <v>45201</v>
      </c>
      <c r="B839" s="13" t="s">
        <v>263</v>
      </c>
      <c r="C839" s="13" t="s">
        <v>136</v>
      </c>
      <c r="D839" s="13" t="s">
        <v>22</v>
      </c>
      <c r="E839" s="13" t="s">
        <v>264</v>
      </c>
      <c r="F839" s="13"/>
      <c r="G839" s="14">
        <v>310.0000</v>
      </c>
      <c r="H839" s="14">
        <v>0</v>
      </c>
      <c r="I839" s="14">
        <f ca="1">((I838 + G839) - H839)</f>
        <v>0</v>
      </c>
      <c r="J839" s="14">
        <v>0</v>
      </c>
      <c r="K839" s="15">
        <v>0</v>
      </c>
      <c r="L839" s="13" t="s">
        <v>82</v>
      </c>
    </row>
    <row r="840" ht="10.95" customHeight="true" customFormat="true" s="9">
      <c r="A840" s="20" t="s">
        <v>265</v>
      </c>
      <c r="B840" s="20"/>
      <c r="C840" s="20"/>
      <c r="D840" s="20"/>
      <c r="E840" s="20"/>
      <c r="F840" s="20"/>
      <c r="G840" s="21">
        <f ca="1">G839</f>
        <v>0</v>
      </c>
      <c r="H840" s="21">
        <f ca="1">H839</f>
        <v>0</v>
      </c>
      <c r="I840" s="21">
        <f ca="1">I839</f>
        <v>0</v>
      </c>
      <c r="J840" s="21">
        <f ca="1">J839</f>
        <v>0</v>
      </c>
      <c r="K840" s="20"/>
      <c r="L840" s="20"/>
    </row>
    <row r="841" ht="10.95" customHeight="true" customFormat="true" s="9">
      <c r="A841" s="20" t="s">
        <v>53</v>
      </c>
      <c r="B841" s="20"/>
      <c r="C841" s="20"/>
      <c r="D841" s="20"/>
      <c r="E841" s="20"/>
      <c r="F841" s="20"/>
      <c r="G841" s="21">
        <v>310.0000</v>
      </c>
      <c r="H841" s="21">
        <v>0</v>
      </c>
      <c r="I841" s="21">
        <v>0</v>
      </c>
      <c r="J841" s="21">
        <v>0</v>
      </c>
      <c r="K841" s="20"/>
      <c r="L841" s="20"/>
    </row>
    <row r="842" ht="10.95" customHeight="true" customFormat="true" s="9">
      <c r="A842" s="10" t="s">
        <v>54</v>
      </c>
      <c r="B842" s="10"/>
      <c r="C842" s="10"/>
      <c r="D842" s="10"/>
      <c r="E842" s="10"/>
      <c r="F842" s="10"/>
      <c r="G842" s="11">
        <v>310.0000</v>
      </c>
      <c r="H842" s="11">
        <v>0</v>
      </c>
      <c r="I842" s="11">
        <f ca="1">I839</f>
        <v>0</v>
      </c>
      <c r="J842" s="11">
        <v>0</v>
      </c>
      <c r="K842" s="10"/>
      <c r="L842" s="10"/>
    </row>
    <row r="843" ht="13.35" customHeight="true"/>
    <row r="844" ht="12.1" customHeight="true" customFormat="true" s="5">
      <c r="A844" s="8" t="s">
        <v>266</v>
      </c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ht="10.95" customHeight="true" customFormat="true" s="9">
      <c r="A845" s="10" t="s">
        <v>16</v>
      </c>
      <c r="B845" s="10"/>
      <c r="C845" s="10"/>
      <c r="D845" s="10"/>
      <c r="E845" s="10"/>
      <c r="F845" s="10"/>
      <c r="G845" s="11">
        <v>0</v>
      </c>
      <c r="H845" s="11">
        <v>0</v>
      </c>
      <c r="I845" s="11">
        <f ca="1">(G845 - H845)</f>
        <v>0</v>
      </c>
      <c r="J845" s="11">
        <v>0</v>
      </c>
      <c r="K845" s="10"/>
      <c r="L845" s="10"/>
    </row>
    <row r="846" ht="10.95" customHeight="true" customFormat="true" s="9">
      <c r="A846" s="12">
        <v>45154</v>
      </c>
      <c r="B846" s="13" t="s">
        <v>267</v>
      </c>
      <c r="C846" s="13" t="s">
        <v>136</v>
      </c>
      <c r="D846" s="13" t="s">
        <v>22</v>
      </c>
      <c r="E846" s="13" t="s">
        <v>268</v>
      </c>
      <c r="F846" s="13"/>
      <c r="G846" s="14">
        <v>500.0000</v>
      </c>
      <c r="H846" s="14">
        <v>0</v>
      </c>
      <c r="I846" s="14">
        <f ca="1">((I845 + G846) - H846)</f>
        <v>0</v>
      </c>
      <c r="J846" s="14">
        <v>50.0000</v>
      </c>
      <c r="K846" s="15">
        <v>10.0000</v>
      </c>
      <c r="L846" s="13" t="s">
        <v>80</v>
      </c>
    </row>
    <row r="847" ht="10.95" customHeight="true" customFormat="true" s="9">
      <c r="A847" s="16">
        <v>45401</v>
      </c>
      <c r="B847" s="17" t="s">
        <v>267</v>
      </c>
      <c r="C847" s="17" t="s">
        <v>136</v>
      </c>
      <c r="D847" s="17" t="s">
        <v>22</v>
      </c>
      <c r="E847" s="17" t="s">
        <v>269</v>
      </c>
      <c r="F847" s="17"/>
      <c r="G847" s="18">
        <v>3000.0000</v>
      </c>
      <c r="H847" s="18">
        <v>0</v>
      </c>
      <c r="I847" s="18">
        <f ca="1">((I846 + G847) - H847)</f>
        <v>0</v>
      </c>
      <c r="J847" s="18">
        <v>300.0000</v>
      </c>
      <c r="K847" s="19">
        <v>10.0000</v>
      </c>
      <c r="L847" s="17" t="s">
        <v>80</v>
      </c>
    </row>
    <row r="848" ht="10.95" customHeight="true" customFormat="true" s="9">
      <c r="A848" s="16">
        <v>45401</v>
      </c>
      <c r="B848" s="17" t="s">
        <v>267</v>
      </c>
      <c r="C848" s="17" t="s">
        <v>136</v>
      </c>
      <c r="D848" s="17" t="s">
        <v>22</v>
      </c>
      <c r="E848" s="17" t="s">
        <v>269</v>
      </c>
      <c r="F848" s="17"/>
      <c r="G848" s="18">
        <v>4934.3400</v>
      </c>
      <c r="H848" s="18">
        <v>0</v>
      </c>
      <c r="I848" s="18">
        <f ca="1">((I847 + G848) - H848)</f>
        <v>0</v>
      </c>
      <c r="J848" s="18">
        <v>0</v>
      </c>
      <c r="K848" s="19">
        <v>0</v>
      </c>
      <c r="L848" s="17" t="s">
        <v>28</v>
      </c>
    </row>
    <row r="849" ht="10.95" customHeight="true" customFormat="true" s="9">
      <c r="A849" s="20" t="s">
        <v>270</v>
      </c>
      <c r="B849" s="20"/>
      <c r="C849" s="20"/>
      <c r="D849" s="20"/>
      <c r="E849" s="20"/>
      <c r="F849" s="20"/>
      <c r="G849" s="21">
        <f ca="1">SUM(G846:G848)</f>
        <v>0</v>
      </c>
      <c r="H849" s="21">
        <f ca="1">SUM(H846:H848)</f>
        <v>0</v>
      </c>
      <c r="I849" s="21">
        <f ca="1">I848</f>
        <v>0</v>
      </c>
      <c r="J849" s="21">
        <f ca="1">SUM(J846:J848)</f>
        <v>0</v>
      </c>
      <c r="K849" s="20"/>
      <c r="L849" s="20"/>
    </row>
    <row r="850" ht="10.95" customHeight="true" customFormat="true" s="9">
      <c r="A850" s="20" t="s">
        <v>53</v>
      </c>
      <c r="B850" s="20"/>
      <c r="C850" s="20"/>
      <c r="D850" s="20"/>
      <c r="E850" s="20"/>
      <c r="F850" s="20"/>
      <c r="G850" s="21">
        <v>8434.3400</v>
      </c>
      <c r="H850" s="21">
        <v>0</v>
      </c>
      <c r="I850" s="21">
        <v>0</v>
      </c>
      <c r="J850" s="21">
        <v>0</v>
      </c>
      <c r="K850" s="20"/>
      <c r="L850" s="20"/>
    </row>
    <row r="851" ht="10.95" customHeight="true" customFormat="true" s="9">
      <c r="A851" s="10" t="s">
        <v>54</v>
      </c>
      <c r="B851" s="10"/>
      <c r="C851" s="10"/>
      <c r="D851" s="10"/>
      <c r="E851" s="10"/>
      <c r="F851" s="10"/>
      <c r="G851" s="11">
        <v>8434.3400</v>
      </c>
      <c r="H851" s="11">
        <v>0</v>
      </c>
      <c r="I851" s="11">
        <f ca="1">I848</f>
        <v>0</v>
      </c>
      <c r="J851" s="11">
        <v>0</v>
      </c>
      <c r="K851" s="10"/>
      <c r="L851" s="10"/>
    </row>
    <row r="852" ht="13.35" customHeight="true"/>
    <row r="853" ht="12.1" customHeight="true" customFormat="true" s="5">
      <c r="A853" s="8" t="s">
        <v>271</v>
      </c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ht="10.95" customHeight="true" customFormat="true" s="9">
      <c r="A854" s="10" t="s">
        <v>16</v>
      </c>
      <c r="B854" s="10"/>
      <c r="C854" s="10"/>
      <c r="D854" s="10"/>
      <c r="E854" s="10"/>
      <c r="F854" s="10"/>
      <c r="G854" s="11">
        <v>0</v>
      </c>
      <c r="H854" s="11">
        <v>0</v>
      </c>
      <c r="I854" s="11">
        <f ca="1">(G854 - H854)</f>
        <v>0</v>
      </c>
      <c r="J854" s="11">
        <v>0</v>
      </c>
      <c r="K854" s="10"/>
      <c r="L854" s="10"/>
    </row>
    <row r="855" ht="10.95" customHeight="true" customFormat="true" s="9">
      <c r="A855" s="12">
        <v>45199</v>
      </c>
      <c r="B855" s="13" t="s">
        <v>272</v>
      </c>
      <c r="C855" s="13" t="s">
        <v>136</v>
      </c>
      <c r="D855" s="13" t="s">
        <v>25</v>
      </c>
      <c r="E855" s="13" t="s">
        <v>273</v>
      </c>
      <c r="F855" s="13" t="s">
        <v>27</v>
      </c>
      <c r="G855" s="14">
        <v>4.5600</v>
      </c>
      <c r="H855" s="14">
        <v>0</v>
      </c>
      <c r="I855" s="14">
        <f ca="1">((I854 + G855) - H855)</f>
        <v>0</v>
      </c>
      <c r="J855" s="14">
        <v>0.4600</v>
      </c>
      <c r="K855" s="15">
        <v>10.0000</v>
      </c>
      <c r="L855" s="13" t="s">
        <v>80</v>
      </c>
    </row>
    <row r="856" ht="10.95" customHeight="true" customFormat="true" s="9">
      <c r="A856" s="20" t="s">
        <v>274</v>
      </c>
      <c r="B856" s="20"/>
      <c r="C856" s="20"/>
      <c r="D856" s="20"/>
      <c r="E856" s="20"/>
      <c r="F856" s="20"/>
      <c r="G856" s="21">
        <f ca="1">G855</f>
        <v>0</v>
      </c>
      <c r="H856" s="21">
        <f ca="1">H855</f>
        <v>0</v>
      </c>
      <c r="I856" s="21">
        <f ca="1">I855</f>
        <v>0</v>
      </c>
      <c r="J856" s="21">
        <f ca="1">J855</f>
        <v>0</v>
      </c>
      <c r="K856" s="20"/>
      <c r="L856" s="20"/>
    </row>
    <row r="857" ht="10.95" customHeight="true" customFormat="true" s="9">
      <c r="A857" s="20" t="s">
        <v>53</v>
      </c>
      <c r="B857" s="20"/>
      <c r="C857" s="20"/>
      <c r="D857" s="20"/>
      <c r="E857" s="20"/>
      <c r="F857" s="20"/>
      <c r="G857" s="21">
        <v>4.5600</v>
      </c>
      <c r="H857" s="21">
        <v>0</v>
      </c>
      <c r="I857" s="21">
        <v>0</v>
      </c>
      <c r="J857" s="21">
        <v>0</v>
      </c>
      <c r="K857" s="20"/>
      <c r="L857" s="20"/>
    </row>
    <row r="858" ht="10.95" customHeight="true" customFormat="true" s="9">
      <c r="A858" s="10" t="s">
        <v>54</v>
      </c>
      <c r="B858" s="10"/>
      <c r="C858" s="10"/>
      <c r="D858" s="10"/>
      <c r="E858" s="10"/>
      <c r="F858" s="10"/>
      <c r="G858" s="11">
        <v>4.5600</v>
      </c>
      <c r="H858" s="11">
        <v>0</v>
      </c>
      <c r="I858" s="11">
        <f ca="1">I855</f>
        <v>0</v>
      </c>
      <c r="J858" s="11">
        <v>0</v>
      </c>
      <c r="K858" s="10"/>
      <c r="L858" s="10"/>
    </row>
    <row r="859" ht="13.35" customHeight="true"/>
    <row r="860" ht="12.1" customHeight="true" customFormat="true" s="5">
      <c r="A860" s="8" t="s">
        <v>275</v>
      </c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ht="10.95" customHeight="true" customFormat="true" s="9">
      <c r="A861" s="10" t="s">
        <v>16</v>
      </c>
      <c r="B861" s="10"/>
      <c r="C861" s="10"/>
      <c r="D861" s="10"/>
      <c r="E861" s="10"/>
      <c r="F861" s="10"/>
      <c r="G861" s="11">
        <v>0</v>
      </c>
      <c r="H861" s="11">
        <v>0</v>
      </c>
      <c r="I861" s="11">
        <f ca="1">(G861 - H861)</f>
        <v>0</v>
      </c>
      <c r="J861" s="11">
        <v>0</v>
      </c>
      <c r="K861" s="10"/>
      <c r="L861" s="10"/>
    </row>
    <row r="862" ht="10.95" customHeight="true" customFormat="true" s="9">
      <c r="A862" s="12">
        <v>45156</v>
      </c>
      <c r="B862" s="13" t="s">
        <v>276</v>
      </c>
      <c r="C862" s="13" t="s">
        <v>136</v>
      </c>
      <c r="D862" s="13" t="s">
        <v>22</v>
      </c>
      <c r="E862" s="13" t="s">
        <v>277</v>
      </c>
      <c r="F862" s="13"/>
      <c r="G862" s="14">
        <v>500.0000</v>
      </c>
      <c r="H862" s="14">
        <v>0</v>
      </c>
      <c r="I862" s="14">
        <f ca="1">((I861 + G862) - H862)</f>
        <v>0</v>
      </c>
      <c r="J862" s="14">
        <v>50.0000</v>
      </c>
      <c r="K862" s="15">
        <v>10.0000</v>
      </c>
      <c r="L862" s="13" t="s">
        <v>80</v>
      </c>
    </row>
    <row r="863" ht="10.95" customHeight="true" customFormat="true" s="9">
      <c r="A863" s="16">
        <v>45271</v>
      </c>
      <c r="B863" s="17" t="s">
        <v>276</v>
      </c>
      <c r="C863" s="17" t="s">
        <v>136</v>
      </c>
      <c r="D863" s="17" t="s">
        <v>22</v>
      </c>
      <c r="E863" s="17" t="s">
        <v>278</v>
      </c>
      <c r="F863" s="17"/>
      <c r="G863" s="18">
        <v>210.0000</v>
      </c>
      <c r="H863" s="18">
        <v>0</v>
      </c>
      <c r="I863" s="18">
        <f ca="1">((I862 + G863) - H863)</f>
        <v>0</v>
      </c>
      <c r="J863" s="18">
        <v>0</v>
      </c>
      <c r="K863" s="19">
        <v>0</v>
      </c>
      <c r="L863" s="17" t="s">
        <v>82</v>
      </c>
    </row>
    <row r="864" ht="10.95" customHeight="true" customFormat="true" s="9">
      <c r="A864" s="20" t="s">
        <v>279</v>
      </c>
      <c r="B864" s="20"/>
      <c r="C864" s="20"/>
      <c r="D864" s="20"/>
      <c r="E864" s="20"/>
      <c r="F864" s="20"/>
      <c r="G864" s="21">
        <f ca="1">SUM(G862:G863)</f>
        <v>0</v>
      </c>
      <c r="H864" s="21">
        <f ca="1">SUM(H862:H863)</f>
        <v>0</v>
      </c>
      <c r="I864" s="21">
        <f ca="1">I863</f>
        <v>0</v>
      </c>
      <c r="J864" s="21">
        <f ca="1">SUM(J862:J863)</f>
        <v>0</v>
      </c>
      <c r="K864" s="20"/>
      <c r="L864" s="20"/>
    </row>
    <row r="865" ht="10.95" customHeight="true" customFormat="true" s="9">
      <c r="A865" s="20" t="s">
        <v>53</v>
      </c>
      <c r="B865" s="20"/>
      <c r="C865" s="20"/>
      <c r="D865" s="20"/>
      <c r="E865" s="20"/>
      <c r="F865" s="20"/>
      <c r="G865" s="21">
        <v>710.0000</v>
      </c>
      <c r="H865" s="21">
        <v>0</v>
      </c>
      <c r="I865" s="21">
        <v>0</v>
      </c>
      <c r="J865" s="21">
        <v>0</v>
      </c>
      <c r="K865" s="20"/>
      <c r="L865" s="20"/>
    </row>
    <row r="866" ht="10.95" customHeight="true" customFormat="true" s="9">
      <c r="A866" s="10" t="s">
        <v>54</v>
      </c>
      <c r="B866" s="10"/>
      <c r="C866" s="10"/>
      <c r="D866" s="10"/>
      <c r="E866" s="10"/>
      <c r="F866" s="10"/>
      <c r="G866" s="11">
        <v>710.0000</v>
      </c>
      <c r="H866" s="11">
        <v>0</v>
      </c>
      <c r="I866" s="11">
        <f ca="1">I863</f>
        <v>0</v>
      </c>
      <c r="J866" s="11">
        <v>0</v>
      </c>
      <c r="K866" s="10"/>
      <c r="L866" s="10"/>
    </row>
    <row r="867" ht="13.35" customHeight="true"/>
    <row r="868" ht="12.1" customHeight="true" customFormat="true" s="5">
      <c r="A868" s="8" t="s">
        <v>280</v>
      </c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ht="10.95" customHeight="true" customFormat="true" s="9">
      <c r="A869" s="10" t="s">
        <v>16</v>
      </c>
      <c r="B869" s="10"/>
      <c r="C869" s="10"/>
      <c r="D869" s="10"/>
      <c r="E869" s="10"/>
      <c r="F869" s="10"/>
      <c r="G869" s="11">
        <v>0</v>
      </c>
      <c r="H869" s="11">
        <v>0</v>
      </c>
      <c r="I869" s="11">
        <f ca="1">(G869 - H869)</f>
        <v>0</v>
      </c>
      <c r="J869" s="11">
        <v>0</v>
      </c>
      <c r="K869" s="10"/>
      <c r="L869" s="10"/>
    </row>
    <row r="870" ht="10.95" customHeight="true" customFormat="true" s="9">
      <c r="A870" s="12">
        <v>45131</v>
      </c>
      <c r="B870" s="13" t="s">
        <v>281</v>
      </c>
      <c r="C870" s="13" t="s">
        <v>136</v>
      </c>
      <c r="D870" s="13" t="s">
        <v>22</v>
      </c>
      <c r="E870" s="13" t="s">
        <v>282</v>
      </c>
      <c r="F870" s="13"/>
      <c r="G870" s="14">
        <v>154.1500</v>
      </c>
      <c r="H870" s="14">
        <v>0</v>
      </c>
      <c r="I870" s="14">
        <f ca="1">((I869 + G870) - H870)</f>
        <v>0</v>
      </c>
      <c r="J870" s="14">
        <v>15.4200</v>
      </c>
      <c r="K870" s="15">
        <v>10.0000</v>
      </c>
      <c r="L870" s="13" t="s">
        <v>80</v>
      </c>
    </row>
    <row r="871" ht="10.95" customHeight="true" customFormat="true" s="9">
      <c r="A871" s="16">
        <v>45162</v>
      </c>
      <c r="B871" s="17" t="s">
        <v>281</v>
      </c>
      <c r="C871" s="17" t="s">
        <v>136</v>
      </c>
      <c r="D871" s="17" t="s">
        <v>22</v>
      </c>
      <c r="E871" s="17" t="s">
        <v>282</v>
      </c>
      <c r="F871" s="17"/>
      <c r="G871" s="18">
        <v>154.1500</v>
      </c>
      <c r="H871" s="18">
        <v>0</v>
      </c>
      <c r="I871" s="18">
        <f ca="1">((I870 + G871) - H871)</f>
        <v>0</v>
      </c>
      <c r="J871" s="18">
        <v>15.4200</v>
      </c>
      <c r="K871" s="19">
        <v>10.0000</v>
      </c>
      <c r="L871" s="17" t="s">
        <v>80</v>
      </c>
    </row>
    <row r="872" ht="10.95" customHeight="true" customFormat="true" s="9">
      <c r="A872" s="16">
        <v>45194</v>
      </c>
      <c r="B872" s="17" t="s">
        <v>281</v>
      </c>
      <c r="C872" s="17" t="s">
        <v>136</v>
      </c>
      <c r="D872" s="17" t="s">
        <v>22</v>
      </c>
      <c r="E872" s="17" t="s">
        <v>283</v>
      </c>
      <c r="F872" s="17"/>
      <c r="G872" s="18">
        <v>154.1500</v>
      </c>
      <c r="H872" s="18">
        <v>0</v>
      </c>
      <c r="I872" s="18">
        <f ca="1">((I871 + G872) - H872)</f>
        <v>0</v>
      </c>
      <c r="J872" s="18">
        <v>15.4200</v>
      </c>
      <c r="K872" s="19">
        <v>10.0000</v>
      </c>
      <c r="L872" s="17" t="s">
        <v>80</v>
      </c>
    </row>
    <row r="873" ht="10.95" customHeight="true" customFormat="true" s="9">
      <c r="A873" s="16">
        <v>45223</v>
      </c>
      <c r="B873" s="17" t="s">
        <v>281</v>
      </c>
      <c r="C873" s="17" t="s">
        <v>136</v>
      </c>
      <c r="D873" s="17" t="s">
        <v>22</v>
      </c>
      <c r="E873" s="17" t="s">
        <v>283</v>
      </c>
      <c r="F873" s="17"/>
      <c r="G873" s="18">
        <v>154.1500</v>
      </c>
      <c r="H873" s="18">
        <v>0</v>
      </c>
      <c r="I873" s="18">
        <f ca="1">((I872 + G873) - H873)</f>
        <v>0</v>
      </c>
      <c r="J873" s="18">
        <v>15.4200</v>
      </c>
      <c r="K873" s="19">
        <v>10.0000</v>
      </c>
      <c r="L873" s="17" t="s">
        <v>80</v>
      </c>
    </row>
    <row r="874" ht="10.95" customHeight="true" customFormat="true" s="9">
      <c r="A874" s="16">
        <v>45254</v>
      </c>
      <c r="B874" s="17" t="s">
        <v>281</v>
      </c>
      <c r="C874" s="17" t="s">
        <v>136</v>
      </c>
      <c r="D874" s="17" t="s">
        <v>22</v>
      </c>
      <c r="E874" s="17" t="s">
        <v>282</v>
      </c>
      <c r="F874" s="17"/>
      <c r="G874" s="18">
        <v>167.2500</v>
      </c>
      <c r="H874" s="18">
        <v>0</v>
      </c>
      <c r="I874" s="18">
        <f ca="1">((I873 + G874) - H874)</f>
        <v>0</v>
      </c>
      <c r="J874" s="18">
        <v>16.7300</v>
      </c>
      <c r="K874" s="19">
        <v>10.0000</v>
      </c>
      <c r="L874" s="17" t="s">
        <v>80</v>
      </c>
    </row>
    <row r="875" ht="10.95" customHeight="true" customFormat="true" s="9">
      <c r="A875" s="16">
        <v>45287</v>
      </c>
      <c r="B875" s="17" t="s">
        <v>281</v>
      </c>
      <c r="C875" s="17" t="s">
        <v>136</v>
      </c>
      <c r="D875" s="17" t="s">
        <v>22</v>
      </c>
      <c r="E875" s="17" t="s">
        <v>282</v>
      </c>
      <c r="F875" s="17"/>
      <c r="G875" s="18">
        <v>167.2400</v>
      </c>
      <c r="H875" s="18">
        <v>0</v>
      </c>
      <c r="I875" s="18">
        <f ca="1">((I874 + G875) - H875)</f>
        <v>0</v>
      </c>
      <c r="J875" s="18">
        <v>16.7200</v>
      </c>
      <c r="K875" s="19">
        <v>10.0000</v>
      </c>
      <c r="L875" s="17" t="s">
        <v>80</v>
      </c>
    </row>
    <row r="876" ht="10.95" customHeight="true" customFormat="true" s="9">
      <c r="A876" s="16">
        <v>45315</v>
      </c>
      <c r="B876" s="17" t="s">
        <v>281</v>
      </c>
      <c r="C876" s="17" t="s">
        <v>136</v>
      </c>
      <c r="D876" s="17" t="s">
        <v>22</v>
      </c>
      <c r="E876" s="17" t="s">
        <v>284</v>
      </c>
      <c r="F876" s="17"/>
      <c r="G876" s="18">
        <v>167.2400</v>
      </c>
      <c r="H876" s="18">
        <v>0</v>
      </c>
      <c r="I876" s="18">
        <f ca="1">((I875 + G876) - H876)</f>
        <v>0</v>
      </c>
      <c r="J876" s="18">
        <v>16.7200</v>
      </c>
      <c r="K876" s="19">
        <v>10.0000</v>
      </c>
      <c r="L876" s="17" t="s">
        <v>80</v>
      </c>
    </row>
    <row r="877" ht="10.95" customHeight="true" customFormat="true" s="9">
      <c r="A877" s="16">
        <v>45348</v>
      </c>
      <c r="B877" s="17" t="s">
        <v>281</v>
      </c>
      <c r="C877" s="17" t="s">
        <v>136</v>
      </c>
      <c r="D877" s="17" t="s">
        <v>22</v>
      </c>
      <c r="E877" s="17" t="s">
        <v>283</v>
      </c>
      <c r="F877" s="17"/>
      <c r="G877" s="18">
        <v>167.2400</v>
      </c>
      <c r="H877" s="18">
        <v>0</v>
      </c>
      <c r="I877" s="18">
        <f ca="1">((I876 + G877) - H877)</f>
        <v>0</v>
      </c>
      <c r="J877" s="18">
        <v>16.7200</v>
      </c>
      <c r="K877" s="19">
        <v>10.0000</v>
      </c>
      <c r="L877" s="17" t="s">
        <v>80</v>
      </c>
    </row>
    <row r="878" ht="10.95" customHeight="true" customFormat="true" s="9">
      <c r="A878" s="16">
        <v>45376</v>
      </c>
      <c r="B878" s="17" t="s">
        <v>281</v>
      </c>
      <c r="C878" s="17" t="s">
        <v>136</v>
      </c>
      <c r="D878" s="17" t="s">
        <v>22</v>
      </c>
      <c r="E878" s="17" t="s">
        <v>283</v>
      </c>
      <c r="F878" s="17"/>
      <c r="G878" s="18">
        <v>167.2400</v>
      </c>
      <c r="H878" s="18">
        <v>0</v>
      </c>
      <c r="I878" s="18">
        <f ca="1">((I877 + G878) - H878)</f>
        <v>0</v>
      </c>
      <c r="J878" s="18">
        <v>16.7200</v>
      </c>
      <c r="K878" s="19">
        <v>10.0000</v>
      </c>
      <c r="L878" s="17" t="s">
        <v>80</v>
      </c>
    </row>
    <row r="879" ht="10.95" customHeight="true" customFormat="true" s="9">
      <c r="A879" s="16">
        <v>45406</v>
      </c>
      <c r="B879" s="17" t="s">
        <v>281</v>
      </c>
      <c r="C879" s="17" t="s">
        <v>136</v>
      </c>
      <c r="D879" s="17" t="s">
        <v>22</v>
      </c>
      <c r="E879" s="17" t="s">
        <v>282</v>
      </c>
      <c r="F879" s="17"/>
      <c r="G879" s="18">
        <v>167.2400</v>
      </c>
      <c r="H879" s="18">
        <v>0</v>
      </c>
      <c r="I879" s="18">
        <f ca="1">((I878 + G879) - H879)</f>
        <v>0</v>
      </c>
      <c r="J879" s="18">
        <v>16.7200</v>
      </c>
      <c r="K879" s="19">
        <v>10.0000</v>
      </c>
      <c r="L879" s="17" t="s">
        <v>80</v>
      </c>
    </row>
    <row r="880" ht="10.95" customHeight="true" customFormat="true" s="9">
      <c r="A880" s="16">
        <v>45436</v>
      </c>
      <c r="B880" s="17" t="s">
        <v>281</v>
      </c>
      <c r="C880" s="17" t="s">
        <v>136</v>
      </c>
      <c r="D880" s="17" t="s">
        <v>22</v>
      </c>
      <c r="E880" s="17" t="s">
        <v>283</v>
      </c>
      <c r="F880" s="17"/>
      <c r="G880" s="18">
        <v>167.2400</v>
      </c>
      <c r="H880" s="18">
        <v>0</v>
      </c>
      <c r="I880" s="18">
        <f ca="1">((I879 + G880) - H880)</f>
        <v>0</v>
      </c>
      <c r="J880" s="18">
        <v>16.7200</v>
      </c>
      <c r="K880" s="19">
        <v>10.0000</v>
      </c>
      <c r="L880" s="17" t="s">
        <v>80</v>
      </c>
    </row>
    <row r="881" ht="10.95" customHeight="true" customFormat="true" s="9">
      <c r="A881" s="16">
        <v>45467</v>
      </c>
      <c r="B881" s="17" t="s">
        <v>281</v>
      </c>
      <c r="C881" s="17" t="s">
        <v>136</v>
      </c>
      <c r="D881" s="17" t="s">
        <v>22</v>
      </c>
      <c r="E881" s="17" t="s">
        <v>285</v>
      </c>
      <c r="F881" s="17"/>
      <c r="G881" s="18">
        <v>167.2400</v>
      </c>
      <c r="H881" s="18">
        <v>0</v>
      </c>
      <c r="I881" s="18">
        <f ca="1">((I880 + G881) - H881)</f>
        <v>0</v>
      </c>
      <c r="J881" s="18">
        <v>16.7200</v>
      </c>
      <c r="K881" s="19">
        <v>10.0000</v>
      </c>
      <c r="L881" s="17" t="s">
        <v>80</v>
      </c>
    </row>
    <row r="882" ht="10.95" customHeight="true" customFormat="true" s="9">
      <c r="A882" s="20" t="s">
        <v>286</v>
      </c>
      <c r="B882" s="20"/>
      <c r="C882" s="20"/>
      <c r="D882" s="20"/>
      <c r="E882" s="20"/>
      <c r="F882" s="20"/>
      <c r="G882" s="21">
        <f ca="1">SUM(G870:G881)</f>
        <v>0</v>
      </c>
      <c r="H882" s="21">
        <f ca="1">SUM(H870:H881)</f>
        <v>0</v>
      </c>
      <c r="I882" s="21">
        <f ca="1">I881</f>
        <v>0</v>
      </c>
      <c r="J882" s="21">
        <f ca="1">SUM(J870:J881)</f>
        <v>0</v>
      </c>
      <c r="K882" s="20"/>
      <c r="L882" s="20"/>
    </row>
    <row r="883" ht="10.95" customHeight="true" customFormat="true" s="9">
      <c r="A883" s="20" t="s">
        <v>53</v>
      </c>
      <c r="B883" s="20"/>
      <c r="C883" s="20"/>
      <c r="D883" s="20"/>
      <c r="E883" s="20"/>
      <c r="F883" s="20"/>
      <c r="G883" s="21">
        <v>1954.5300</v>
      </c>
      <c r="H883" s="21">
        <v>0</v>
      </c>
      <c r="I883" s="21">
        <v>0</v>
      </c>
      <c r="J883" s="21">
        <v>0</v>
      </c>
      <c r="K883" s="20"/>
      <c r="L883" s="20"/>
    </row>
    <row r="884" ht="10.95" customHeight="true" customFormat="true" s="9">
      <c r="A884" s="10" t="s">
        <v>54</v>
      </c>
      <c r="B884" s="10"/>
      <c r="C884" s="10"/>
      <c r="D884" s="10"/>
      <c r="E884" s="10"/>
      <c r="F884" s="10"/>
      <c r="G884" s="11">
        <v>1954.5300</v>
      </c>
      <c r="H884" s="11">
        <v>0</v>
      </c>
      <c r="I884" s="11">
        <f ca="1">I881</f>
        <v>0</v>
      </c>
      <c r="J884" s="11">
        <v>0</v>
      </c>
      <c r="K884" s="10"/>
      <c r="L884" s="10"/>
    </row>
    <row r="885" ht="13.35" customHeight="true"/>
    <row r="886" ht="12.1" customHeight="true" customFormat="true" s="5">
      <c r="A886" s="8" t="s">
        <v>287</v>
      </c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ht="10.95" customHeight="true" customFormat="true" s="9">
      <c r="A887" s="10" t="s">
        <v>16</v>
      </c>
      <c r="B887" s="10"/>
      <c r="C887" s="10"/>
      <c r="D887" s="10"/>
      <c r="E887" s="10"/>
      <c r="F887" s="10"/>
      <c r="G887" s="11">
        <v>0</v>
      </c>
      <c r="H887" s="11">
        <v>0</v>
      </c>
      <c r="I887" s="11">
        <f ca="1">(G887 - H887)</f>
        <v>0</v>
      </c>
      <c r="J887" s="11">
        <v>0</v>
      </c>
      <c r="K887" s="10"/>
      <c r="L887" s="10"/>
    </row>
    <row r="888" ht="10.95" customHeight="true" customFormat="true" s="9">
      <c r="A888" s="12">
        <v>45149</v>
      </c>
      <c r="B888" s="13" t="s">
        <v>288</v>
      </c>
      <c r="C888" s="13" t="s">
        <v>136</v>
      </c>
      <c r="D888" s="13" t="s">
        <v>22</v>
      </c>
      <c r="E888" s="13" t="s">
        <v>289</v>
      </c>
      <c r="F888" s="13"/>
      <c r="G888" s="14">
        <v>1128.4400</v>
      </c>
      <c r="H888" s="14">
        <v>0</v>
      </c>
      <c r="I888" s="14">
        <f ca="1">((I887 + G888) - H888)</f>
        <v>0</v>
      </c>
      <c r="J888" s="14">
        <v>112.8400</v>
      </c>
      <c r="K888" s="15">
        <v>10.0000</v>
      </c>
      <c r="L888" s="13" t="s">
        <v>80</v>
      </c>
    </row>
    <row r="889" ht="10.95" customHeight="true" customFormat="true" s="9">
      <c r="A889" s="16">
        <v>45191</v>
      </c>
      <c r="B889" s="17" t="s">
        <v>288</v>
      </c>
      <c r="C889" s="17" t="s">
        <v>136</v>
      </c>
      <c r="D889" s="17" t="s">
        <v>22</v>
      </c>
      <c r="E889" s="17" t="s">
        <v>290</v>
      </c>
      <c r="F889" s="17"/>
      <c r="G889" s="18">
        <v>3002.3100</v>
      </c>
      <c r="H889" s="18">
        <v>0</v>
      </c>
      <c r="I889" s="18">
        <f ca="1">((I888 + G889) - H889)</f>
        <v>0</v>
      </c>
      <c r="J889" s="18">
        <v>300.2300</v>
      </c>
      <c r="K889" s="19">
        <v>10.0000</v>
      </c>
      <c r="L889" s="17" t="s">
        <v>80</v>
      </c>
    </row>
    <row r="890" ht="10.95" customHeight="true" customFormat="true" s="9">
      <c r="A890" s="16">
        <v>45209</v>
      </c>
      <c r="B890" s="17" t="s">
        <v>288</v>
      </c>
      <c r="C890" s="17" t="s">
        <v>136</v>
      </c>
      <c r="D890" s="17" t="s">
        <v>22</v>
      </c>
      <c r="E890" s="17" t="s">
        <v>289</v>
      </c>
      <c r="F890" s="17"/>
      <c r="G890" s="18">
        <v>1829.9200</v>
      </c>
      <c r="H890" s="18">
        <v>0</v>
      </c>
      <c r="I890" s="18">
        <f ca="1">((I889 + G890) - H890)</f>
        <v>0</v>
      </c>
      <c r="J890" s="18">
        <v>182.9900</v>
      </c>
      <c r="K890" s="19">
        <v>10.0000</v>
      </c>
      <c r="L890" s="17" t="s">
        <v>80</v>
      </c>
    </row>
    <row r="891" ht="10.95" customHeight="true" customFormat="true" s="9">
      <c r="A891" s="16">
        <v>45279</v>
      </c>
      <c r="B891" s="17" t="s">
        <v>288</v>
      </c>
      <c r="C891" s="17" t="s">
        <v>136</v>
      </c>
      <c r="D891" s="17" t="s">
        <v>22</v>
      </c>
      <c r="E891" s="17" t="s">
        <v>290</v>
      </c>
      <c r="F891" s="17"/>
      <c r="G891" s="18">
        <v>2816.8000</v>
      </c>
      <c r="H891" s="18">
        <v>0</v>
      </c>
      <c r="I891" s="18">
        <f ca="1">((I890 + G891) - H891)</f>
        <v>0</v>
      </c>
      <c r="J891" s="18">
        <v>281.6800</v>
      </c>
      <c r="K891" s="19">
        <v>10.0000</v>
      </c>
      <c r="L891" s="17" t="s">
        <v>80</v>
      </c>
    </row>
    <row r="892" ht="10.95" customHeight="true" customFormat="true" s="9">
      <c r="A892" s="16">
        <v>45279</v>
      </c>
      <c r="B892" s="17" t="s">
        <v>288</v>
      </c>
      <c r="C892" s="17" t="s">
        <v>136</v>
      </c>
      <c r="D892" s="17" t="s">
        <v>22</v>
      </c>
      <c r="E892" s="17" t="s">
        <v>290</v>
      </c>
      <c r="F892" s="17"/>
      <c r="G892" s="18">
        <v>0</v>
      </c>
      <c r="H892" s="18">
        <v>163.0000</v>
      </c>
      <c r="I892" s="18">
        <f ca="1">((I891 + G892) - H892)</f>
        <v>0</v>
      </c>
      <c r="J892" s="18">
        <v>0</v>
      </c>
      <c r="K892" s="19">
        <v>0</v>
      </c>
      <c r="L892" s="17" t="s">
        <v>28</v>
      </c>
    </row>
    <row r="893" ht="10.95" customHeight="true" customFormat="true" s="9">
      <c r="A893" s="16">
        <v>45308</v>
      </c>
      <c r="B893" s="17" t="s">
        <v>288</v>
      </c>
      <c r="C893" s="17" t="s">
        <v>136</v>
      </c>
      <c r="D893" s="17" t="s">
        <v>22</v>
      </c>
      <c r="E893" s="17" t="s">
        <v>289</v>
      </c>
      <c r="F893" s="17"/>
      <c r="G893" s="18">
        <v>1024.0200</v>
      </c>
      <c r="H893" s="18">
        <v>0</v>
      </c>
      <c r="I893" s="18">
        <f ca="1">((I892 + G893) - H893)</f>
        <v>0</v>
      </c>
      <c r="J893" s="18">
        <v>102.4000</v>
      </c>
      <c r="K893" s="19">
        <v>10.0000</v>
      </c>
      <c r="L893" s="17" t="s">
        <v>80</v>
      </c>
    </row>
    <row r="894" ht="10.95" customHeight="true" customFormat="true" s="9">
      <c r="A894" s="16">
        <v>45372</v>
      </c>
      <c r="B894" s="17" t="s">
        <v>288</v>
      </c>
      <c r="C894" s="17" t="s">
        <v>136</v>
      </c>
      <c r="D894" s="17" t="s">
        <v>22</v>
      </c>
      <c r="E894" s="17" t="s">
        <v>290</v>
      </c>
      <c r="F894" s="17"/>
      <c r="G894" s="18">
        <v>3114.1000</v>
      </c>
      <c r="H894" s="18">
        <v>0</v>
      </c>
      <c r="I894" s="18">
        <f ca="1">((I893 + G894) - H894)</f>
        <v>0</v>
      </c>
      <c r="J894" s="18">
        <v>311.4100</v>
      </c>
      <c r="K894" s="19">
        <v>10.0000</v>
      </c>
      <c r="L894" s="17" t="s">
        <v>80</v>
      </c>
    </row>
    <row r="895" ht="10.95" customHeight="true" customFormat="true" s="9">
      <c r="A895" s="16">
        <v>45372</v>
      </c>
      <c r="B895" s="17" t="s">
        <v>288</v>
      </c>
      <c r="C895" s="17" t="s">
        <v>136</v>
      </c>
      <c r="D895" s="17" t="s">
        <v>22</v>
      </c>
      <c r="E895" s="17" t="s">
        <v>290</v>
      </c>
      <c r="F895" s="17"/>
      <c r="G895" s="18">
        <v>0</v>
      </c>
      <c r="H895" s="18">
        <v>163.0600</v>
      </c>
      <c r="I895" s="18">
        <f ca="1">((I894 + G895) - H895)</f>
        <v>0</v>
      </c>
      <c r="J895" s="18">
        <v>0</v>
      </c>
      <c r="K895" s="19">
        <v>0</v>
      </c>
      <c r="L895" s="17" t="s">
        <v>28</v>
      </c>
    </row>
    <row r="896" ht="10.95" customHeight="true" customFormat="true" s="9">
      <c r="A896" s="16">
        <v>45394</v>
      </c>
      <c r="B896" s="17" t="s">
        <v>288</v>
      </c>
      <c r="C896" s="17" t="s">
        <v>136</v>
      </c>
      <c r="D896" s="17" t="s">
        <v>22</v>
      </c>
      <c r="E896" s="17" t="s">
        <v>289</v>
      </c>
      <c r="F896" s="17"/>
      <c r="G896" s="18">
        <v>925.1500</v>
      </c>
      <c r="H896" s="18">
        <v>0</v>
      </c>
      <c r="I896" s="18">
        <f ca="1">((I895 + G896) - H896)</f>
        <v>0</v>
      </c>
      <c r="J896" s="18">
        <v>92.5200</v>
      </c>
      <c r="K896" s="19">
        <v>10.0000</v>
      </c>
      <c r="L896" s="17" t="s">
        <v>80</v>
      </c>
    </row>
    <row r="897" ht="10.95" customHeight="true" customFormat="true" s="9">
      <c r="A897" s="16">
        <v>45470</v>
      </c>
      <c r="B897" s="17" t="s">
        <v>288</v>
      </c>
      <c r="C897" s="17" t="s">
        <v>136</v>
      </c>
      <c r="D897" s="17" t="s">
        <v>22</v>
      </c>
      <c r="E897" s="17" t="s">
        <v>290</v>
      </c>
      <c r="F897" s="17"/>
      <c r="G897" s="18">
        <v>3269.5000</v>
      </c>
      <c r="H897" s="18">
        <v>0</v>
      </c>
      <c r="I897" s="18">
        <f ca="1">((I896 + G897) - H897)</f>
        <v>0</v>
      </c>
      <c r="J897" s="18">
        <v>326.9500</v>
      </c>
      <c r="K897" s="19">
        <v>10.0000</v>
      </c>
      <c r="L897" s="17" t="s">
        <v>80</v>
      </c>
    </row>
    <row r="898" ht="10.95" customHeight="true" customFormat="true" s="9">
      <c r="A898" s="16">
        <v>45470</v>
      </c>
      <c r="B898" s="17" t="s">
        <v>288</v>
      </c>
      <c r="C898" s="17" t="s">
        <v>136</v>
      </c>
      <c r="D898" s="17" t="s">
        <v>22</v>
      </c>
      <c r="E898" s="17" t="s">
        <v>290</v>
      </c>
      <c r="F898" s="17"/>
      <c r="G898" s="18">
        <v>0</v>
      </c>
      <c r="H898" s="18">
        <v>162.6400</v>
      </c>
      <c r="I898" s="18">
        <f ca="1">((I897 + G898) - H898)</f>
        <v>0</v>
      </c>
      <c r="J898" s="18">
        <v>0</v>
      </c>
      <c r="K898" s="19">
        <v>0</v>
      </c>
      <c r="L898" s="17" t="s">
        <v>82</v>
      </c>
    </row>
    <row r="899" ht="10.95" customHeight="true" customFormat="true" s="9">
      <c r="A899" s="20" t="s">
        <v>291</v>
      </c>
      <c r="B899" s="20"/>
      <c r="C899" s="20"/>
      <c r="D899" s="20"/>
      <c r="E899" s="20"/>
      <c r="F899" s="20"/>
      <c r="G899" s="21">
        <f ca="1">SUM(G888:G898)</f>
        <v>0</v>
      </c>
      <c r="H899" s="21">
        <f ca="1">SUM(H888:H898)</f>
        <v>0</v>
      </c>
      <c r="I899" s="21">
        <f ca="1">I898</f>
        <v>0</v>
      </c>
      <c r="J899" s="21">
        <f ca="1">SUM(J888:J898)</f>
        <v>0</v>
      </c>
      <c r="K899" s="20"/>
      <c r="L899" s="20"/>
    </row>
    <row r="900" ht="10.95" customHeight="true" customFormat="true" s="9">
      <c r="A900" s="20" t="s">
        <v>53</v>
      </c>
      <c r="B900" s="20"/>
      <c r="C900" s="20"/>
      <c r="D900" s="20"/>
      <c r="E900" s="20"/>
      <c r="F900" s="20"/>
      <c r="G900" s="21">
        <v>16621.5400</v>
      </c>
      <c r="H900" s="21">
        <v>0</v>
      </c>
      <c r="I900" s="21">
        <v>0</v>
      </c>
      <c r="J900" s="21">
        <v>0</v>
      </c>
      <c r="K900" s="20"/>
      <c r="L900" s="20"/>
    </row>
    <row r="901" ht="10.95" customHeight="true" customFormat="true" s="9">
      <c r="A901" s="10" t="s">
        <v>54</v>
      </c>
      <c r="B901" s="10"/>
      <c r="C901" s="10"/>
      <c r="D901" s="10"/>
      <c r="E901" s="10"/>
      <c r="F901" s="10"/>
      <c r="G901" s="11">
        <v>16621.5400</v>
      </c>
      <c r="H901" s="11">
        <v>0</v>
      </c>
      <c r="I901" s="11">
        <f ca="1">I898</f>
        <v>0</v>
      </c>
      <c r="J901" s="11">
        <v>0</v>
      </c>
      <c r="K901" s="10"/>
      <c r="L901" s="10"/>
    </row>
    <row r="902" ht="13.35" customHeight="true"/>
    <row r="903" ht="12.1" customHeight="true" customFormat="true" s="5">
      <c r="A903" s="8" t="s">
        <v>292</v>
      </c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ht="10.95" customHeight="true" customFormat="true" s="9">
      <c r="A904" s="10" t="s">
        <v>16</v>
      </c>
      <c r="B904" s="10"/>
      <c r="C904" s="10"/>
      <c r="D904" s="10"/>
      <c r="E904" s="10"/>
      <c r="F904" s="10"/>
      <c r="G904" s="11">
        <v>0</v>
      </c>
      <c r="H904" s="11">
        <v>0</v>
      </c>
      <c r="I904" s="11">
        <f ca="1">(G904 - H904)</f>
        <v>0</v>
      </c>
      <c r="J904" s="11">
        <v>0</v>
      </c>
      <c r="K904" s="10"/>
      <c r="L904" s="10"/>
    </row>
    <row r="905" ht="10.95" customHeight="true" customFormat="true" s="9">
      <c r="A905" s="12">
        <v>45330</v>
      </c>
      <c r="B905" s="13" t="s">
        <v>293</v>
      </c>
      <c r="C905" s="13" t="s">
        <v>136</v>
      </c>
      <c r="D905" s="13" t="s">
        <v>22</v>
      </c>
      <c r="E905" s="13" t="s">
        <v>294</v>
      </c>
      <c r="F905" s="13"/>
      <c r="G905" s="14">
        <v>39.1900</v>
      </c>
      <c r="H905" s="14">
        <v>0</v>
      </c>
      <c r="I905" s="14">
        <f ca="1">((I904 + G905) - H905)</f>
        <v>0</v>
      </c>
      <c r="J905" s="14">
        <v>3.9200</v>
      </c>
      <c r="K905" s="15">
        <v>10.0000</v>
      </c>
      <c r="L905" s="13" t="s">
        <v>80</v>
      </c>
    </row>
    <row r="906" ht="10.95" customHeight="true" customFormat="true" s="9">
      <c r="A906" s="20" t="s">
        <v>295</v>
      </c>
      <c r="B906" s="20"/>
      <c r="C906" s="20"/>
      <c r="D906" s="20"/>
      <c r="E906" s="20"/>
      <c r="F906" s="20"/>
      <c r="G906" s="21">
        <f ca="1">G905</f>
        <v>0</v>
      </c>
      <c r="H906" s="21">
        <f ca="1">H905</f>
        <v>0</v>
      </c>
      <c r="I906" s="21">
        <f ca="1">I905</f>
        <v>0</v>
      </c>
      <c r="J906" s="21">
        <f ca="1">J905</f>
        <v>0</v>
      </c>
      <c r="K906" s="20"/>
      <c r="L906" s="20"/>
    </row>
    <row r="907" ht="10.95" customHeight="true" customFormat="true" s="9">
      <c r="A907" s="20" t="s">
        <v>53</v>
      </c>
      <c r="B907" s="20"/>
      <c r="C907" s="20"/>
      <c r="D907" s="20"/>
      <c r="E907" s="20"/>
      <c r="F907" s="20"/>
      <c r="G907" s="21">
        <v>39.1900</v>
      </c>
      <c r="H907" s="21">
        <v>0</v>
      </c>
      <c r="I907" s="21">
        <v>0</v>
      </c>
      <c r="J907" s="21">
        <v>0</v>
      </c>
      <c r="K907" s="20"/>
      <c r="L907" s="20"/>
    </row>
    <row r="908" ht="10.95" customHeight="true" customFormat="true" s="9">
      <c r="A908" s="10" t="s">
        <v>54</v>
      </c>
      <c r="B908" s="10"/>
      <c r="C908" s="10"/>
      <c r="D908" s="10"/>
      <c r="E908" s="10"/>
      <c r="F908" s="10"/>
      <c r="G908" s="11">
        <v>39.1900</v>
      </c>
      <c r="H908" s="11">
        <v>0</v>
      </c>
      <c r="I908" s="11">
        <f ca="1">I905</f>
        <v>0</v>
      </c>
      <c r="J908" s="11">
        <v>0</v>
      </c>
      <c r="K908" s="10"/>
      <c r="L908" s="10"/>
    </row>
    <row r="909" ht="13.35" customHeight="true"/>
    <row r="910" ht="12.1" customHeight="true" customFormat="true" s="5">
      <c r="A910" s="8" t="s">
        <v>296</v>
      </c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ht="10.95" customHeight="true" customFormat="true" s="9">
      <c r="A911" s="10" t="s">
        <v>16</v>
      </c>
      <c r="B911" s="10"/>
      <c r="C911" s="10"/>
      <c r="D911" s="10"/>
      <c r="E911" s="10"/>
      <c r="F911" s="10"/>
      <c r="G911" s="11">
        <v>0</v>
      </c>
      <c r="H911" s="11">
        <v>0</v>
      </c>
      <c r="I911" s="11">
        <f ca="1">(G911 - H911)</f>
        <v>0</v>
      </c>
      <c r="J911" s="11">
        <v>0</v>
      </c>
      <c r="K911" s="10"/>
      <c r="L911" s="10"/>
    </row>
    <row r="912" ht="10.95" customHeight="true" customFormat="true" s="9">
      <c r="A912" s="12">
        <v>45118</v>
      </c>
      <c r="B912" s="13" t="s">
        <v>297</v>
      </c>
      <c r="C912" s="13" t="s">
        <v>136</v>
      </c>
      <c r="D912" s="13" t="s">
        <v>22</v>
      </c>
      <c r="E912" s="13" t="s">
        <v>298</v>
      </c>
      <c r="F912" s="13"/>
      <c r="G912" s="14">
        <v>5439.9500</v>
      </c>
      <c r="H912" s="14">
        <v>0</v>
      </c>
      <c r="I912" s="14">
        <f ca="1">((I911 + G912) - H912)</f>
        <v>0</v>
      </c>
      <c r="J912" s="14">
        <v>544.0000</v>
      </c>
      <c r="K912" s="15">
        <v>10.0000</v>
      </c>
      <c r="L912" s="13" t="s">
        <v>80</v>
      </c>
    </row>
    <row r="913" ht="10.95" customHeight="true" customFormat="true" s="9">
      <c r="A913" s="16">
        <v>45156</v>
      </c>
      <c r="B913" s="17" t="s">
        <v>297</v>
      </c>
      <c r="C913" s="17" t="s">
        <v>136</v>
      </c>
      <c r="D913" s="17" t="s">
        <v>22</v>
      </c>
      <c r="E913" s="17" t="s">
        <v>298</v>
      </c>
      <c r="F913" s="17"/>
      <c r="G913" s="18">
        <v>5439.9500</v>
      </c>
      <c r="H913" s="18">
        <v>0</v>
      </c>
      <c r="I913" s="18">
        <f ca="1">((I912 + G913) - H913)</f>
        <v>0</v>
      </c>
      <c r="J913" s="18">
        <v>544.0000</v>
      </c>
      <c r="K913" s="19">
        <v>10.0000</v>
      </c>
      <c r="L913" s="17" t="s">
        <v>80</v>
      </c>
    </row>
    <row r="914" ht="10.95" customHeight="true" customFormat="true" s="9">
      <c r="A914" s="16">
        <v>45183</v>
      </c>
      <c r="B914" s="17" t="s">
        <v>297</v>
      </c>
      <c r="C914" s="17" t="s">
        <v>136</v>
      </c>
      <c r="D914" s="17" t="s">
        <v>22</v>
      </c>
      <c r="E914" s="17" t="s">
        <v>298</v>
      </c>
      <c r="F914" s="17"/>
      <c r="G914" s="18">
        <v>5439.9500</v>
      </c>
      <c r="H914" s="18">
        <v>0</v>
      </c>
      <c r="I914" s="18">
        <f ca="1">((I913 + G914) - H914)</f>
        <v>0</v>
      </c>
      <c r="J914" s="18">
        <v>544.0000</v>
      </c>
      <c r="K914" s="19">
        <v>10.0000</v>
      </c>
      <c r="L914" s="17" t="s">
        <v>80</v>
      </c>
    </row>
    <row r="915" ht="10.95" customHeight="true" customFormat="true" s="9">
      <c r="A915" s="16">
        <v>45212</v>
      </c>
      <c r="B915" s="17" t="s">
        <v>297</v>
      </c>
      <c r="C915" s="17" t="s">
        <v>136</v>
      </c>
      <c r="D915" s="17" t="s">
        <v>22</v>
      </c>
      <c r="E915" s="17" t="s">
        <v>298</v>
      </c>
      <c r="F915" s="17"/>
      <c r="G915" s="18">
        <v>5439.9500</v>
      </c>
      <c r="H915" s="18">
        <v>0</v>
      </c>
      <c r="I915" s="18">
        <f ca="1">((I914 + G915) - H915)</f>
        <v>0</v>
      </c>
      <c r="J915" s="18">
        <v>544.0000</v>
      </c>
      <c r="K915" s="19">
        <v>10.0000</v>
      </c>
      <c r="L915" s="17" t="s">
        <v>80</v>
      </c>
    </row>
    <row r="916" ht="10.95" customHeight="true" customFormat="true" s="9">
      <c r="A916" s="16">
        <v>45243</v>
      </c>
      <c r="B916" s="17" t="s">
        <v>297</v>
      </c>
      <c r="C916" s="17" t="s">
        <v>136</v>
      </c>
      <c r="D916" s="17" t="s">
        <v>22</v>
      </c>
      <c r="E916" s="17" t="s">
        <v>298</v>
      </c>
      <c r="F916" s="17"/>
      <c r="G916" s="18">
        <v>5439.9500</v>
      </c>
      <c r="H916" s="18">
        <v>0</v>
      </c>
      <c r="I916" s="18">
        <f ca="1">((I915 + G916) - H916)</f>
        <v>0</v>
      </c>
      <c r="J916" s="18">
        <v>544.0000</v>
      </c>
      <c r="K916" s="19">
        <v>10.0000</v>
      </c>
      <c r="L916" s="17" t="s">
        <v>80</v>
      </c>
    </row>
    <row r="917" ht="10.95" customHeight="true" customFormat="true" s="9">
      <c r="A917" s="16">
        <v>45274</v>
      </c>
      <c r="B917" s="17" t="s">
        <v>297</v>
      </c>
      <c r="C917" s="17" t="s">
        <v>136</v>
      </c>
      <c r="D917" s="17" t="s">
        <v>22</v>
      </c>
      <c r="E917" s="17" t="s">
        <v>298</v>
      </c>
      <c r="F917" s="17"/>
      <c r="G917" s="18">
        <v>5439.9500</v>
      </c>
      <c r="H917" s="18">
        <v>0</v>
      </c>
      <c r="I917" s="18">
        <f ca="1">((I916 + G917) - H917)</f>
        <v>0</v>
      </c>
      <c r="J917" s="18">
        <v>544.0000</v>
      </c>
      <c r="K917" s="19">
        <v>10.0000</v>
      </c>
      <c r="L917" s="17" t="s">
        <v>80</v>
      </c>
    </row>
    <row r="918" ht="10.95" customHeight="true" customFormat="true" s="9">
      <c r="A918" s="16">
        <v>45306</v>
      </c>
      <c r="B918" s="17" t="s">
        <v>297</v>
      </c>
      <c r="C918" s="17" t="s">
        <v>136</v>
      </c>
      <c r="D918" s="17" t="s">
        <v>22</v>
      </c>
      <c r="E918" s="17" t="s">
        <v>298</v>
      </c>
      <c r="F918" s="17"/>
      <c r="G918" s="18">
        <v>5439.9500</v>
      </c>
      <c r="H918" s="18">
        <v>0</v>
      </c>
      <c r="I918" s="18">
        <f ca="1">((I917 + G918) - H918)</f>
        <v>0</v>
      </c>
      <c r="J918" s="18">
        <v>544.0000</v>
      </c>
      <c r="K918" s="19">
        <v>10.0000</v>
      </c>
      <c r="L918" s="17" t="s">
        <v>80</v>
      </c>
    </row>
    <row r="919" ht="10.95" customHeight="true" customFormat="true" s="9">
      <c r="A919" s="16">
        <v>45343</v>
      </c>
      <c r="B919" s="17" t="s">
        <v>297</v>
      </c>
      <c r="C919" s="17" t="s">
        <v>136</v>
      </c>
      <c r="D919" s="17" t="s">
        <v>22</v>
      </c>
      <c r="E919" s="17" t="s">
        <v>299</v>
      </c>
      <c r="F919" s="17"/>
      <c r="G919" s="18">
        <v>5439.9500</v>
      </c>
      <c r="H919" s="18">
        <v>0</v>
      </c>
      <c r="I919" s="18">
        <f ca="1">((I918 + G919) - H919)</f>
        <v>0</v>
      </c>
      <c r="J919" s="18">
        <v>544.0000</v>
      </c>
      <c r="K919" s="19">
        <v>10.0000</v>
      </c>
      <c r="L919" s="17" t="s">
        <v>80</v>
      </c>
    </row>
    <row r="920" ht="10.95" customHeight="true" customFormat="true" s="9">
      <c r="A920" s="16">
        <v>45373</v>
      </c>
      <c r="B920" s="17" t="s">
        <v>297</v>
      </c>
      <c r="C920" s="17" t="s">
        <v>136</v>
      </c>
      <c r="D920" s="17" t="s">
        <v>22</v>
      </c>
      <c r="E920" s="17" t="s">
        <v>300</v>
      </c>
      <c r="F920" s="17"/>
      <c r="G920" s="18">
        <v>5833.3400</v>
      </c>
      <c r="H920" s="18">
        <v>0</v>
      </c>
      <c r="I920" s="18">
        <f ca="1">((I919 + G920) - H920)</f>
        <v>0</v>
      </c>
      <c r="J920" s="18">
        <v>583.3300</v>
      </c>
      <c r="K920" s="19">
        <v>10.0000</v>
      </c>
      <c r="L920" s="17" t="s">
        <v>80</v>
      </c>
    </row>
    <row r="921" ht="10.95" customHeight="true" customFormat="true" s="9">
      <c r="A921" s="16">
        <v>45400</v>
      </c>
      <c r="B921" s="17" t="s">
        <v>297</v>
      </c>
      <c r="C921" s="17" t="s">
        <v>136</v>
      </c>
      <c r="D921" s="17" t="s">
        <v>22</v>
      </c>
      <c r="E921" s="17" t="s">
        <v>300</v>
      </c>
      <c r="F921" s="17"/>
      <c r="G921" s="18">
        <v>5833.3400</v>
      </c>
      <c r="H921" s="18">
        <v>0</v>
      </c>
      <c r="I921" s="18">
        <f ca="1">((I920 + G921) - H921)</f>
        <v>0</v>
      </c>
      <c r="J921" s="18">
        <v>583.3300</v>
      </c>
      <c r="K921" s="19">
        <v>10.0000</v>
      </c>
      <c r="L921" s="17" t="s">
        <v>80</v>
      </c>
    </row>
    <row r="922" ht="10.95" customHeight="true" customFormat="true" s="9">
      <c r="A922" s="16">
        <v>45432</v>
      </c>
      <c r="B922" s="17" t="s">
        <v>297</v>
      </c>
      <c r="C922" s="17" t="s">
        <v>136</v>
      </c>
      <c r="D922" s="17" t="s">
        <v>22</v>
      </c>
      <c r="E922" s="17" t="s">
        <v>301</v>
      </c>
      <c r="F922" s="17"/>
      <c r="G922" s="18">
        <v>1015.8200</v>
      </c>
      <c r="H922" s="18">
        <v>0</v>
      </c>
      <c r="I922" s="18">
        <f ca="1">((I921 + G922) - H922)</f>
        <v>0</v>
      </c>
      <c r="J922" s="18">
        <v>0</v>
      </c>
      <c r="K922" s="19">
        <v>0</v>
      </c>
      <c r="L922" s="17" t="s">
        <v>28</v>
      </c>
    </row>
    <row r="923" ht="10.95" customHeight="true" customFormat="true" s="9">
      <c r="A923" s="16">
        <v>45454</v>
      </c>
      <c r="B923" s="17" t="s">
        <v>297</v>
      </c>
      <c r="C923" s="17" t="s">
        <v>136</v>
      </c>
      <c r="D923" s="17" t="s">
        <v>22</v>
      </c>
      <c r="E923" s="17" t="s">
        <v>301</v>
      </c>
      <c r="F923" s="17"/>
      <c r="G923" s="18">
        <v>11666.6700</v>
      </c>
      <c r="H923" s="18">
        <v>0</v>
      </c>
      <c r="I923" s="18">
        <f ca="1">((I922 + G923) - H923)</f>
        <v>0</v>
      </c>
      <c r="J923" s="18">
        <v>1166.6700</v>
      </c>
      <c r="K923" s="19">
        <v>10.0000</v>
      </c>
      <c r="L923" s="17" t="s">
        <v>80</v>
      </c>
    </row>
    <row r="924" ht="10.95" customHeight="true" customFormat="true" s="9">
      <c r="A924" s="16">
        <v>45473</v>
      </c>
      <c r="B924" s="17" t="s">
        <v>297</v>
      </c>
      <c r="C924" s="17" t="s">
        <v>136</v>
      </c>
      <c r="D924" s="17" t="s">
        <v>25</v>
      </c>
      <c r="E924" s="17" t="s">
        <v>302</v>
      </c>
      <c r="F924" s="17" t="s">
        <v>50</v>
      </c>
      <c r="G924" s="18">
        <v>0</v>
      </c>
      <c r="H924" s="18">
        <v>1015.8200</v>
      </c>
      <c r="I924" s="18">
        <f ca="1">((I923 + G924) - H924)</f>
        <v>0</v>
      </c>
      <c r="J924" s="18">
        <v>0</v>
      </c>
      <c r="K924" s="19">
        <v>0</v>
      </c>
      <c r="L924" s="17" t="s">
        <v>28</v>
      </c>
    </row>
    <row r="925" ht="10.95" customHeight="true" customFormat="true" s="9">
      <c r="A925" s="20" t="s">
        <v>303</v>
      </c>
      <c r="B925" s="20"/>
      <c r="C925" s="20"/>
      <c r="D925" s="20"/>
      <c r="E925" s="20"/>
      <c r="F925" s="20"/>
      <c r="G925" s="21">
        <f ca="1">SUM(G912:G924)</f>
        <v>0</v>
      </c>
      <c r="H925" s="21">
        <f ca="1">SUM(H912:H924)</f>
        <v>0</v>
      </c>
      <c r="I925" s="21">
        <f ca="1">I924</f>
        <v>0</v>
      </c>
      <c r="J925" s="21">
        <f ca="1">SUM(J912:J924)</f>
        <v>0</v>
      </c>
      <c r="K925" s="20"/>
      <c r="L925" s="20"/>
    </row>
    <row r="926" ht="10.95" customHeight="true" customFormat="true" s="9">
      <c r="A926" s="20" t="s">
        <v>53</v>
      </c>
      <c r="B926" s="20"/>
      <c r="C926" s="20"/>
      <c r="D926" s="20"/>
      <c r="E926" s="20"/>
      <c r="F926" s="20"/>
      <c r="G926" s="21">
        <v>66852.9500</v>
      </c>
      <c r="H926" s="21">
        <v>0</v>
      </c>
      <c r="I926" s="21">
        <v>0</v>
      </c>
      <c r="J926" s="21">
        <v>0</v>
      </c>
      <c r="K926" s="20"/>
      <c r="L926" s="20"/>
    </row>
    <row r="927" ht="10.95" customHeight="true" customFormat="true" s="9">
      <c r="A927" s="10" t="s">
        <v>54</v>
      </c>
      <c r="B927" s="10"/>
      <c r="C927" s="10"/>
      <c r="D927" s="10"/>
      <c r="E927" s="10"/>
      <c r="F927" s="10"/>
      <c r="G927" s="11">
        <v>66852.9500</v>
      </c>
      <c r="H927" s="11">
        <v>0</v>
      </c>
      <c r="I927" s="11">
        <f ca="1">I924</f>
        <v>0</v>
      </c>
      <c r="J927" s="11">
        <v>0</v>
      </c>
      <c r="K927" s="10"/>
      <c r="L927" s="10"/>
    </row>
    <row r="928" ht="13.35" customHeight="true"/>
    <row r="929" ht="12.1" customHeight="true" customFormat="true" s="5">
      <c r="A929" s="8" t="s">
        <v>304</v>
      </c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ht="10.95" customHeight="true" customFormat="true" s="9">
      <c r="A930" s="10" t="s">
        <v>16</v>
      </c>
      <c r="B930" s="10"/>
      <c r="C930" s="10"/>
      <c r="D930" s="10"/>
      <c r="E930" s="10"/>
      <c r="F930" s="10"/>
      <c r="G930" s="11">
        <v>0</v>
      </c>
      <c r="H930" s="11">
        <v>0</v>
      </c>
      <c r="I930" s="11">
        <f ca="1">(G930 - H930)</f>
        <v>0</v>
      </c>
      <c r="J930" s="11">
        <v>0</v>
      </c>
      <c r="K930" s="10"/>
      <c r="L930" s="10"/>
    </row>
    <row r="931" ht="10.95" customHeight="true" customFormat="true" s="9">
      <c r="A931" s="12">
        <v>45128</v>
      </c>
      <c r="B931" s="13" t="s">
        <v>305</v>
      </c>
      <c r="C931" s="13" t="s">
        <v>136</v>
      </c>
      <c r="D931" s="13" t="s">
        <v>22</v>
      </c>
      <c r="E931" s="13" t="s">
        <v>306</v>
      </c>
      <c r="F931" s="13"/>
      <c r="G931" s="14">
        <v>45.0000</v>
      </c>
      <c r="H931" s="14">
        <v>0</v>
      </c>
      <c r="I931" s="14">
        <f ca="1">((I930 + G931) - H931)</f>
        <v>0</v>
      </c>
      <c r="J931" s="14">
        <v>4.5000</v>
      </c>
      <c r="K931" s="15">
        <v>10.0000</v>
      </c>
      <c r="L931" s="13" t="s">
        <v>80</v>
      </c>
    </row>
    <row r="932" ht="10.95" customHeight="true" customFormat="true" s="9">
      <c r="A932" s="16">
        <v>45217</v>
      </c>
      <c r="B932" s="17" t="s">
        <v>305</v>
      </c>
      <c r="C932" s="17" t="s">
        <v>136</v>
      </c>
      <c r="D932" s="17" t="s">
        <v>22</v>
      </c>
      <c r="E932" s="17" t="s">
        <v>307</v>
      </c>
      <c r="F932" s="17"/>
      <c r="G932" s="18">
        <v>47.5500</v>
      </c>
      <c r="H932" s="18">
        <v>0</v>
      </c>
      <c r="I932" s="18">
        <f ca="1">((I931 + G932) - H932)</f>
        <v>0</v>
      </c>
      <c r="J932" s="18">
        <v>4.7600</v>
      </c>
      <c r="K932" s="19">
        <v>10.0000</v>
      </c>
      <c r="L932" s="17" t="s">
        <v>80</v>
      </c>
    </row>
    <row r="933" ht="10.95" customHeight="true" customFormat="true" s="9">
      <c r="A933" s="16">
        <v>45229</v>
      </c>
      <c r="B933" s="17" t="s">
        <v>305</v>
      </c>
      <c r="C933" s="17" t="s">
        <v>136</v>
      </c>
      <c r="D933" s="17" t="s">
        <v>22</v>
      </c>
      <c r="E933" s="17" t="s">
        <v>308</v>
      </c>
      <c r="F933" s="17"/>
      <c r="G933" s="18">
        <v>50.3500</v>
      </c>
      <c r="H933" s="18">
        <v>0</v>
      </c>
      <c r="I933" s="18">
        <f ca="1">((I932 + G933) - H933)</f>
        <v>0</v>
      </c>
      <c r="J933" s="18">
        <v>5.0400</v>
      </c>
      <c r="K933" s="19">
        <v>10.0000</v>
      </c>
      <c r="L933" s="17" t="s">
        <v>80</v>
      </c>
    </row>
    <row r="934" ht="10.95" customHeight="true" customFormat="true" s="9">
      <c r="A934" s="16">
        <v>45233</v>
      </c>
      <c r="B934" s="17" t="s">
        <v>305</v>
      </c>
      <c r="C934" s="17" t="s">
        <v>136</v>
      </c>
      <c r="D934" s="17" t="s">
        <v>22</v>
      </c>
      <c r="E934" s="17" t="s">
        <v>309</v>
      </c>
      <c r="F934" s="17"/>
      <c r="G934" s="18">
        <v>54.2800</v>
      </c>
      <c r="H934" s="18">
        <v>0</v>
      </c>
      <c r="I934" s="18">
        <f ca="1">((I933 + G934) - H934)</f>
        <v>0</v>
      </c>
      <c r="J934" s="18">
        <v>5.4300</v>
      </c>
      <c r="K934" s="19">
        <v>10.0000</v>
      </c>
      <c r="L934" s="17" t="s">
        <v>80</v>
      </c>
    </row>
    <row r="935" ht="10.95" customHeight="true" customFormat="true" s="9">
      <c r="A935" s="16">
        <v>45245</v>
      </c>
      <c r="B935" s="17" t="s">
        <v>305</v>
      </c>
      <c r="C935" s="17" t="s">
        <v>136</v>
      </c>
      <c r="D935" s="17" t="s">
        <v>22</v>
      </c>
      <c r="E935" s="17" t="s">
        <v>310</v>
      </c>
      <c r="F935" s="17"/>
      <c r="G935" s="18">
        <v>295.2700</v>
      </c>
      <c r="H935" s="18">
        <v>0</v>
      </c>
      <c r="I935" s="18">
        <f ca="1">((I934 + G935) - H935)</f>
        <v>0</v>
      </c>
      <c r="J935" s="18">
        <v>29.5300</v>
      </c>
      <c r="K935" s="19">
        <v>10.0000</v>
      </c>
      <c r="L935" s="17" t="s">
        <v>80</v>
      </c>
    </row>
    <row r="936" ht="10.95" customHeight="true" customFormat="true" s="9">
      <c r="A936" s="16">
        <v>45247</v>
      </c>
      <c r="B936" s="17" t="s">
        <v>305</v>
      </c>
      <c r="C936" s="17" t="s">
        <v>136</v>
      </c>
      <c r="D936" s="17" t="s">
        <v>22</v>
      </c>
      <c r="E936" s="17" t="s">
        <v>311</v>
      </c>
      <c r="F936" s="17"/>
      <c r="G936" s="18">
        <v>18.3600</v>
      </c>
      <c r="H936" s="18">
        <v>0</v>
      </c>
      <c r="I936" s="18">
        <f ca="1">((I935 + G936) - H936)</f>
        <v>0</v>
      </c>
      <c r="J936" s="18">
        <v>1.8400</v>
      </c>
      <c r="K936" s="19">
        <v>10.0000</v>
      </c>
      <c r="L936" s="17" t="s">
        <v>80</v>
      </c>
    </row>
    <row r="937" ht="10.95" customHeight="true" customFormat="true" s="9">
      <c r="A937" s="16">
        <v>45257</v>
      </c>
      <c r="B937" s="17" t="s">
        <v>305</v>
      </c>
      <c r="C937" s="17" t="s">
        <v>136</v>
      </c>
      <c r="D937" s="17" t="s">
        <v>22</v>
      </c>
      <c r="E937" s="17" t="s">
        <v>312</v>
      </c>
      <c r="F937" s="17"/>
      <c r="G937" s="18">
        <v>65.3700</v>
      </c>
      <c r="H937" s="18">
        <v>0</v>
      </c>
      <c r="I937" s="18">
        <f ca="1">((I936 + G937) - H937)</f>
        <v>0</v>
      </c>
      <c r="J937" s="18">
        <v>6.5400</v>
      </c>
      <c r="K937" s="19">
        <v>10.0000</v>
      </c>
      <c r="L937" s="17" t="s">
        <v>80</v>
      </c>
    </row>
    <row r="938" ht="10.95" customHeight="true" customFormat="true" s="9">
      <c r="A938" s="16">
        <v>45287</v>
      </c>
      <c r="B938" s="17" t="s">
        <v>305</v>
      </c>
      <c r="C938" s="17" t="s">
        <v>136</v>
      </c>
      <c r="D938" s="17" t="s">
        <v>22</v>
      </c>
      <c r="E938" s="17" t="s">
        <v>313</v>
      </c>
      <c r="F938" s="17"/>
      <c r="G938" s="18">
        <v>58.1300</v>
      </c>
      <c r="H938" s="18">
        <v>0</v>
      </c>
      <c r="I938" s="18">
        <f ca="1">((I937 + G938) - H938)</f>
        <v>0</v>
      </c>
      <c r="J938" s="18">
        <v>5.8100</v>
      </c>
      <c r="K938" s="19">
        <v>10.0000</v>
      </c>
      <c r="L938" s="17" t="s">
        <v>80</v>
      </c>
    </row>
    <row r="939" ht="10.95" customHeight="true" customFormat="true" s="9">
      <c r="A939" s="16">
        <v>45291</v>
      </c>
      <c r="B939" s="17" t="s">
        <v>305</v>
      </c>
      <c r="C939" s="17" t="s">
        <v>136</v>
      </c>
      <c r="D939" s="17" t="s">
        <v>25</v>
      </c>
      <c r="E939" s="17" t="s">
        <v>113</v>
      </c>
      <c r="F939" s="17" t="s">
        <v>32</v>
      </c>
      <c r="G939" s="18">
        <v>1164.5800</v>
      </c>
      <c r="H939" s="18">
        <v>0</v>
      </c>
      <c r="I939" s="18">
        <f ca="1">((I938 + G939) - H939)</f>
        <v>0</v>
      </c>
      <c r="J939" s="18">
        <v>116.4600</v>
      </c>
      <c r="K939" s="19">
        <v>10.0000</v>
      </c>
      <c r="L939" s="17" t="s">
        <v>80</v>
      </c>
    </row>
    <row r="940" ht="10.95" customHeight="true" customFormat="true" s="9">
      <c r="A940" s="16">
        <v>45313</v>
      </c>
      <c r="B940" s="17" t="s">
        <v>305</v>
      </c>
      <c r="C940" s="17" t="s">
        <v>136</v>
      </c>
      <c r="D940" s="17" t="s">
        <v>22</v>
      </c>
      <c r="E940" s="17" t="s">
        <v>314</v>
      </c>
      <c r="F940" s="17"/>
      <c r="G940" s="18">
        <v>1676.1000</v>
      </c>
      <c r="H940" s="18">
        <v>0</v>
      </c>
      <c r="I940" s="18">
        <f ca="1">((I939 + G940) - H940)</f>
        <v>0</v>
      </c>
      <c r="J940" s="18">
        <v>167.6100</v>
      </c>
      <c r="K940" s="19">
        <v>10.0000</v>
      </c>
      <c r="L940" s="17" t="s">
        <v>80</v>
      </c>
    </row>
    <row r="941" ht="10.95" customHeight="true" customFormat="true" s="9">
      <c r="A941" s="16">
        <v>45320</v>
      </c>
      <c r="B941" s="17" t="s">
        <v>305</v>
      </c>
      <c r="C941" s="17" t="s">
        <v>136</v>
      </c>
      <c r="D941" s="17" t="s">
        <v>22</v>
      </c>
      <c r="E941" s="17" t="s">
        <v>314</v>
      </c>
      <c r="F941" s="17"/>
      <c r="G941" s="18">
        <v>1620.0000</v>
      </c>
      <c r="H941" s="18">
        <v>0</v>
      </c>
      <c r="I941" s="18">
        <f ca="1">((I940 + G941) - H941)</f>
        <v>0</v>
      </c>
      <c r="J941" s="18">
        <v>162.0000</v>
      </c>
      <c r="K941" s="19">
        <v>10.0000</v>
      </c>
      <c r="L941" s="17" t="s">
        <v>80</v>
      </c>
    </row>
    <row r="942" ht="10.95" customHeight="true" customFormat="true" s="9">
      <c r="A942" s="16">
        <v>45334</v>
      </c>
      <c r="B942" s="17" t="s">
        <v>305</v>
      </c>
      <c r="C942" s="17" t="s">
        <v>136</v>
      </c>
      <c r="D942" s="17" t="s">
        <v>22</v>
      </c>
      <c r="E942" s="17" t="s">
        <v>315</v>
      </c>
      <c r="F942" s="17"/>
      <c r="G942" s="18">
        <v>9.7200</v>
      </c>
      <c r="H942" s="18">
        <v>0</v>
      </c>
      <c r="I942" s="18">
        <f ca="1">((I941 + G942) - H942)</f>
        <v>0</v>
      </c>
      <c r="J942" s="18">
        <v>0.9700</v>
      </c>
      <c r="K942" s="19">
        <v>10.0000</v>
      </c>
      <c r="L942" s="17" t="s">
        <v>80</v>
      </c>
    </row>
    <row r="943" ht="10.95" customHeight="true" customFormat="true" s="9">
      <c r="A943" s="16">
        <v>45334</v>
      </c>
      <c r="B943" s="17" t="s">
        <v>305</v>
      </c>
      <c r="C943" s="17" t="s">
        <v>136</v>
      </c>
      <c r="D943" s="17" t="s">
        <v>22</v>
      </c>
      <c r="E943" s="17" t="s">
        <v>316</v>
      </c>
      <c r="F943" s="17"/>
      <c r="G943" s="18">
        <v>18.2200</v>
      </c>
      <c r="H943" s="18">
        <v>0</v>
      </c>
      <c r="I943" s="18">
        <f ca="1">((I942 + G943) - H943)</f>
        <v>0</v>
      </c>
      <c r="J943" s="18">
        <v>1.8200</v>
      </c>
      <c r="K943" s="19">
        <v>10.0000</v>
      </c>
      <c r="L943" s="17" t="s">
        <v>80</v>
      </c>
    </row>
    <row r="944" ht="10.95" customHeight="true" customFormat="true" s="9">
      <c r="A944" s="16">
        <v>45336</v>
      </c>
      <c r="B944" s="17" t="s">
        <v>305</v>
      </c>
      <c r="C944" s="17" t="s">
        <v>136</v>
      </c>
      <c r="D944" s="17" t="s">
        <v>22</v>
      </c>
      <c r="E944" s="17" t="s">
        <v>317</v>
      </c>
      <c r="F944" s="17"/>
      <c r="G944" s="18">
        <v>120.0000</v>
      </c>
      <c r="H944" s="18">
        <v>0</v>
      </c>
      <c r="I944" s="18">
        <f ca="1">((I943 + G944) - H944)</f>
        <v>0</v>
      </c>
      <c r="J944" s="18">
        <v>12.0000</v>
      </c>
      <c r="K944" s="19">
        <v>10.0000</v>
      </c>
      <c r="L944" s="17" t="s">
        <v>80</v>
      </c>
    </row>
    <row r="945" ht="10.95" customHeight="true" customFormat="true" s="9">
      <c r="A945" s="16">
        <v>45341</v>
      </c>
      <c r="B945" s="17" t="s">
        <v>305</v>
      </c>
      <c r="C945" s="17" t="s">
        <v>136</v>
      </c>
      <c r="D945" s="17" t="s">
        <v>22</v>
      </c>
      <c r="E945" s="17" t="s">
        <v>318</v>
      </c>
      <c r="F945" s="17"/>
      <c r="G945" s="18">
        <v>28.3300</v>
      </c>
      <c r="H945" s="18">
        <v>0</v>
      </c>
      <c r="I945" s="18">
        <f ca="1">((I944 + G945) - H945)</f>
        <v>0</v>
      </c>
      <c r="J945" s="18">
        <v>2.8300</v>
      </c>
      <c r="K945" s="19">
        <v>10.0000</v>
      </c>
      <c r="L945" s="17" t="s">
        <v>80</v>
      </c>
    </row>
    <row r="946" ht="10.95" customHeight="true" customFormat="true" s="9">
      <c r="A946" s="16">
        <v>45351</v>
      </c>
      <c r="B946" s="17" t="s">
        <v>305</v>
      </c>
      <c r="C946" s="17" t="s">
        <v>136</v>
      </c>
      <c r="D946" s="17" t="s">
        <v>22</v>
      </c>
      <c r="E946" s="17" t="s">
        <v>319</v>
      </c>
      <c r="F946" s="17"/>
      <c r="G946" s="18">
        <v>10.8300</v>
      </c>
      <c r="H946" s="18">
        <v>0</v>
      </c>
      <c r="I946" s="18">
        <f ca="1">((I945 + G946) - H946)</f>
        <v>0</v>
      </c>
      <c r="J946" s="18">
        <v>1.0800</v>
      </c>
      <c r="K946" s="19">
        <v>10.0000</v>
      </c>
      <c r="L946" s="17" t="s">
        <v>80</v>
      </c>
    </row>
    <row r="947" ht="10.95" customHeight="true" customFormat="true" s="9">
      <c r="A947" s="16">
        <v>45355</v>
      </c>
      <c r="B947" s="17" t="s">
        <v>305</v>
      </c>
      <c r="C947" s="17" t="s">
        <v>136</v>
      </c>
      <c r="D947" s="17" t="s">
        <v>22</v>
      </c>
      <c r="E947" s="17" t="s">
        <v>320</v>
      </c>
      <c r="F947" s="17"/>
      <c r="G947" s="18">
        <v>7.3300</v>
      </c>
      <c r="H947" s="18">
        <v>0</v>
      </c>
      <c r="I947" s="18">
        <f ca="1">((I946 + G947) - H947)</f>
        <v>0</v>
      </c>
      <c r="J947" s="18">
        <v>0.7300</v>
      </c>
      <c r="K947" s="19">
        <v>10.0000</v>
      </c>
      <c r="L947" s="17" t="s">
        <v>80</v>
      </c>
    </row>
    <row r="948" ht="10.95" customHeight="true" customFormat="true" s="9">
      <c r="A948" s="16">
        <v>45362</v>
      </c>
      <c r="B948" s="17" t="s">
        <v>305</v>
      </c>
      <c r="C948" s="17" t="s">
        <v>136</v>
      </c>
      <c r="D948" s="17" t="s">
        <v>22</v>
      </c>
      <c r="E948" s="17" t="s">
        <v>321</v>
      </c>
      <c r="F948" s="17"/>
      <c r="G948" s="18">
        <v>41.5200</v>
      </c>
      <c r="H948" s="18">
        <v>0</v>
      </c>
      <c r="I948" s="18">
        <f ca="1">((I947 + G948) - H948)</f>
        <v>0</v>
      </c>
      <c r="J948" s="18">
        <v>4.1500</v>
      </c>
      <c r="K948" s="19">
        <v>10.0000</v>
      </c>
      <c r="L948" s="17" t="s">
        <v>80</v>
      </c>
    </row>
    <row r="949" ht="10.95" customHeight="true" customFormat="true" s="9">
      <c r="A949" s="16">
        <v>45365</v>
      </c>
      <c r="B949" s="17" t="s">
        <v>305</v>
      </c>
      <c r="C949" s="17" t="s">
        <v>136</v>
      </c>
      <c r="D949" s="17" t="s">
        <v>22</v>
      </c>
      <c r="E949" s="17" t="s">
        <v>322</v>
      </c>
      <c r="F949" s="17"/>
      <c r="G949" s="18">
        <v>24.6300</v>
      </c>
      <c r="H949" s="18">
        <v>0</v>
      </c>
      <c r="I949" s="18">
        <f ca="1">((I948 + G949) - H949)</f>
        <v>0</v>
      </c>
      <c r="J949" s="18">
        <v>2.4600</v>
      </c>
      <c r="K949" s="19">
        <v>10.0000</v>
      </c>
      <c r="L949" s="17" t="s">
        <v>80</v>
      </c>
    </row>
    <row r="950" ht="10.95" customHeight="true" customFormat="true" s="9">
      <c r="A950" s="16">
        <v>45382</v>
      </c>
      <c r="B950" s="17" t="s">
        <v>305</v>
      </c>
      <c r="C950" s="17" t="s">
        <v>136</v>
      </c>
      <c r="D950" s="17" t="s">
        <v>25</v>
      </c>
      <c r="E950" s="17" t="s">
        <v>323</v>
      </c>
      <c r="F950" s="17" t="s">
        <v>39</v>
      </c>
      <c r="G950" s="18">
        <v>156.7300</v>
      </c>
      <c r="H950" s="18">
        <v>0</v>
      </c>
      <c r="I950" s="18">
        <f ca="1">((I949 + G950) - H950)</f>
        <v>0</v>
      </c>
      <c r="J950" s="18">
        <v>15.6700</v>
      </c>
      <c r="K950" s="19">
        <v>10.0000</v>
      </c>
      <c r="L950" s="17" t="s">
        <v>80</v>
      </c>
    </row>
    <row r="951" ht="10.95" customHeight="true" customFormat="true" s="9">
      <c r="A951" s="16">
        <v>45382</v>
      </c>
      <c r="B951" s="17" t="s">
        <v>305</v>
      </c>
      <c r="C951" s="17" t="s">
        <v>136</v>
      </c>
      <c r="D951" s="17" t="s">
        <v>25</v>
      </c>
      <c r="E951" s="17" t="s">
        <v>323</v>
      </c>
      <c r="F951" s="17" t="s">
        <v>39</v>
      </c>
      <c r="G951" s="18">
        <v>4.6400</v>
      </c>
      <c r="H951" s="18">
        <v>0</v>
      </c>
      <c r="I951" s="18">
        <f ca="1">((I950 + G951) - H951)</f>
        <v>0</v>
      </c>
      <c r="J951" s="18">
        <v>0</v>
      </c>
      <c r="K951" s="19">
        <v>0</v>
      </c>
      <c r="L951" s="17" t="s">
        <v>28</v>
      </c>
    </row>
    <row r="952" ht="10.95" customHeight="true" customFormat="true" s="9">
      <c r="A952" s="16">
        <v>45473</v>
      </c>
      <c r="B952" s="17" t="s">
        <v>305</v>
      </c>
      <c r="C952" s="17" t="s">
        <v>136</v>
      </c>
      <c r="D952" s="17" t="s">
        <v>25</v>
      </c>
      <c r="E952" s="17" t="s">
        <v>324</v>
      </c>
      <c r="F952" s="17" t="s">
        <v>50</v>
      </c>
      <c r="G952" s="18">
        <v>0</v>
      </c>
      <c r="H952" s="18">
        <v>1676.1000</v>
      </c>
      <c r="I952" s="18">
        <f ca="1">((I951 + G952) - H952)</f>
        <v>0</v>
      </c>
      <c r="J952" s="18">
        <v>0</v>
      </c>
      <c r="K952" s="19">
        <v>0</v>
      </c>
      <c r="L952" s="17" t="s">
        <v>28</v>
      </c>
    </row>
    <row r="953" ht="10.95" customHeight="true" customFormat="true" s="9">
      <c r="A953" s="16">
        <v>45473</v>
      </c>
      <c r="B953" s="17" t="s">
        <v>305</v>
      </c>
      <c r="C953" s="17" t="s">
        <v>136</v>
      </c>
      <c r="D953" s="17" t="s">
        <v>25</v>
      </c>
      <c r="E953" s="17" t="s">
        <v>324</v>
      </c>
      <c r="F953" s="17" t="s">
        <v>50</v>
      </c>
      <c r="G953" s="18">
        <v>0</v>
      </c>
      <c r="H953" s="18">
        <v>1620.0000</v>
      </c>
      <c r="I953" s="18">
        <f ca="1">((I952 + G953) - H953)</f>
        <v>0</v>
      </c>
      <c r="J953" s="18">
        <v>0</v>
      </c>
      <c r="K953" s="19">
        <v>0</v>
      </c>
      <c r="L953" s="17" t="s">
        <v>28</v>
      </c>
    </row>
    <row r="954" ht="10.95" customHeight="true" customFormat="true" s="9">
      <c r="A954" s="20" t="s">
        <v>325</v>
      </c>
      <c r="B954" s="20"/>
      <c r="C954" s="20"/>
      <c r="D954" s="20"/>
      <c r="E954" s="20"/>
      <c r="F954" s="20"/>
      <c r="G954" s="21">
        <f ca="1">SUM(G931:G953)</f>
        <v>0</v>
      </c>
      <c r="H954" s="21">
        <f ca="1">SUM(H931:H953)</f>
        <v>0</v>
      </c>
      <c r="I954" s="21">
        <f ca="1">I953</f>
        <v>0</v>
      </c>
      <c r="J954" s="21">
        <f ca="1">SUM(J931:J953)</f>
        <v>0</v>
      </c>
      <c r="K954" s="20"/>
      <c r="L954" s="20"/>
    </row>
    <row r="955" ht="10.95" customHeight="true" customFormat="true" s="9">
      <c r="A955" s="20" t="s">
        <v>53</v>
      </c>
      <c r="B955" s="20"/>
      <c r="C955" s="20"/>
      <c r="D955" s="20"/>
      <c r="E955" s="20"/>
      <c r="F955" s="20"/>
      <c r="G955" s="21">
        <v>2220.8400</v>
      </c>
      <c r="H955" s="21">
        <v>0</v>
      </c>
      <c r="I955" s="21">
        <v>0</v>
      </c>
      <c r="J955" s="21">
        <v>0</v>
      </c>
      <c r="K955" s="20"/>
      <c r="L955" s="20"/>
    </row>
    <row r="956" ht="10.95" customHeight="true" customFormat="true" s="9">
      <c r="A956" s="10" t="s">
        <v>54</v>
      </c>
      <c r="B956" s="10"/>
      <c r="C956" s="10"/>
      <c r="D956" s="10"/>
      <c r="E956" s="10"/>
      <c r="F956" s="10"/>
      <c r="G956" s="11">
        <v>2220.8400</v>
      </c>
      <c r="H956" s="11">
        <v>0</v>
      </c>
      <c r="I956" s="11">
        <f ca="1">I953</f>
        <v>0</v>
      </c>
      <c r="J956" s="11">
        <v>0</v>
      </c>
      <c r="K956" s="10"/>
      <c r="L956" s="10"/>
    </row>
    <row r="957" ht="13.35" customHeight="true"/>
    <row r="958" ht="12.1" customHeight="true" customFormat="true" s="5">
      <c r="A958" s="8" t="s">
        <v>326</v>
      </c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0.95" customHeight="true" customFormat="true" s="9">
      <c r="A959" s="10" t="s">
        <v>16</v>
      </c>
      <c r="B959" s="10"/>
      <c r="C959" s="10"/>
      <c r="D959" s="10"/>
      <c r="E959" s="10"/>
      <c r="F959" s="10"/>
      <c r="G959" s="11">
        <v>0</v>
      </c>
      <c r="H959" s="11">
        <v>0</v>
      </c>
      <c r="I959" s="11">
        <f ca="1">(G959 - H959)</f>
        <v>0</v>
      </c>
      <c r="J959" s="11">
        <v>0</v>
      </c>
      <c r="K959" s="10"/>
      <c r="L959" s="10"/>
    </row>
    <row r="960" ht="10.95" customHeight="true" customFormat="true" s="9">
      <c r="A960" s="12">
        <v>45261</v>
      </c>
      <c r="B960" s="13" t="s">
        <v>327</v>
      </c>
      <c r="C960" s="13" t="s">
        <v>136</v>
      </c>
      <c r="D960" s="13" t="s">
        <v>22</v>
      </c>
      <c r="E960" s="13" t="s">
        <v>328</v>
      </c>
      <c r="F960" s="13"/>
      <c r="G960" s="14">
        <v>89.9800</v>
      </c>
      <c r="H960" s="14">
        <v>0</v>
      </c>
      <c r="I960" s="14">
        <f ca="1">((I959 + G960) - H960)</f>
        <v>0</v>
      </c>
      <c r="J960" s="14">
        <v>9.0000</v>
      </c>
      <c r="K960" s="15">
        <v>10.0000</v>
      </c>
      <c r="L960" s="13" t="s">
        <v>80</v>
      </c>
    </row>
    <row r="961" ht="10.95" customHeight="true" customFormat="true" s="9">
      <c r="A961" s="16">
        <v>45291</v>
      </c>
      <c r="B961" s="17" t="s">
        <v>327</v>
      </c>
      <c r="C961" s="17" t="s">
        <v>136</v>
      </c>
      <c r="D961" s="17" t="s">
        <v>25</v>
      </c>
      <c r="E961" s="17" t="s">
        <v>113</v>
      </c>
      <c r="F961" s="17" t="s">
        <v>32</v>
      </c>
      <c r="G961" s="18">
        <v>37.7000</v>
      </c>
      <c r="H961" s="18">
        <v>0</v>
      </c>
      <c r="I961" s="18">
        <f ca="1">((I960 + G961) - H961)</f>
        <v>0</v>
      </c>
      <c r="J961" s="18">
        <v>3.7700</v>
      </c>
      <c r="K961" s="19">
        <v>10.0000</v>
      </c>
      <c r="L961" s="17" t="s">
        <v>80</v>
      </c>
    </row>
    <row r="962" ht="10.95" customHeight="true" customFormat="true" s="9">
      <c r="A962" s="16">
        <v>45382</v>
      </c>
      <c r="B962" s="17" t="s">
        <v>327</v>
      </c>
      <c r="C962" s="17" t="s">
        <v>136</v>
      </c>
      <c r="D962" s="17" t="s">
        <v>25</v>
      </c>
      <c r="E962" s="17" t="s">
        <v>329</v>
      </c>
      <c r="F962" s="17" t="s">
        <v>39</v>
      </c>
      <c r="G962" s="18">
        <v>48.9800</v>
      </c>
      <c r="H962" s="18">
        <v>0</v>
      </c>
      <c r="I962" s="18">
        <f ca="1">((I961 + G962) - H962)</f>
        <v>0</v>
      </c>
      <c r="J962" s="18">
        <v>4.9000</v>
      </c>
      <c r="K962" s="19">
        <v>10.0000</v>
      </c>
      <c r="L962" s="17" t="s">
        <v>80</v>
      </c>
    </row>
    <row r="963" ht="10.95" customHeight="true" customFormat="true" s="9">
      <c r="A963" s="20" t="s">
        <v>330</v>
      </c>
      <c r="B963" s="20"/>
      <c r="C963" s="20"/>
      <c r="D963" s="20"/>
      <c r="E963" s="20"/>
      <c r="F963" s="20"/>
      <c r="G963" s="21">
        <f ca="1">SUM(G960:G962)</f>
        <v>0</v>
      </c>
      <c r="H963" s="21">
        <f ca="1">SUM(H960:H962)</f>
        <v>0</v>
      </c>
      <c r="I963" s="21">
        <f ca="1">I962</f>
        <v>0</v>
      </c>
      <c r="J963" s="21">
        <f ca="1">SUM(J960:J962)</f>
        <v>0</v>
      </c>
      <c r="K963" s="20"/>
      <c r="L963" s="20"/>
    </row>
    <row r="964" ht="10.95" customHeight="true" customFormat="true" s="9">
      <c r="A964" s="20" t="s">
        <v>53</v>
      </c>
      <c r="B964" s="20"/>
      <c r="C964" s="20"/>
      <c r="D964" s="20"/>
      <c r="E964" s="20"/>
      <c r="F964" s="20"/>
      <c r="G964" s="21">
        <v>176.6600</v>
      </c>
      <c r="H964" s="21">
        <v>0</v>
      </c>
      <c r="I964" s="21">
        <v>0</v>
      </c>
      <c r="J964" s="21">
        <v>0</v>
      </c>
      <c r="K964" s="20"/>
      <c r="L964" s="20"/>
    </row>
    <row r="965" ht="10.95" customHeight="true" customFormat="true" s="9">
      <c r="A965" s="10" t="s">
        <v>54</v>
      </c>
      <c r="B965" s="10"/>
      <c r="C965" s="10"/>
      <c r="D965" s="10"/>
      <c r="E965" s="10"/>
      <c r="F965" s="10"/>
      <c r="G965" s="11">
        <v>176.6600</v>
      </c>
      <c r="H965" s="11">
        <v>0</v>
      </c>
      <c r="I965" s="11">
        <f ca="1">I962</f>
        <v>0</v>
      </c>
      <c r="J965" s="11">
        <v>0</v>
      </c>
      <c r="K965" s="10"/>
      <c r="L965" s="10"/>
    </row>
    <row r="966" ht="13.35" customHeight="true"/>
    <row r="967" ht="12.1" customHeight="true" customFormat="true" s="5">
      <c r="A967" s="8" t="s">
        <v>331</v>
      </c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0.95" customHeight="true" customFormat="true" s="9">
      <c r="A968" s="10" t="s">
        <v>16</v>
      </c>
      <c r="B968" s="10"/>
      <c r="C968" s="10"/>
      <c r="D968" s="10"/>
      <c r="E968" s="10"/>
      <c r="F968" s="10"/>
      <c r="G968" s="11">
        <v>0</v>
      </c>
      <c r="H968" s="11">
        <v>0</v>
      </c>
      <c r="I968" s="11">
        <f ca="1">(G968 - H968)</f>
        <v>0</v>
      </c>
      <c r="J968" s="11">
        <v>0</v>
      </c>
      <c r="K968" s="10"/>
      <c r="L968" s="10"/>
    </row>
    <row r="969" ht="10.95" customHeight="true" customFormat="true" s="9">
      <c r="A969" s="12">
        <v>45110</v>
      </c>
      <c r="B969" s="13" t="s">
        <v>332</v>
      </c>
      <c r="C969" s="13" t="s">
        <v>136</v>
      </c>
      <c r="D969" s="13" t="s">
        <v>333</v>
      </c>
      <c r="E969" s="13" t="s">
        <v>334</v>
      </c>
      <c r="F969" s="13" t="s">
        <v>335</v>
      </c>
      <c r="G969" s="14">
        <v>5056.1500</v>
      </c>
      <c r="H969" s="14">
        <v>0</v>
      </c>
      <c r="I969" s="14">
        <f ca="1">((I968 + G969) - H969)</f>
        <v>0</v>
      </c>
      <c r="J969" s="14">
        <v>0</v>
      </c>
      <c r="K969" s="15">
        <v>0</v>
      </c>
      <c r="L969" s="13" t="s">
        <v>28</v>
      </c>
    </row>
    <row r="970" ht="10.95" customHeight="true" customFormat="true" s="9">
      <c r="A970" s="16">
        <v>45117</v>
      </c>
      <c r="B970" s="17" t="s">
        <v>332</v>
      </c>
      <c r="C970" s="17" t="s">
        <v>136</v>
      </c>
      <c r="D970" s="17" t="s">
        <v>333</v>
      </c>
      <c r="E970" s="17" t="s">
        <v>334</v>
      </c>
      <c r="F970" s="17" t="s">
        <v>336</v>
      </c>
      <c r="G970" s="18">
        <v>6419.1500</v>
      </c>
      <c r="H970" s="18">
        <v>0</v>
      </c>
      <c r="I970" s="18">
        <f ca="1">((I969 + G970) - H970)</f>
        <v>0</v>
      </c>
      <c r="J970" s="18">
        <v>0</v>
      </c>
      <c r="K970" s="19">
        <v>0</v>
      </c>
      <c r="L970" s="17" t="s">
        <v>28</v>
      </c>
    </row>
    <row r="971" ht="10.95" customHeight="true" customFormat="true" s="9">
      <c r="A971" s="16">
        <v>45124</v>
      </c>
      <c r="B971" s="17" t="s">
        <v>332</v>
      </c>
      <c r="C971" s="17" t="s">
        <v>136</v>
      </c>
      <c r="D971" s="17" t="s">
        <v>333</v>
      </c>
      <c r="E971" s="17" t="s">
        <v>334</v>
      </c>
      <c r="F971" s="17" t="s">
        <v>337</v>
      </c>
      <c r="G971" s="18">
        <v>5990.1500</v>
      </c>
      <c r="H971" s="18">
        <v>0</v>
      </c>
      <c r="I971" s="18">
        <f ca="1">((I970 + G971) - H971)</f>
        <v>0</v>
      </c>
      <c r="J971" s="18">
        <v>0</v>
      </c>
      <c r="K971" s="19">
        <v>0</v>
      </c>
      <c r="L971" s="17" t="s">
        <v>28</v>
      </c>
    </row>
    <row r="972" ht="10.95" customHeight="true" customFormat="true" s="9">
      <c r="A972" s="16">
        <v>45131</v>
      </c>
      <c r="B972" s="17" t="s">
        <v>332</v>
      </c>
      <c r="C972" s="17" t="s">
        <v>136</v>
      </c>
      <c r="D972" s="17" t="s">
        <v>333</v>
      </c>
      <c r="E972" s="17" t="s">
        <v>334</v>
      </c>
      <c r="F972" s="17" t="s">
        <v>338</v>
      </c>
      <c r="G972" s="18">
        <v>5990.1500</v>
      </c>
      <c r="H972" s="18">
        <v>0</v>
      </c>
      <c r="I972" s="18">
        <f ca="1">((I971 + G972) - H972)</f>
        <v>0</v>
      </c>
      <c r="J972" s="18">
        <v>0</v>
      </c>
      <c r="K972" s="19">
        <v>0</v>
      </c>
      <c r="L972" s="17" t="s">
        <v>28</v>
      </c>
    </row>
    <row r="973" ht="10.95" customHeight="true" customFormat="true" s="9">
      <c r="A973" s="16">
        <v>45138</v>
      </c>
      <c r="B973" s="17" t="s">
        <v>332</v>
      </c>
      <c r="C973" s="17" t="s">
        <v>136</v>
      </c>
      <c r="D973" s="17" t="s">
        <v>333</v>
      </c>
      <c r="E973" s="17" t="s">
        <v>334</v>
      </c>
      <c r="F973" s="17" t="s">
        <v>339</v>
      </c>
      <c r="G973" s="18">
        <v>5990.1500</v>
      </c>
      <c r="H973" s="18">
        <v>0</v>
      </c>
      <c r="I973" s="18">
        <f ca="1">((I972 + G973) - H973)</f>
        <v>0</v>
      </c>
      <c r="J973" s="18">
        <v>0</v>
      </c>
      <c r="K973" s="19">
        <v>0</v>
      </c>
      <c r="L973" s="17" t="s">
        <v>28</v>
      </c>
    </row>
    <row r="974" ht="10.95" customHeight="true" customFormat="true" s="9">
      <c r="A974" s="16">
        <v>45145</v>
      </c>
      <c r="B974" s="17" t="s">
        <v>332</v>
      </c>
      <c r="C974" s="17" t="s">
        <v>136</v>
      </c>
      <c r="D974" s="17" t="s">
        <v>333</v>
      </c>
      <c r="E974" s="17" t="s">
        <v>334</v>
      </c>
      <c r="F974" s="17" t="s">
        <v>340</v>
      </c>
      <c r="G974" s="18">
        <v>6122.1500</v>
      </c>
      <c r="H974" s="18">
        <v>0</v>
      </c>
      <c r="I974" s="18">
        <f ca="1">((I973 + G974) - H974)</f>
        <v>0</v>
      </c>
      <c r="J974" s="18">
        <v>0</v>
      </c>
      <c r="K974" s="19">
        <v>0</v>
      </c>
      <c r="L974" s="17" t="s">
        <v>28</v>
      </c>
    </row>
    <row r="975" ht="10.95" customHeight="true" customFormat="true" s="9">
      <c r="A975" s="16">
        <v>45152</v>
      </c>
      <c r="B975" s="17" t="s">
        <v>332</v>
      </c>
      <c r="C975" s="17" t="s">
        <v>136</v>
      </c>
      <c r="D975" s="17" t="s">
        <v>333</v>
      </c>
      <c r="E975" s="17" t="s">
        <v>334</v>
      </c>
      <c r="F975" s="17" t="s">
        <v>341</v>
      </c>
      <c r="G975" s="18">
        <v>6056.1500</v>
      </c>
      <c r="H975" s="18">
        <v>0</v>
      </c>
      <c r="I975" s="18">
        <f ca="1">((I974 + G975) - H975)</f>
        <v>0</v>
      </c>
      <c r="J975" s="18">
        <v>0</v>
      </c>
      <c r="K975" s="19">
        <v>0</v>
      </c>
      <c r="L975" s="17" t="s">
        <v>28</v>
      </c>
    </row>
    <row r="976" ht="10.95" customHeight="true" customFormat="true" s="9">
      <c r="A976" s="16">
        <v>45159</v>
      </c>
      <c r="B976" s="17" t="s">
        <v>332</v>
      </c>
      <c r="C976" s="17" t="s">
        <v>136</v>
      </c>
      <c r="D976" s="17" t="s">
        <v>333</v>
      </c>
      <c r="E976" s="17" t="s">
        <v>334</v>
      </c>
      <c r="F976" s="17" t="s">
        <v>342</v>
      </c>
      <c r="G976" s="18">
        <v>6122.1500</v>
      </c>
      <c r="H976" s="18">
        <v>0</v>
      </c>
      <c r="I976" s="18">
        <f ca="1">((I975 + G976) - H976)</f>
        <v>0</v>
      </c>
      <c r="J976" s="18">
        <v>0</v>
      </c>
      <c r="K976" s="19">
        <v>0</v>
      </c>
      <c r="L976" s="17" t="s">
        <v>28</v>
      </c>
    </row>
    <row r="977" ht="10.95" customHeight="true" customFormat="true" s="9">
      <c r="A977" s="16">
        <v>45166</v>
      </c>
      <c r="B977" s="17" t="s">
        <v>332</v>
      </c>
      <c r="C977" s="17" t="s">
        <v>136</v>
      </c>
      <c r="D977" s="17" t="s">
        <v>333</v>
      </c>
      <c r="E977" s="17" t="s">
        <v>334</v>
      </c>
      <c r="F977" s="17" t="s">
        <v>343</v>
      </c>
      <c r="G977" s="18">
        <v>6548.1500</v>
      </c>
      <c r="H977" s="18">
        <v>0</v>
      </c>
      <c r="I977" s="18">
        <f ca="1">((I976 + G977) - H977)</f>
        <v>0</v>
      </c>
      <c r="J977" s="18">
        <v>0</v>
      </c>
      <c r="K977" s="19">
        <v>0</v>
      </c>
      <c r="L977" s="17" t="s">
        <v>28</v>
      </c>
    </row>
    <row r="978" ht="10.95" customHeight="true" customFormat="true" s="9">
      <c r="A978" s="16">
        <v>45173</v>
      </c>
      <c r="B978" s="17" t="s">
        <v>332</v>
      </c>
      <c r="C978" s="17" t="s">
        <v>136</v>
      </c>
      <c r="D978" s="17" t="s">
        <v>333</v>
      </c>
      <c r="E978" s="17" t="s">
        <v>334</v>
      </c>
      <c r="F978" s="17" t="s">
        <v>344</v>
      </c>
      <c r="G978" s="18">
        <v>5990.1500</v>
      </c>
      <c r="H978" s="18">
        <v>0</v>
      </c>
      <c r="I978" s="18">
        <f ca="1">((I977 + G978) - H978)</f>
        <v>0</v>
      </c>
      <c r="J978" s="18">
        <v>0</v>
      </c>
      <c r="K978" s="19">
        <v>0</v>
      </c>
      <c r="L978" s="17" t="s">
        <v>28</v>
      </c>
    </row>
    <row r="979" ht="10.95" customHeight="true" customFormat="true" s="9">
      <c r="A979" s="16">
        <v>45180</v>
      </c>
      <c r="B979" s="17" t="s">
        <v>332</v>
      </c>
      <c r="C979" s="17" t="s">
        <v>136</v>
      </c>
      <c r="D979" s="17" t="s">
        <v>333</v>
      </c>
      <c r="E979" s="17" t="s">
        <v>334</v>
      </c>
      <c r="F979" s="17" t="s">
        <v>345</v>
      </c>
      <c r="G979" s="18">
        <v>5952.6500</v>
      </c>
      <c r="H979" s="18">
        <v>0</v>
      </c>
      <c r="I979" s="18">
        <f ca="1">((I978 + G979) - H979)</f>
        <v>0</v>
      </c>
      <c r="J979" s="18">
        <v>0</v>
      </c>
      <c r="K979" s="19">
        <v>0</v>
      </c>
      <c r="L979" s="17" t="s">
        <v>28</v>
      </c>
    </row>
    <row r="980" ht="10.95" customHeight="true" customFormat="true" s="9">
      <c r="A980" s="16">
        <v>45187</v>
      </c>
      <c r="B980" s="17" t="s">
        <v>332</v>
      </c>
      <c r="C980" s="17" t="s">
        <v>136</v>
      </c>
      <c r="D980" s="17" t="s">
        <v>333</v>
      </c>
      <c r="E980" s="17" t="s">
        <v>334</v>
      </c>
      <c r="F980" s="17" t="s">
        <v>346</v>
      </c>
      <c r="G980" s="18">
        <v>5946.6500</v>
      </c>
      <c r="H980" s="18">
        <v>0</v>
      </c>
      <c r="I980" s="18">
        <f ca="1">((I979 + G980) - H980)</f>
        <v>0</v>
      </c>
      <c r="J980" s="18">
        <v>0</v>
      </c>
      <c r="K980" s="19">
        <v>0</v>
      </c>
      <c r="L980" s="17" t="s">
        <v>28</v>
      </c>
    </row>
    <row r="981" ht="10.95" customHeight="true" customFormat="true" s="9">
      <c r="A981" s="16">
        <v>45194</v>
      </c>
      <c r="B981" s="17" t="s">
        <v>332</v>
      </c>
      <c r="C981" s="17" t="s">
        <v>136</v>
      </c>
      <c r="D981" s="17" t="s">
        <v>333</v>
      </c>
      <c r="E981" s="17" t="s">
        <v>334</v>
      </c>
      <c r="F981" s="17" t="s">
        <v>347</v>
      </c>
      <c r="G981" s="18">
        <v>5966.1500</v>
      </c>
      <c r="H981" s="18">
        <v>0</v>
      </c>
      <c r="I981" s="18">
        <f ca="1">((I980 + G981) - H981)</f>
        <v>0</v>
      </c>
      <c r="J981" s="18">
        <v>0</v>
      </c>
      <c r="K981" s="19">
        <v>0</v>
      </c>
      <c r="L981" s="17" t="s">
        <v>28</v>
      </c>
    </row>
    <row r="982" ht="10.95" customHeight="true" customFormat="true" s="9">
      <c r="A982" s="16">
        <v>45201</v>
      </c>
      <c r="B982" s="17" t="s">
        <v>332</v>
      </c>
      <c r="C982" s="17" t="s">
        <v>136</v>
      </c>
      <c r="D982" s="17" t="s">
        <v>333</v>
      </c>
      <c r="E982" s="17" t="s">
        <v>334</v>
      </c>
      <c r="F982" s="17" t="s">
        <v>348</v>
      </c>
      <c r="G982" s="18">
        <v>5979.6500</v>
      </c>
      <c r="H982" s="18">
        <v>0</v>
      </c>
      <c r="I982" s="18">
        <f ca="1">((I981 + G982) - H982)</f>
        <v>0</v>
      </c>
      <c r="J982" s="18">
        <v>0</v>
      </c>
      <c r="K982" s="19">
        <v>0</v>
      </c>
      <c r="L982" s="17" t="s">
        <v>28</v>
      </c>
    </row>
    <row r="983" ht="10.95" customHeight="true" customFormat="true" s="9">
      <c r="A983" s="16">
        <v>45208</v>
      </c>
      <c r="B983" s="17" t="s">
        <v>332</v>
      </c>
      <c r="C983" s="17" t="s">
        <v>136</v>
      </c>
      <c r="D983" s="17" t="s">
        <v>333</v>
      </c>
      <c r="E983" s="17" t="s">
        <v>334</v>
      </c>
      <c r="F983" s="17" t="s">
        <v>349</v>
      </c>
      <c r="G983" s="18">
        <v>6298.4000</v>
      </c>
      <c r="H983" s="18">
        <v>0</v>
      </c>
      <c r="I983" s="18">
        <f ca="1">((I982 + G983) - H983)</f>
        <v>0</v>
      </c>
      <c r="J983" s="18">
        <v>0</v>
      </c>
      <c r="K983" s="19">
        <v>0</v>
      </c>
      <c r="L983" s="17" t="s">
        <v>28</v>
      </c>
    </row>
    <row r="984" ht="10.95" customHeight="true" customFormat="true" s="9">
      <c r="A984" s="16">
        <v>45215</v>
      </c>
      <c r="B984" s="17" t="s">
        <v>332</v>
      </c>
      <c r="C984" s="17" t="s">
        <v>136</v>
      </c>
      <c r="D984" s="17" t="s">
        <v>333</v>
      </c>
      <c r="E984" s="17" t="s">
        <v>334</v>
      </c>
      <c r="F984" s="17" t="s">
        <v>350</v>
      </c>
      <c r="G984" s="18">
        <v>6806.9000</v>
      </c>
      <c r="H984" s="18">
        <v>0</v>
      </c>
      <c r="I984" s="18">
        <f ca="1">((I983 + G984) - H984)</f>
        <v>0</v>
      </c>
      <c r="J984" s="18">
        <v>0</v>
      </c>
      <c r="K984" s="19">
        <v>0</v>
      </c>
      <c r="L984" s="17" t="s">
        <v>28</v>
      </c>
    </row>
    <row r="985" ht="10.95" customHeight="true" customFormat="true" s="9">
      <c r="A985" s="16">
        <v>45222</v>
      </c>
      <c r="B985" s="17" t="s">
        <v>332</v>
      </c>
      <c r="C985" s="17" t="s">
        <v>136</v>
      </c>
      <c r="D985" s="17" t="s">
        <v>333</v>
      </c>
      <c r="E985" s="17" t="s">
        <v>334</v>
      </c>
      <c r="F985" s="17" t="s">
        <v>351</v>
      </c>
      <c r="G985" s="18">
        <v>6298.4000</v>
      </c>
      <c r="H985" s="18">
        <v>0</v>
      </c>
      <c r="I985" s="18">
        <f ca="1">((I984 + G985) - H985)</f>
        <v>0</v>
      </c>
      <c r="J985" s="18">
        <v>0</v>
      </c>
      <c r="K985" s="19">
        <v>0</v>
      </c>
      <c r="L985" s="17" t="s">
        <v>28</v>
      </c>
    </row>
    <row r="986" ht="10.95" customHeight="true" customFormat="true" s="9">
      <c r="A986" s="16">
        <v>45229</v>
      </c>
      <c r="B986" s="17" t="s">
        <v>332</v>
      </c>
      <c r="C986" s="17" t="s">
        <v>136</v>
      </c>
      <c r="D986" s="17" t="s">
        <v>333</v>
      </c>
      <c r="E986" s="17" t="s">
        <v>334</v>
      </c>
      <c r="F986" s="17" t="s">
        <v>352</v>
      </c>
      <c r="G986" s="18">
        <v>6278.9000</v>
      </c>
      <c r="H986" s="18">
        <v>0</v>
      </c>
      <c r="I986" s="18">
        <f ca="1">((I985 + G986) - H986)</f>
        <v>0</v>
      </c>
      <c r="J986" s="18">
        <v>0</v>
      </c>
      <c r="K986" s="19">
        <v>0</v>
      </c>
      <c r="L986" s="17" t="s">
        <v>28</v>
      </c>
    </row>
    <row r="987" ht="10.95" customHeight="true" customFormat="true" s="9">
      <c r="A987" s="16">
        <v>45236</v>
      </c>
      <c r="B987" s="17" t="s">
        <v>332</v>
      </c>
      <c r="C987" s="17" t="s">
        <v>136</v>
      </c>
      <c r="D987" s="17" t="s">
        <v>333</v>
      </c>
      <c r="E987" s="17" t="s">
        <v>334</v>
      </c>
      <c r="F987" s="17" t="s">
        <v>353</v>
      </c>
      <c r="G987" s="18">
        <v>6826.4000</v>
      </c>
      <c r="H987" s="18">
        <v>0</v>
      </c>
      <c r="I987" s="18">
        <f ca="1">((I986 + G987) - H987)</f>
        <v>0</v>
      </c>
      <c r="J987" s="18">
        <v>0</v>
      </c>
      <c r="K987" s="19">
        <v>0</v>
      </c>
      <c r="L987" s="17" t="s">
        <v>28</v>
      </c>
    </row>
    <row r="988" ht="10.95" customHeight="true" customFormat="true" s="9">
      <c r="A988" s="16">
        <v>45243</v>
      </c>
      <c r="B988" s="17" t="s">
        <v>332</v>
      </c>
      <c r="C988" s="17" t="s">
        <v>136</v>
      </c>
      <c r="D988" s="17" t="s">
        <v>333</v>
      </c>
      <c r="E988" s="17" t="s">
        <v>334</v>
      </c>
      <c r="F988" s="17" t="s">
        <v>354</v>
      </c>
      <c r="G988" s="18">
        <v>6872.9000</v>
      </c>
      <c r="H988" s="18">
        <v>0</v>
      </c>
      <c r="I988" s="18">
        <f ca="1">((I987 + G988) - H988)</f>
        <v>0</v>
      </c>
      <c r="J988" s="18">
        <v>0</v>
      </c>
      <c r="K988" s="19">
        <v>0</v>
      </c>
      <c r="L988" s="17" t="s">
        <v>28</v>
      </c>
    </row>
    <row r="989" ht="10.95" customHeight="true" customFormat="true" s="9">
      <c r="A989" s="16">
        <v>45250</v>
      </c>
      <c r="B989" s="17" t="s">
        <v>332</v>
      </c>
      <c r="C989" s="17" t="s">
        <v>136</v>
      </c>
      <c r="D989" s="17" t="s">
        <v>333</v>
      </c>
      <c r="E989" s="17" t="s">
        <v>334</v>
      </c>
      <c r="F989" s="17" t="s">
        <v>355</v>
      </c>
      <c r="G989" s="18">
        <v>6298.4000</v>
      </c>
      <c r="H989" s="18">
        <v>0</v>
      </c>
      <c r="I989" s="18">
        <f ca="1">((I988 + G989) - H989)</f>
        <v>0</v>
      </c>
      <c r="J989" s="18">
        <v>0</v>
      </c>
      <c r="K989" s="19">
        <v>0</v>
      </c>
      <c r="L989" s="17" t="s">
        <v>28</v>
      </c>
    </row>
    <row r="990" ht="10.95" customHeight="true" customFormat="true" s="9">
      <c r="A990" s="16">
        <v>45257</v>
      </c>
      <c r="B990" s="17" t="s">
        <v>332</v>
      </c>
      <c r="C990" s="17" t="s">
        <v>136</v>
      </c>
      <c r="D990" s="17" t="s">
        <v>333</v>
      </c>
      <c r="E990" s="17" t="s">
        <v>334</v>
      </c>
      <c r="F990" s="17" t="s">
        <v>356</v>
      </c>
      <c r="G990" s="18">
        <v>6473.9000</v>
      </c>
      <c r="H990" s="18">
        <v>0</v>
      </c>
      <c r="I990" s="18">
        <f ca="1">((I989 + G990) - H990)</f>
        <v>0</v>
      </c>
      <c r="J990" s="18">
        <v>0</v>
      </c>
      <c r="K990" s="19">
        <v>0</v>
      </c>
      <c r="L990" s="17" t="s">
        <v>28</v>
      </c>
    </row>
    <row r="991" ht="10.95" customHeight="true" customFormat="true" s="9">
      <c r="A991" s="16">
        <v>45264</v>
      </c>
      <c r="B991" s="17" t="s">
        <v>332</v>
      </c>
      <c r="C991" s="17" t="s">
        <v>136</v>
      </c>
      <c r="D991" s="17" t="s">
        <v>333</v>
      </c>
      <c r="E991" s="17" t="s">
        <v>334</v>
      </c>
      <c r="F991" s="17" t="s">
        <v>357</v>
      </c>
      <c r="G991" s="18">
        <v>6837.4000</v>
      </c>
      <c r="H991" s="18">
        <v>0</v>
      </c>
      <c r="I991" s="18">
        <f ca="1">((I990 + G991) - H991)</f>
        <v>0</v>
      </c>
      <c r="J991" s="18">
        <v>0</v>
      </c>
      <c r="K991" s="19">
        <v>0</v>
      </c>
      <c r="L991" s="17" t="s">
        <v>28</v>
      </c>
    </row>
    <row r="992" ht="10.95" customHeight="true" customFormat="true" s="9">
      <c r="A992" s="16">
        <v>45271</v>
      </c>
      <c r="B992" s="17" t="s">
        <v>332</v>
      </c>
      <c r="C992" s="17" t="s">
        <v>136</v>
      </c>
      <c r="D992" s="17" t="s">
        <v>333</v>
      </c>
      <c r="E992" s="17" t="s">
        <v>334</v>
      </c>
      <c r="F992" s="17" t="s">
        <v>358</v>
      </c>
      <c r="G992" s="18">
        <v>6791.9000</v>
      </c>
      <c r="H992" s="18">
        <v>0</v>
      </c>
      <c r="I992" s="18">
        <f ca="1">((I991 + G992) - H992)</f>
        <v>0</v>
      </c>
      <c r="J992" s="18">
        <v>0</v>
      </c>
      <c r="K992" s="19">
        <v>0</v>
      </c>
      <c r="L992" s="17" t="s">
        <v>28</v>
      </c>
    </row>
    <row r="993" ht="10.95" customHeight="true" customFormat="true" s="9">
      <c r="A993" s="16">
        <v>45278</v>
      </c>
      <c r="B993" s="17" t="s">
        <v>332</v>
      </c>
      <c r="C993" s="17" t="s">
        <v>136</v>
      </c>
      <c r="D993" s="17" t="s">
        <v>333</v>
      </c>
      <c r="E993" s="17" t="s">
        <v>334</v>
      </c>
      <c r="F993" s="17" t="s">
        <v>359</v>
      </c>
      <c r="G993" s="18">
        <v>7071.9000</v>
      </c>
      <c r="H993" s="18">
        <v>0</v>
      </c>
      <c r="I993" s="18">
        <f ca="1">((I992 + G993) - H993)</f>
        <v>0</v>
      </c>
      <c r="J993" s="18">
        <v>0</v>
      </c>
      <c r="K993" s="19">
        <v>0</v>
      </c>
      <c r="L993" s="17" t="s">
        <v>28</v>
      </c>
    </row>
    <row r="994" ht="10.95" customHeight="true" customFormat="true" s="9">
      <c r="A994" s="16">
        <v>45285</v>
      </c>
      <c r="B994" s="17" t="s">
        <v>332</v>
      </c>
      <c r="C994" s="17" t="s">
        <v>136</v>
      </c>
      <c r="D994" s="17" t="s">
        <v>333</v>
      </c>
      <c r="E994" s="17" t="s">
        <v>334</v>
      </c>
      <c r="F994" s="17" t="s">
        <v>360</v>
      </c>
      <c r="G994" s="18">
        <v>7821.4000</v>
      </c>
      <c r="H994" s="18">
        <v>0</v>
      </c>
      <c r="I994" s="18">
        <f ca="1">((I993 + G994) - H994)</f>
        <v>0</v>
      </c>
      <c r="J994" s="18">
        <v>0</v>
      </c>
      <c r="K994" s="19">
        <v>0</v>
      </c>
      <c r="L994" s="17" t="s">
        <v>28</v>
      </c>
    </row>
    <row r="995" ht="10.95" customHeight="true" customFormat="true" s="9">
      <c r="A995" s="16">
        <v>45292</v>
      </c>
      <c r="B995" s="17" t="s">
        <v>332</v>
      </c>
      <c r="C995" s="17" t="s">
        <v>136</v>
      </c>
      <c r="D995" s="17" t="s">
        <v>333</v>
      </c>
      <c r="E995" s="17" t="s">
        <v>334</v>
      </c>
      <c r="F995" s="17" t="s">
        <v>361</v>
      </c>
      <c r="G995" s="18">
        <v>4580.9000</v>
      </c>
      <c r="H995" s="18">
        <v>0</v>
      </c>
      <c r="I995" s="18">
        <f ca="1">((I994 + G995) - H995)</f>
        <v>0</v>
      </c>
      <c r="J995" s="18">
        <v>0</v>
      </c>
      <c r="K995" s="19">
        <v>0</v>
      </c>
      <c r="L995" s="17" t="s">
        <v>28</v>
      </c>
    </row>
    <row r="996" ht="10.95" customHeight="true" customFormat="true" s="9">
      <c r="A996" s="16">
        <v>45299</v>
      </c>
      <c r="B996" s="17" t="s">
        <v>332</v>
      </c>
      <c r="C996" s="17" t="s">
        <v>136</v>
      </c>
      <c r="D996" s="17" t="s">
        <v>333</v>
      </c>
      <c r="E996" s="17" t="s">
        <v>334</v>
      </c>
      <c r="F996" s="17" t="s">
        <v>362</v>
      </c>
      <c r="G996" s="18">
        <v>4580.9000</v>
      </c>
      <c r="H996" s="18">
        <v>0</v>
      </c>
      <c r="I996" s="18">
        <f ca="1">((I995 + G996) - H996)</f>
        <v>0</v>
      </c>
      <c r="J996" s="18">
        <v>0</v>
      </c>
      <c r="K996" s="19">
        <v>0</v>
      </c>
      <c r="L996" s="17" t="s">
        <v>28</v>
      </c>
    </row>
    <row r="997" ht="10.95" customHeight="true" customFormat="true" s="9">
      <c r="A997" s="16">
        <v>45306</v>
      </c>
      <c r="B997" s="17" t="s">
        <v>332</v>
      </c>
      <c r="C997" s="17" t="s">
        <v>136</v>
      </c>
      <c r="D997" s="17" t="s">
        <v>333</v>
      </c>
      <c r="E997" s="17" t="s">
        <v>334</v>
      </c>
      <c r="F997" s="17" t="s">
        <v>363</v>
      </c>
      <c r="G997" s="18">
        <v>4580.9000</v>
      </c>
      <c r="H997" s="18">
        <v>0</v>
      </c>
      <c r="I997" s="18">
        <f ca="1">((I996 + G997) - H997)</f>
        <v>0</v>
      </c>
      <c r="J997" s="18">
        <v>0</v>
      </c>
      <c r="K997" s="19">
        <v>0</v>
      </c>
      <c r="L997" s="17" t="s">
        <v>28</v>
      </c>
    </row>
    <row r="998" ht="10.95" customHeight="true" customFormat="true" s="9">
      <c r="A998" s="16">
        <v>45313</v>
      </c>
      <c r="B998" s="17" t="s">
        <v>332</v>
      </c>
      <c r="C998" s="17" t="s">
        <v>136</v>
      </c>
      <c r="D998" s="17" t="s">
        <v>333</v>
      </c>
      <c r="E998" s="17" t="s">
        <v>334</v>
      </c>
      <c r="F998" s="17" t="s">
        <v>364</v>
      </c>
      <c r="G998" s="18">
        <v>7331.4000</v>
      </c>
      <c r="H998" s="18">
        <v>0</v>
      </c>
      <c r="I998" s="18">
        <f ca="1">((I997 + G998) - H998)</f>
        <v>0</v>
      </c>
      <c r="J998" s="18">
        <v>0</v>
      </c>
      <c r="K998" s="19">
        <v>0</v>
      </c>
      <c r="L998" s="17" t="s">
        <v>28</v>
      </c>
    </row>
    <row r="999" ht="10.95" customHeight="true" customFormat="true" s="9">
      <c r="A999" s="16">
        <v>45320</v>
      </c>
      <c r="B999" s="17" t="s">
        <v>332</v>
      </c>
      <c r="C999" s="17" t="s">
        <v>136</v>
      </c>
      <c r="D999" s="17" t="s">
        <v>333</v>
      </c>
      <c r="E999" s="17" t="s">
        <v>334</v>
      </c>
      <c r="F999" s="17" t="s">
        <v>365</v>
      </c>
      <c r="G999" s="18">
        <v>7192.4000</v>
      </c>
      <c r="H999" s="18">
        <v>0</v>
      </c>
      <c r="I999" s="18">
        <f ca="1">((I998 + G999) - H999)</f>
        <v>0</v>
      </c>
      <c r="J999" s="18">
        <v>0</v>
      </c>
      <c r="K999" s="19">
        <v>0</v>
      </c>
      <c r="L999" s="17" t="s">
        <v>28</v>
      </c>
    </row>
    <row r="1000" ht="10.95" customHeight="true" customFormat="true" s="9">
      <c r="A1000" s="16">
        <v>45327</v>
      </c>
      <c r="B1000" s="17" t="s">
        <v>332</v>
      </c>
      <c r="C1000" s="17" t="s">
        <v>136</v>
      </c>
      <c r="D1000" s="17" t="s">
        <v>333</v>
      </c>
      <c r="E1000" s="17" t="s">
        <v>334</v>
      </c>
      <c r="F1000" s="17" t="s">
        <v>366</v>
      </c>
      <c r="G1000" s="18">
        <v>6973.9000</v>
      </c>
      <c r="H1000" s="18">
        <v>0</v>
      </c>
      <c r="I1000" s="18">
        <f ca="1">((I999 + G1000) - H1000)</f>
        <v>0</v>
      </c>
      <c r="J1000" s="18">
        <v>0</v>
      </c>
      <c r="K1000" s="19">
        <v>0</v>
      </c>
      <c r="L1000" s="17" t="s">
        <v>28</v>
      </c>
    </row>
    <row r="1001" ht="10.95" customHeight="true" customFormat="true" s="9">
      <c r="A1001" s="16">
        <v>45334</v>
      </c>
      <c r="B1001" s="17" t="s">
        <v>332</v>
      </c>
      <c r="C1001" s="17" t="s">
        <v>136</v>
      </c>
      <c r="D1001" s="17" t="s">
        <v>333</v>
      </c>
      <c r="E1001" s="17" t="s">
        <v>334</v>
      </c>
      <c r="F1001" s="17" t="s">
        <v>367</v>
      </c>
      <c r="G1001" s="18">
        <v>6244.9000</v>
      </c>
      <c r="H1001" s="18">
        <v>0</v>
      </c>
      <c r="I1001" s="18">
        <f ca="1">((I1000 + G1001) - H1001)</f>
        <v>0</v>
      </c>
      <c r="J1001" s="18">
        <v>0</v>
      </c>
      <c r="K1001" s="19">
        <v>0</v>
      </c>
      <c r="L1001" s="17" t="s">
        <v>28</v>
      </c>
    </row>
    <row r="1002" ht="10.95" customHeight="true" customFormat="true" s="9">
      <c r="A1002" s="16">
        <v>45341</v>
      </c>
      <c r="B1002" s="17" t="s">
        <v>332</v>
      </c>
      <c r="C1002" s="17" t="s">
        <v>136</v>
      </c>
      <c r="D1002" s="17" t="s">
        <v>333</v>
      </c>
      <c r="E1002" s="17" t="s">
        <v>334</v>
      </c>
      <c r="F1002" s="17" t="s">
        <v>368</v>
      </c>
      <c r="G1002" s="18">
        <v>6244.9000</v>
      </c>
      <c r="H1002" s="18">
        <v>0</v>
      </c>
      <c r="I1002" s="18">
        <f ca="1">((I1001 + G1002) - H1002)</f>
        <v>0</v>
      </c>
      <c r="J1002" s="18">
        <v>0</v>
      </c>
      <c r="K1002" s="19">
        <v>0</v>
      </c>
      <c r="L1002" s="17" t="s">
        <v>28</v>
      </c>
    </row>
    <row r="1003" ht="10.95" customHeight="true" customFormat="true" s="9">
      <c r="A1003" s="16">
        <v>45348</v>
      </c>
      <c r="B1003" s="17" t="s">
        <v>332</v>
      </c>
      <c r="C1003" s="17" t="s">
        <v>136</v>
      </c>
      <c r="D1003" s="17" t="s">
        <v>333</v>
      </c>
      <c r="E1003" s="17" t="s">
        <v>334</v>
      </c>
      <c r="F1003" s="17" t="s">
        <v>369</v>
      </c>
      <c r="G1003" s="18">
        <v>6482.4000</v>
      </c>
      <c r="H1003" s="18">
        <v>0</v>
      </c>
      <c r="I1003" s="18">
        <f ca="1">((I1002 + G1003) - H1003)</f>
        <v>0</v>
      </c>
      <c r="J1003" s="18">
        <v>0</v>
      </c>
      <c r="K1003" s="19">
        <v>0</v>
      </c>
      <c r="L1003" s="17" t="s">
        <v>28</v>
      </c>
    </row>
    <row r="1004" ht="10.95" customHeight="true" customFormat="true" s="9">
      <c r="A1004" s="16">
        <v>45355</v>
      </c>
      <c r="B1004" s="17" t="s">
        <v>332</v>
      </c>
      <c r="C1004" s="17" t="s">
        <v>136</v>
      </c>
      <c r="D1004" s="17" t="s">
        <v>333</v>
      </c>
      <c r="E1004" s="17" t="s">
        <v>334</v>
      </c>
      <c r="F1004" s="17" t="s">
        <v>370</v>
      </c>
      <c r="G1004" s="18">
        <v>6251.9000</v>
      </c>
      <c r="H1004" s="18">
        <v>0</v>
      </c>
      <c r="I1004" s="18">
        <f ca="1">((I1003 + G1004) - H1004)</f>
        <v>0</v>
      </c>
      <c r="J1004" s="18">
        <v>0</v>
      </c>
      <c r="K1004" s="19">
        <v>0</v>
      </c>
      <c r="L1004" s="17" t="s">
        <v>28</v>
      </c>
    </row>
    <row r="1005" ht="10.95" customHeight="true" customFormat="true" s="9">
      <c r="A1005" s="16">
        <v>45362</v>
      </c>
      <c r="B1005" s="17" t="s">
        <v>332</v>
      </c>
      <c r="C1005" s="17" t="s">
        <v>136</v>
      </c>
      <c r="D1005" s="17" t="s">
        <v>333</v>
      </c>
      <c r="E1005" s="17" t="s">
        <v>334</v>
      </c>
      <c r="F1005" s="17" t="s">
        <v>371</v>
      </c>
      <c r="G1005" s="18">
        <v>6176.4000</v>
      </c>
      <c r="H1005" s="18">
        <v>0</v>
      </c>
      <c r="I1005" s="18">
        <f ca="1">((I1004 + G1005) - H1005)</f>
        <v>0</v>
      </c>
      <c r="J1005" s="18">
        <v>0</v>
      </c>
      <c r="K1005" s="19">
        <v>0</v>
      </c>
      <c r="L1005" s="17" t="s">
        <v>28</v>
      </c>
    </row>
    <row r="1006" ht="10.95" customHeight="true" customFormat="true" s="9">
      <c r="A1006" s="16">
        <v>45369</v>
      </c>
      <c r="B1006" s="17" t="s">
        <v>332</v>
      </c>
      <c r="C1006" s="17" t="s">
        <v>136</v>
      </c>
      <c r="D1006" s="17" t="s">
        <v>333</v>
      </c>
      <c r="E1006" s="17" t="s">
        <v>334</v>
      </c>
      <c r="F1006" s="17" t="s">
        <v>372</v>
      </c>
      <c r="G1006" s="18">
        <v>6166.9000</v>
      </c>
      <c r="H1006" s="18">
        <v>0</v>
      </c>
      <c r="I1006" s="18">
        <f ca="1">((I1005 + G1006) - H1006)</f>
        <v>0</v>
      </c>
      <c r="J1006" s="18">
        <v>0</v>
      </c>
      <c r="K1006" s="19">
        <v>0</v>
      </c>
      <c r="L1006" s="17" t="s">
        <v>28</v>
      </c>
    </row>
    <row r="1007" ht="10.95" customHeight="true" customFormat="true" s="9">
      <c r="A1007" s="16">
        <v>45376</v>
      </c>
      <c r="B1007" s="17" t="s">
        <v>332</v>
      </c>
      <c r="C1007" s="17" t="s">
        <v>136</v>
      </c>
      <c r="D1007" s="17" t="s">
        <v>333</v>
      </c>
      <c r="E1007" s="17" t="s">
        <v>334</v>
      </c>
      <c r="F1007" s="17" t="s">
        <v>373</v>
      </c>
      <c r="G1007" s="18">
        <v>7043.9000</v>
      </c>
      <c r="H1007" s="18">
        <v>0</v>
      </c>
      <c r="I1007" s="18">
        <f ca="1">((I1006 + G1007) - H1007)</f>
        <v>0</v>
      </c>
      <c r="J1007" s="18">
        <v>0</v>
      </c>
      <c r="K1007" s="19">
        <v>0</v>
      </c>
      <c r="L1007" s="17" t="s">
        <v>28</v>
      </c>
    </row>
    <row r="1008" ht="10.95" customHeight="true" customFormat="true" s="9">
      <c r="A1008" s="16">
        <v>45383</v>
      </c>
      <c r="B1008" s="17" t="s">
        <v>332</v>
      </c>
      <c r="C1008" s="17" t="s">
        <v>136</v>
      </c>
      <c r="D1008" s="17" t="s">
        <v>333</v>
      </c>
      <c r="E1008" s="17" t="s">
        <v>334</v>
      </c>
      <c r="F1008" s="17" t="s">
        <v>374</v>
      </c>
      <c r="G1008" s="18">
        <v>7308.9000</v>
      </c>
      <c r="H1008" s="18">
        <v>0</v>
      </c>
      <c r="I1008" s="18">
        <f ca="1">((I1007 + G1008) - H1008)</f>
        <v>0</v>
      </c>
      <c r="J1008" s="18">
        <v>0</v>
      </c>
      <c r="K1008" s="19">
        <v>0</v>
      </c>
      <c r="L1008" s="17" t="s">
        <v>28</v>
      </c>
    </row>
    <row r="1009" ht="10.95" customHeight="true" customFormat="true" s="9">
      <c r="A1009" s="16">
        <v>45390</v>
      </c>
      <c r="B1009" s="17" t="s">
        <v>332</v>
      </c>
      <c r="C1009" s="17" t="s">
        <v>136</v>
      </c>
      <c r="D1009" s="17" t="s">
        <v>333</v>
      </c>
      <c r="E1009" s="17" t="s">
        <v>334</v>
      </c>
      <c r="F1009" s="17" t="s">
        <v>375</v>
      </c>
      <c r="G1009" s="18">
        <v>6227.9000</v>
      </c>
      <c r="H1009" s="18">
        <v>0</v>
      </c>
      <c r="I1009" s="18">
        <f ca="1">((I1008 + G1009) - H1009)</f>
        <v>0</v>
      </c>
      <c r="J1009" s="18">
        <v>0</v>
      </c>
      <c r="K1009" s="19">
        <v>0</v>
      </c>
      <c r="L1009" s="17" t="s">
        <v>28</v>
      </c>
    </row>
    <row r="1010" ht="10.95" customHeight="true" customFormat="true" s="9">
      <c r="A1010" s="16">
        <v>45397</v>
      </c>
      <c r="B1010" s="17" t="s">
        <v>332</v>
      </c>
      <c r="C1010" s="17" t="s">
        <v>136</v>
      </c>
      <c r="D1010" s="17" t="s">
        <v>333</v>
      </c>
      <c r="E1010" s="17" t="s">
        <v>334</v>
      </c>
      <c r="F1010" s="17" t="s">
        <v>376</v>
      </c>
      <c r="G1010" s="18">
        <v>7042.9000</v>
      </c>
      <c r="H1010" s="18">
        <v>0</v>
      </c>
      <c r="I1010" s="18">
        <f ca="1">((I1009 + G1010) - H1010)</f>
        <v>0</v>
      </c>
      <c r="J1010" s="18">
        <v>0</v>
      </c>
      <c r="K1010" s="19">
        <v>0</v>
      </c>
      <c r="L1010" s="17" t="s">
        <v>28</v>
      </c>
    </row>
    <row r="1011" ht="10.95" customHeight="true" customFormat="true" s="9">
      <c r="A1011" s="16">
        <v>45404</v>
      </c>
      <c r="B1011" s="17" t="s">
        <v>332</v>
      </c>
      <c r="C1011" s="17" t="s">
        <v>136</v>
      </c>
      <c r="D1011" s="17" t="s">
        <v>333</v>
      </c>
      <c r="E1011" s="17" t="s">
        <v>334</v>
      </c>
      <c r="F1011" s="17" t="s">
        <v>377</v>
      </c>
      <c r="G1011" s="18">
        <v>6992.9000</v>
      </c>
      <c r="H1011" s="18">
        <v>0</v>
      </c>
      <c r="I1011" s="18">
        <f ca="1">((I1010 + G1011) - H1011)</f>
        <v>0</v>
      </c>
      <c r="J1011" s="18">
        <v>0</v>
      </c>
      <c r="K1011" s="19">
        <v>0</v>
      </c>
      <c r="L1011" s="17" t="s">
        <v>28</v>
      </c>
    </row>
    <row r="1012" ht="10.95" customHeight="true" customFormat="true" s="9">
      <c r="A1012" s="16">
        <v>45411</v>
      </c>
      <c r="B1012" s="17" t="s">
        <v>332</v>
      </c>
      <c r="C1012" s="17" t="s">
        <v>136</v>
      </c>
      <c r="D1012" s="17" t="s">
        <v>333</v>
      </c>
      <c r="E1012" s="17" t="s">
        <v>334</v>
      </c>
      <c r="F1012" s="17" t="s">
        <v>378</v>
      </c>
      <c r="G1012" s="18">
        <v>7383.9000</v>
      </c>
      <c r="H1012" s="18">
        <v>0</v>
      </c>
      <c r="I1012" s="18">
        <f ca="1">((I1011 + G1012) - H1012)</f>
        <v>0</v>
      </c>
      <c r="J1012" s="18">
        <v>0</v>
      </c>
      <c r="K1012" s="19">
        <v>0</v>
      </c>
      <c r="L1012" s="17" t="s">
        <v>28</v>
      </c>
    </row>
    <row r="1013" ht="10.95" customHeight="true" customFormat="true" s="9">
      <c r="A1013" s="16">
        <v>45418</v>
      </c>
      <c r="B1013" s="17" t="s">
        <v>332</v>
      </c>
      <c r="C1013" s="17" t="s">
        <v>136</v>
      </c>
      <c r="D1013" s="17" t="s">
        <v>333</v>
      </c>
      <c r="E1013" s="17" t="s">
        <v>334</v>
      </c>
      <c r="F1013" s="17" t="s">
        <v>379</v>
      </c>
      <c r="G1013" s="18">
        <v>6933.9000</v>
      </c>
      <c r="H1013" s="18">
        <v>0</v>
      </c>
      <c r="I1013" s="18">
        <f ca="1">((I1012 + G1013) - H1013)</f>
        <v>0</v>
      </c>
      <c r="J1013" s="18">
        <v>0</v>
      </c>
      <c r="K1013" s="19">
        <v>0</v>
      </c>
      <c r="L1013" s="17" t="s">
        <v>28</v>
      </c>
    </row>
    <row r="1014" ht="10.95" customHeight="true" customFormat="true" s="9">
      <c r="A1014" s="16">
        <v>45425</v>
      </c>
      <c r="B1014" s="17" t="s">
        <v>332</v>
      </c>
      <c r="C1014" s="17" t="s">
        <v>136</v>
      </c>
      <c r="D1014" s="17" t="s">
        <v>333</v>
      </c>
      <c r="E1014" s="17" t="s">
        <v>334</v>
      </c>
      <c r="F1014" s="17" t="s">
        <v>380</v>
      </c>
      <c r="G1014" s="18">
        <v>6953.9000</v>
      </c>
      <c r="H1014" s="18">
        <v>0</v>
      </c>
      <c r="I1014" s="18">
        <f ca="1">((I1013 + G1014) - H1014)</f>
        <v>0</v>
      </c>
      <c r="J1014" s="18">
        <v>0</v>
      </c>
      <c r="K1014" s="19">
        <v>0</v>
      </c>
      <c r="L1014" s="17" t="s">
        <v>28</v>
      </c>
    </row>
    <row r="1015" ht="10.95" customHeight="true" customFormat="true" s="9">
      <c r="A1015" s="16">
        <v>45432</v>
      </c>
      <c r="B1015" s="17" t="s">
        <v>332</v>
      </c>
      <c r="C1015" s="17" t="s">
        <v>136</v>
      </c>
      <c r="D1015" s="17" t="s">
        <v>333</v>
      </c>
      <c r="E1015" s="17" t="s">
        <v>334</v>
      </c>
      <c r="F1015" s="17" t="s">
        <v>381</v>
      </c>
      <c r="G1015" s="18">
        <v>7189.9000</v>
      </c>
      <c r="H1015" s="18">
        <v>0</v>
      </c>
      <c r="I1015" s="18">
        <f ca="1">((I1014 + G1015) - H1015)</f>
        <v>0</v>
      </c>
      <c r="J1015" s="18">
        <v>0</v>
      </c>
      <c r="K1015" s="19">
        <v>0</v>
      </c>
      <c r="L1015" s="17" t="s">
        <v>28</v>
      </c>
    </row>
    <row r="1016" ht="10.95" customHeight="true" customFormat="true" s="9">
      <c r="A1016" s="16">
        <v>45439</v>
      </c>
      <c r="B1016" s="17" t="s">
        <v>332</v>
      </c>
      <c r="C1016" s="17" t="s">
        <v>136</v>
      </c>
      <c r="D1016" s="17" t="s">
        <v>333</v>
      </c>
      <c r="E1016" s="17" t="s">
        <v>334</v>
      </c>
      <c r="F1016" s="17" t="s">
        <v>382</v>
      </c>
      <c r="G1016" s="18">
        <v>7053.9000</v>
      </c>
      <c r="H1016" s="18">
        <v>0</v>
      </c>
      <c r="I1016" s="18">
        <f ca="1">((I1015 + G1016) - H1016)</f>
        <v>0</v>
      </c>
      <c r="J1016" s="18">
        <v>0</v>
      </c>
      <c r="K1016" s="19">
        <v>0</v>
      </c>
      <c r="L1016" s="17" t="s">
        <v>28</v>
      </c>
    </row>
    <row r="1017" ht="10.95" customHeight="true" customFormat="true" s="9">
      <c r="A1017" s="16">
        <v>45446</v>
      </c>
      <c r="B1017" s="17" t="s">
        <v>332</v>
      </c>
      <c r="C1017" s="17" t="s">
        <v>136</v>
      </c>
      <c r="D1017" s="17" t="s">
        <v>333</v>
      </c>
      <c r="E1017" s="17" t="s">
        <v>334</v>
      </c>
      <c r="F1017" s="17" t="s">
        <v>383</v>
      </c>
      <c r="G1017" s="18">
        <v>7053.9000</v>
      </c>
      <c r="H1017" s="18">
        <v>0</v>
      </c>
      <c r="I1017" s="18">
        <f ca="1">((I1016 + G1017) - H1017)</f>
        <v>0</v>
      </c>
      <c r="J1017" s="18">
        <v>0</v>
      </c>
      <c r="K1017" s="19">
        <v>0</v>
      </c>
      <c r="L1017" s="17" t="s">
        <v>28</v>
      </c>
    </row>
    <row r="1018" ht="10.95" customHeight="true" customFormat="true" s="9">
      <c r="A1018" s="16">
        <v>45453</v>
      </c>
      <c r="B1018" s="17" t="s">
        <v>332</v>
      </c>
      <c r="C1018" s="17" t="s">
        <v>136</v>
      </c>
      <c r="D1018" s="17" t="s">
        <v>333</v>
      </c>
      <c r="E1018" s="17" t="s">
        <v>334</v>
      </c>
      <c r="F1018" s="17" t="s">
        <v>384</v>
      </c>
      <c r="G1018" s="18">
        <v>7053.9000</v>
      </c>
      <c r="H1018" s="18">
        <v>0</v>
      </c>
      <c r="I1018" s="18">
        <f ca="1">((I1017 + G1018) - H1018)</f>
        <v>0</v>
      </c>
      <c r="J1018" s="18">
        <v>0</v>
      </c>
      <c r="K1018" s="19">
        <v>0</v>
      </c>
      <c r="L1018" s="17" t="s">
        <v>28</v>
      </c>
    </row>
    <row r="1019" ht="10.95" customHeight="true" customFormat="true" s="9">
      <c r="A1019" s="16">
        <v>45460</v>
      </c>
      <c r="B1019" s="17" t="s">
        <v>332</v>
      </c>
      <c r="C1019" s="17" t="s">
        <v>136</v>
      </c>
      <c r="D1019" s="17" t="s">
        <v>333</v>
      </c>
      <c r="E1019" s="17" t="s">
        <v>334</v>
      </c>
      <c r="F1019" s="17" t="s">
        <v>385</v>
      </c>
      <c r="G1019" s="18">
        <v>7189.9000</v>
      </c>
      <c r="H1019" s="18">
        <v>0</v>
      </c>
      <c r="I1019" s="18">
        <f ca="1">((I1018 + G1019) - H1019)</f>
        <v>0</v>
      </c>
      <c r="J1019" s="18">
        <v>0</v>
      </c>
      <c r="K1019" s="19">
        <v>0</v>
      </c>
      <c r="L1019" s="17" t="s">
        <v>28</v>
      </c>
    </row>
    <row r="1020" ht="10.95" customHeight="true" customFormat="true" s="9">
      <c r="A1020" s="16">
        <v>45467</v>
      </c>
      <c r="B1020" s="17" t="s">
        <v>332</v>
      </c>
      <c r="C1020" s="17" t="s">
        <v>136</v>
      </c>
      <c r="D1020" s="17" t="s">
        <v>333</v>
      </c>
      <c r="E1020" s="17" t="s">
        <v>334</v>
      </c>
      <c r="F1020" s="17" t="s">
        <v>386</v>
      </c>
      <c r="G1020" s="18">
        <v>7315.9000</v>
      </c>
      <c r="H1020" s="18">
        <v>0</v>
      </c>
      <c r="I1020" s="18">
        <f ca="1">((I1019 + G1020) - H1020)</f>
        <v>0</v>
      </c>
      <c r="J1020" s="18">
        <v>0</v>
      </c>
      <c r="K1020" s="19">
        <v>0</v>
      </c>
      <c r="L1020" s="17" t="s">
        <v>28</v>
      </c>
    </row>
    <row r="1021" ht="10.95" customHeight="true" customFormat="true" s="9">
      <c r="A1021" s="20" t="s">
        <v>387</v>
      </c>
      <c r="B1021" s="20"/>
      <c r="C1021" s="20"/>
      <c r="D1021" s="20"/>
      <c r="E1021" s="20"/>
      <c r="F1021" s="20"/>
      <c r="G1021" s="21">
        <f ca="1">SUM(G969:G1020)</f>
        <v>0</v>
      </c>
      <c r="H1021" s="21">
        <f ca="1">SUM(H969:H1020)</f>
        <v>0</v>
      </c>
      <c r="I1021" s="21">
        <f ca="1">I1020</f>
        <v>0</v>
      </c>
      <c r="J1021" s="21">
        <f ca="1">SUM(J969:J1020)</f>
        <v>0</v>
      </c>
      <c r="K1021" s="20"/>
      <c r="L1021" s="20"/>
    </row>
    <row r="1022" ht="10.95" customHeight="true" customFormat="true" s="9">
      <c r="A1022" s="20" t="s">
        <v>53</v>
      </c>
      <c r="B1022" s="20"/>
      <c r="C1022" s="20"/>
      <c r="D1022" s="20"/>
      <c r="E1022" s="20"/>
      <c r="F1022" s="20"/>
      <c r="G1022" s="21">
        <v>336359.8000</v>
      </c>
      <c r="H1022" s="21">
        <v>0</v>
      </c>
      <c r="I1022" s="21">
        <v>0</v>
      </c>
      <c r="J1022" s="21">
        <v>0</v>
      </c>
      <c r="K1022" s="20"/>
      <c r="L1022" s="20"/>
    </row>
    <row r="1023" ht="10.95" customHeight="true" customFormat="true" s="9">
      <c r="A1023" s="10" t="s">
        <v>54</v>
      </c>
      <c r="B1023" s="10"/>
      <c r="C1023" s="10"/>
      <c r="D1023" s="10"/>
      <c r="E1023" s="10"/>
      <c r="F1023" s="10"/>
      <c r="G1023" s="11">
        <v>336359.8000</v>
      </c>
      <c r="H1023" s="11">
        <v>0</v>
      </c>
      <c r="I1023" s="11">
        <f ca="1">I1020</f>
        <v>0</v>
      </c>
      <c r="J1023" s="11">
        <v>0</v>
      </c>
      <c r="K1023" s="10"/>
      <c r="L1023" s="10"/>
    </row>
    <row r="1024" ht="13.35" customHeight="true"/>
    <row r="1025" ht="12.1" customHeight="true" customFormat="true" s="5">
      <c r="A1025" s="8" t="s">
        <v>388</v>
      </c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</row>
    <row r="1026" ht="10.95" customHeight="true" customFormat="true" s="9">
      <c r="A1026" s="10" t="s">
        <v>16</v>
      </c>
      <c r="B1026" s="10"/>
      <c r="C1026" s="10"/>
      <c r="D1026" s="10"/>
      <c r="E1026" s="10"/>
      <c r="F1026" s="10"/>
      <c r="G1026" s="11">
        <v>0</v>
      </c>
      <c r="H1026" s="11">
        <v>0</v>
      </c>
      <c r="I1026" s="11">
        <f ca="1">(G1026 - H1026)</f>
        <v>0</v>
      </c>
      <c r="J1026" s="11">
        <v>0</v>
      </c>
      <c r="K1026" s="10"/>
      <c r="L1026" s="10"/>
    </row>
    <row r="1027" ht="10.95" customHeight="true" customFormat="true" s="9">
      <c r="A1027" s="12">
        <v>45110</v>
      </c>
      <c r="B1027" s="13" t="s">
        <v>389</v>
      </c>
      <c r="C1027" s="13" t="s">
        <v>136</v>
      </c>
      <c r="D1027" s="13" t="s">
        <v>333</v>
      </c>
      <c r="E1027" s="13" t="s">
        <v>390</v>
      </c>
      <c r="F1027" s="13" t="s">
        <v>335</v>
      </c>
      <c r="G1027" s="14">
        <v>542.3100</v>
      </c>
      <c r="H1027" s="14">
        <v>0</v>
      </c>
      <c r="I1027" s="14">
        <f ca="1">((I1026 + G1027) - H1027)</f>
        <v>0</v>
      </c>
      <c r="J1027" s="14">
        <v>0</v>
      </c>
      <c r="K1027" s="15">
        <v>0</v>
      </c>
      <c r="L1027" s="13" t="s">
        <v>28</v>
      </c>
    </row>
    <row r="1028" ht="10.95" customHeight="true" customFormat="true" s="9">
      <c r="A1028" s="16">
        <v>45117</v>
      </c>
      <c r="B1028" s="17" t="s">
        <v>389</v>
      </c>
      <c r="C1028" s="17" t="s">
        <v>136</v>
      </c>
      <c r="D1028" s="17" t="s">
        <v>333</v>
      </c>
      <c r="E1028" s="17" t="s">
        <v>390</v>
      </c>
      <c r="F1028" s="17" t="s">
        <v>336</v>
      </c>
      <c r="G1028" s="18">
        <v>692.2400</v>
      </c>
      <c r="H1028" s="18">
        <v>0</v>
      </c>
      <c r="I1028" s="18">
        <f ca="1">((I1027 + G1028) - H1028)</f>
        <v>0</v>
      </c>
      <c r="J1028" s="18">
        <v>0</v>
      </c>
      <c r="K1028" s="19">
        <v>0</v>
      </c>
      <c r="L1028" s="17" t="s">
        <v>28</v>
      </c>
    </row>
    <row r="1029" ht="10.95" customHeight="true" customFormat="true" s="9">
      <c r="A1029" s="16">
        <v>45124</v>
      </c>
      <c r="B1029" s="17" t="s">
        <v>389</v>
      </c>
      <c r="C1029" s="17" t="s">
        <v>136</v>
      </c>
      <c r="D1029" s="17" t="s">
        <v>333</v>
      </c>
      <c r="E1029" s="17" t="s">
        <v>390</v>
      </c>
      <c r="F1029" s="17" t="s">
        <v>337</v>
      </c>
      <c r="G1029" s="18">
        <v>645.0500</v>
      </c>
      <c r="H1029" s="18">
        <v>0</v>
      </c>
      <c r="I1029" s="18">
        <f ca="1">((I1028 + G1029) - H1029)</f>
        <v>0</v>
      </c>
      <c r="J1029" s="18">
        <v>0</v>
      </c>
      <c r="K1029" s="19">
        <v>0</v>
      </c>
      <c r="L1029" s="17" t="s">
        <v>28</v>
      </c>
    </row>
    <row r="1030" ht="10.95" customHeight="true" customFormat="true" s="9">
      <c r="A1030" s="16">
        <v>45131</v>
      </c>
      <c r="B1030" s="17" t="s">
        <v>389</v>
      </c>
      <c r="C1030" s="17" t="s">
        <v>136</v>
      </c>
      <c r="D1030" s="17" t="s">
        <v>333</v>
      </c>
      <c r="E1030" s="17" t="s">
        <v>390</v>
      </c>
      <c r="F1030" s="17" t="s">
        <v>338</v>
      </c>
      <c r="G1030" s="18">
        <v>645.0500</v>
      </c>
      <c r="H1030" s="18">
        <v>0</v>
      </c>
      <c r="I1030" s="18">
        <f ca="1">((I1029 + G1030) - H1030)</f>
        <v>0</v>
      </c>
      <c r="J1030" s="18">
        <v>0</v>
      </c>
      <c r="K1030" s="19">
        <v>0</v>
      </c>
      <c r="L1030" s="17" t="s">
        <v>28</v>
      </c>
    </row>
    <row r="1031" ht="10.95" customHeight="true" customFormat="true" s="9">
      <c r="A1031" s="16">
        <v>45138</v>
      </c>
      <c r="B1031" s="17" t="s">
        <v>389</v>
      </c>
      <c r="C1031" s="17" t="s">
        <v>136</v>
      </c>
      <c r="D1031" s="17" t="s">
        <v>333</v>
      </c>
      <c r="E1031" s="17" t="s">
        <v>390</v>
      </c>
      <c r="F1031" s="17" t="s">
        <v>339</v>
      </c>
      <c r="G1031" s="18">
        <v>645.0600</v>
      </c>
      <c r="H1031" s="18">
        <v>0</v>
      </c>
      <c r="I1031" s="18">
        <f ca="1">((I1030 + G1031) - H1031)</f>
        <v>0</v>
      </c>
      <c r="J1031" s="18">
        <v>0</v>
      </c>
      <c r="K1031" s="19">
        <v>0</v>
      </c>
      <c r="L1031" s="17" t="s">
        <v>28</v>
      </c>
    </row>
    <row r="1032" ht="10.95" customHeight="true" customFormat="true" s="9">
      <c r="A1032" s="16">
        <v>45145</v>
      </c>
      <c r="B1032" s="17" t="s">
        <v>389</v>
      </c>
      <c r="C1032" s="17" t="s">
        <v>136</v>
      </c>
      <c r="D1032" s="17" t="s">
        <v>333</v>
      </c>
      <c r="E1032" s="17" t="s">
        <v>390</v>
      </c>
      <c r="F1032" s="17" t="s">
        <v>340</v>
      </c>
      <c r="G1032" s="18">
        <v>659.5800</v>
      </c>
      <c r="H1032" s="18">
        <v>0</v>
      </c>
      <c r="I1032" s="18">
        <f ca="1">((I1031 + G1032) - H1032)</f>
        <v>0</v>
      </c>
      <c r="J1032" s="18">
        <v>0</v>
      </c>
      <c r="K1032" s="19">
        <v>0</v>
      </c>
      <c r="L1032" s="17" t="s">
        <v>28</v>
      </c>
    </row>
    <row r="1033" ht="10.95" customHeight="true" customFormat="true" s="9">
      <c r="A1033" s="16">
        <v>45152</v>
      </c>
      <c r="B1033" s="17" t="s">
        <v>389</v>
      </c>
      <c r="C1033" s="17" t="s">
        <v>136</v>
      </c>
      <c r="D1033" s="17" t="s">
        <v>333</v>
      </c>
      <c r="E1033" s="17" t="s">
        <v>390</v>
      </c>
      <c r="F1033" s="17" t="s">
        <v>341</v>
      </c>
      <c r="G1033" s="18">
        <v>652.3200</v>
      </c>
      <c r="H1033" s="18">
        <v>0</v>
      </c>
      <c r="I1033" s="18">
        <f ca="1">((I1032 + G1033) - H1033)</f>
        <v>0</v>
      </c>
      <c r="J1033" s="18">
        <v>0</v>
      </c>
      <c r="K1033" s="19">
        <v>0</v>
      </c>
      <c r="L1033" s="17" t="s">
        <v>28</v>
      </c>
    </row>
    <row r="1034" ht="10.95" customHeight="true" customFormat="true" s="9">
      <c r="A1034" s="16">
        <v>45159</v>
      </c>
      <c r="B1034" s="17" t="s">
        <v>389</v>
      </c>
      <c r="C1034" s="17" t="s">
        <v>136</v>
      </c>
      <c r="D1034" s="17" t="s">
        <v>333</v>
      </c>
      <c r="E1034" s="17" t="s">
        <v>390</v>
      </c>
      <c r="F1034" s="17" t="s">
        <v>342</v>
      </c>
      <c r="G1034" s="18">
        <v>659.5800</v>
      </c>
      <c r="H1034" s="18">
        <v>0</v>
      </c>
      <c r="I1034" s="18">
        <f ca="1">((I1033 + G1034) - H1034)</f>
        <v>0</v>
      </c>
      <c r="J1034" s="18">
        <v>0</v>
      </c>
      <c r="K1034" s="19">
        <v>0</v>
      </c>
      <c r="L1034" s="17" t="s">
        <v>28</v>
      </c>
    </row>
    <row r="1035" ht="10.95" customHeight="true" customFormat="true" s="9">
      <c r="A1035" s="16">
        <v>45166</v>
      </c>
      <c r="B1035" s="17" t="s">
        <v>389</v>
      </c>
      <c r="C1035" s="17" t="s">
        <v>136</v>
      </c>
      <c r="D1035" s="17" t="s">
        <v>333</v>
      </c>
      <c r="E1035" s="17" t="s">
        <v>390</v>
      </c>
      <c r="F1035" s="17" t="s">
        <v>343</v>
      </c>
      <c r="G1035" s="18">
        <v>699.5000</v>
      </c>
      <c r="H1035" s="18">
        <v>0</v>
      </c>
      <c r="I1035" s="18">
        <f ca="1">((I1034 + G1035) - H1035)</f>
        <v>0</v>
      </c>
      <c r="J1035" s="18">
        <v>0</v>
      </c>
      <c r="K1035" s="19">
        <v>0</v>
      </c>
      <c r="L1035" s="17" t="s">
        <v>28</v>
      </c>
    </row>
    <row r="1036" ht="10.95" customHeight="true" customFormat="true" s="9">
      <c r="A1036" s="16">
        <v>45173</v>
      </c>
      <c r="B1036" s="17" t="s">
        <v>389</v>
      </c>
      <c r="C1036" s="17" t="s">
        <v>136</v>
      </c>
      <c r="D1036" s="17" t="s">
        <v>333</v>
      </c>
      <c r="E1036" s="17" t="s">
        <v>390</v>
      </c>
      <c r="F1036" s="17" t="s">
        <v>344</v>
      </c>
      <c r="G1036" s="18">
        <v>645.0600</v>
      </c>
      <c r="H1036" s="18">
        <v>0</v>
      </c>
      <c r="I1036" s="18">
        <f ca="1">((I1035 + G1036) - H1036)</f>
        <v>0</v>
      </c>
      <c r="J1036" s="18">
        <v>0</v>
      </c>
      <c r="K1036" s="19">
        <v>0</v>
      </c>
      <c r="L1036" s="17" t="s">
        <v>28</v>
      </c>
    </row>
    <row r="1037" ht="10.95" customHeight="true" customFormat="true" s="9">
      <c r="A1037" s="16">
        <v>45180</v>
      </c>
      <c r="B1037" s="17" t="s">
        <v>389</v>
      </c>
      <c r="C1037" s="17" t="s">
        <v>136</v>
      </c>
      <c r="D1037" s="17" t="s">
        <v>333</v>
      </c>
      <c r="E1037" s="17" t="s">
        <v>390</v>
      </c>
      <c r="F1037" s="17" t="s">
        <v>345</v>
      </c>
      <c r="G1037" s="18">
        <v>639.6100</v>
      </c>
      <c r="H1037" s="18">
        <v>0</v>
      </c>
      <c r="I1037" s="18">
        <f ca="1">((I1036 + G1037) - H1037)</f>
        <v>0</v>
      </c>
      <c r="J1037" s="18">
        <v>0</v>
      </c>
      <c r="K1037" s="19">
        <v>0</v>
      </c>
      <c r="L1037" s="17" t="s">
        <v>28</v>
      </c>
    </row>
    <row r="1038" ht="10.95" customHeight="true" customFormat="true" s="9">
      <c r="A1038" s="16">
        <v>45187</v>
      </c>
      <c r="B1038" s="17" t="s">
        <v>389</v>
      </c>
      <c r="C1038" s="17" t="s">
        <v>136</v>
      </c>
      <c r="D1038" s="17" t="s">
        <v>333</v>
      </c>
      <c r="E1038" s="17" t="s">
        <v>390</v>
      </c>
      <c r="F1038" s="17" t="s">
        <v>346</v>
      </c>
      <c r="G1038" s="18">
        <v>639.6100</v>
      </c>
      <c r="H1038" s="18">
        <v>0</v>
      </c>
      <c r="I1038" s="18">
        <f ca="1">((I1037 + G1038) - H1038)</f>
        <v>0</v>
      </c>
      <c r="J1038" s="18">
        <v>0</v>
      </c>
      <c r="K1038" s="19">
        <v>0</v>
      </c>
      <c r="L1038" s="17" t="s">
        <v>28</v>
      </c>
    </row>
    <row r="1039" ht="10.95" customHeight="true" customFormat="true" s="9">
      <c r="A1039" s="16">
        <v>45194</v>
      </c>
      <c r="B1039" s="17" t="s">
        <v>389</v>
      </c>
      <c r="C1039" s="17" t="s">
        <v>136</v>
      </c>
      <c r="D1039" s="17" t="s">
        <v>333</v>
      </c>
      <c r="E1039" s="17" t="s">
        <v>390</v>
      </c>
      <c r="F1039" s="17" t="s">
        <v>347</v>
      </c>
      <c r="G1039" s="18">
        <v>634.1600</v>
      </c>
      <c r="H1039" s="18">
        <v>0</v>
      </c>
      <c r="I1039" s="18">
        <f ca="1">((I1038 + G1039) - H1039)</f>
        <v>0</v>
      </c>
      <c r="J1039" s="18">
        <v>0</v>
      </c>
      <c r="K1039" s="19">
        <v>0</v>
      </c>
      <c r="L1039" s="17" t="s">
        <v>28</v>
      </c>
    </row>
    <row r="1040" ht="10.95" customHeight="true" customFormat="true" s="9">
      <c r="A1040" s="16">
        <v>45201</v>
      </c>
      <c r="B1040" s="17" t="s">
        <v>389</v>
      </c>
      <c r="C1040" s="17" t="s">
        <v>136</v>
      </c>
      <c r="D1040" s="17" t="s">
        <v>333</v>
      </c>
      <c r="E1040" s="17" t="s">
        <v>390</v>
      </c>
      <c r="F1040" s="17" t="s">
        <v>348</v>
      </c>
      <c r="G1040" s="18">
        <v>643.2400</v>
      </c>
      <c r="H1040" s="18">
        <v>0</v>
      </c>
      <c r="I1040" s="18">
        <f ca="1">((I1039 + G1040) - H1040)</f>
        <v>0</v>
      </c>
      <c r="J1040" s="18">
        <v>0</v>
      </c>
      <c r="K1040" s="19">
        <v>0</v>
      </c>
      <c r="L1040" s="17" t="s">
        <v>28</v>
      </c>
    </row>
    <row r="1041" ht="10.95" customHeight="true" customFormat="true" s="9">
      <c r="A1041" s="16">
        <v>45208</v>
      </c>
      <c r="B1041" s="17" t="s">
        <v>389</v>
      </c>
      <c r="C1041" s="17" t="s">
        <v>136</v>
      </c>
      <c r="D1041" s="17" t="s">
        <v>333</v>
      </c>
      <c r="E1041" s="17" t="s">
        <v>390</v>
      </c>
      <c r="F1041" s="17" t="s">
        <v>349</v>
      </c>
      <c r="G1041" s="18">
        <v>670.7100</v>
      </c>
      <c r="H1041" s="18">
        <v>0</v>
      </c>
      <c r="I1041" s="18">
        <f ca="1">((I1040 + G1041) - H1041)</f>
        <v>0</v>
      </c>
      <c r="J1041" s="18">
        <v>0</v>
      </c>
      <c r="K1041" s="19">
        <v>0</v>
      </c>
      <c r="L1041" s="17" t="s">
        <v>28</v>
      </c>
    </row>
    <row r="1042" ht="10.95" customHeight="true" customFormat="true" s="9">
      <c r="A1042" s="16">
        <v>45215</v>
      </c>
      <c r="B1042" s="17" t="s">
        <v>389</v>
      </c>
      <c r="C1042" s="17" t="s">
        <v>136</v>
      </c>
      <c r="D1042" s="17" t="s">
        <v>333</v>
      </c>
      <c r="E1042" s="17" t="s">
        <v>390</v>
      </c>
      <c r="F1042" s="17" t="s">
        <v>350</v>
      </c>
      <c r="G1042" s="18">
        <v>734.2400</v>
      </c>
      <c r="H1042" s="18">
        <v>0</v>
      </c>
      <c r="I1042" s="18">
        <f ca="1">((I1041 + G1042) - H1042)</f>
        <v>0</v>
      </c>
      <c r="J1042" s="18">
        <v>0</v>
      </c>
      <c r="K1042" s="19">
        <v>0</v>
      </c>
      <c r="L1042" s="17" t="s">
        <v>28</v>
      </c>
    </row>
    <row r="1043" ht="10.95" customHeight="true" customFormat="true" s="9">
      <c r="A1043" s="16">
        <v>45222</v>
      </c>
      <c r="B1043" s="17" t="s">
        <v>389</v>
      </c>
      <c r="C1043" s="17" t="s">
        <v>136</v>
      </c>
      <c r="D1043" s="17" t="s">
        <v>333</v>
      </c>
      <c r="E1043" s="17" t="s">
        <v>390</v>
      </c>
      <c r="F1043" s="17" t="s">
        <v>351</v>
      </c>
      <c r="G1043" s="18">
        <v>670.7100</v>
      </c>
      <c r="H1043" s="18">
        <v>0</v>
      </c>
      <c r="I1043" s="18">
        <f ca="1">((I1042 + G1043) - H1043)</f>
        <v>0</v>
      </c>
      <c r="J1043" s="18">
        <v>0</v>
      </c>
      <c r="K1043" s="19">
        <v>0</v>
      </c>
      <c r="L1043" s="17" t="s">
        <v>28</v>
      </c>
    </row>
    <row r="1044" ht="10.95" customHeight="true" customFormat="true" s="9">
      <c r="A1044" s="16">
        <v>45229</v>
      </c>
      <c r="B1044" s="17" t="s">
        <v>389</v>
      </c>
      <c r="C1044" s="17" t="s">
        <v>136</v>
      </c>
      <c r="D1044" s="17" t="s">
        <v>333</v>
      </c>
      <c r="E1044" s="17" t="s">
        <v>390</v>
      </c>
      <c r="F1044" s="17" t="s">
        <v>352</v>
      </c>
      <c r="G1044" s="18">
        <v>676.1600</v>
      </c>
      <c r="H1044" s="18">
        <v>0</v>
      </c>
      <c r="I1044" s="18">
        <f ca="1">((I1043 + G1044) - H1044)</f>
        <v>0</v>
      </c>
      <c r="J1044" s="18">
        <v>0</v>
      </c>
      <c r="K1044" s="19">
        <v>0</v>
      </c>
      <c r="L1044" s="17" t="s">
        <v>28</v>
      </c>
    </row>
    <row r="1045" ht="10.95" customHeight="true" customFormat="true" s="9">
      <c r="A1045" s="16">
        <v>45236</v>
      </c>
      <c r="B1045" s="17" t="s">
        <v>389</v>
      </c>
      <c r="C1045" s="17" t="s">
        <v>136</v>
      </c>
      <c r="D1045" s="17" t="s">
        <v>333</v>
      </c>
      <c r="E1045" s="17" t="s">
        <v>390</v>
      </c>
      <c r="F1045" s="17" t="s">
        <v>353</v>
      </c>
      <c r="G1045" s="18">
        <v>728.7900</v>
      </c>
      <c r="H1045" s="18">
        <v>0</v>
      </c>
      <c r="I1045" s="18">
        <f ca="1">((I1044 + G1045) - H1045)</f>
        <v>0</v>
      </c>
      <c r="J1045" s="18">
        <v>0</v>
      </c>
      <c r="K1045" s="19">
        <v>0</v>
      </c>
      <c r="L1045" s="17" t="s">
        <v>28</v>
      </c>
    </row>
    <row r="1046" ht="10.95" customHeight="true" customFormat="true" s="9">
      <c r="A1046" s="16">
        <v>45243</v>
      </c>
      <c r="B1046" s="17" t="s">
        <v>389</v>
      </c>
      <c r="C1046" s="17" t="s">
        <v>136</v>
      </c>
      <c r="D1046" s="17" t="s">
        <v>333</v>
      </c>
      <c r="E1046" s="17" t="s">
        <v>390</v>
      </c>
      <c r="F1046" s="17" t="s">
        <v>354</v>
      </c>
      <c r="G1046" s="18">
        <v>741.5000</v>
      </c>
      <c r="H1046" s="18">
        <v>0</v>
      </c>
      <c r="I1046" s="18">
        <f ca="1">((I1045 + G1046) - H1046)</f>
        <v>0</v>
      </c>
      <c r="J1046" s="18">
        <v>0</v>
      </c>
      <c r="K1046" s="19">
        <v>0</v>
      </c>
      <c r="L1046" s="17" t="s">
        <v>28</v>
      </c>
    </row>
    <row r="1047" ht="10.95" customHeight="true" customFormat="true" s="9">
      <c r="A1047" s="16">
        <v>45250</v>
      </c>
      <c r="B1047" s="17" t="s">
        <v>389</v>
      </c>
      <c r="C1047" s="17" t="s">
        <v>136</v>
      </c>
      <c r="D1047" s="17" t="s">
        <v>333</v>
      </c>
      <c r="E1047" s="17" t="s">
        <v>390</v>
      </c>
      <c r="F1047" s="17" t="s">
        <v>355</v>
      </c>
      <c r="G1047" s="18">
        <v>670.7100</v>
      </c>
      <c r="H1047" s="18">
        <v>0</v>
      </c>
      <c r="I1047" s="18">
        <f ca="1">((I1046 + G1047) - H1047)</f>
        <v>0</v>
      </c>
      <c r="J1047" s="18">
        <v>0</v>
      </c>
      <c r="K1047" s="19">
        <v>0</v>
      </c>
      <c r="L1047" s="17" t="s">
        <v>28</v>
      </c>
    </row>
    <row r="1048" ht="10.95" customHeight="true" customFormat="true" s="9">
      <c r="A1048" s="16">
        <v>45257</v>
      </c>
      <c r="B1048" s="17" t="s">
        <v>389</v>
      </c>
      <c r="C1048" s="17" t="s">
        <v>136</v>
      </c>
      <c r="D1048" s="17" t="s">
        <v>333</v>
      </c>
      <c r="E1048" s="17" t="s">
        <v>390</v>
      </c>
      <c r="F1048" s="17" t="s">
        <v>356</v>
      </c>
      <c r="G1048" s="18">
        <v>712.1300</v>
      </c>
      <c r="H1048" s="18">
        <v>0</v>
      </c>
      <c r="I1048" s="18">
        <f ca="1">((I1047 + G1048) - H1048)</f>
        <v>0</v>
      </c>
      <c r="J1048" s="18">
        <v>0</v>
      </c>
      <c r="K1048" s="19">
        <v>0</v>
      </c>
      <c r="L1048" s="17" t="s">
        <v>28</v>
      </c>
    </row>
    <row r="1049" ht="10.95" customHeight="true" customFormat="true" s="9">
      <c r="A1049" s="16">
        <v>45264</v>
      </c>
      <c r="B1049" s="17" t="s">
        <v>389</v>
      </c>
      <c r="C1049" s="17" t="s">
        <v>136</v>
      </c>
      <c r="D1049" s="17" t="s">
        <v>333</v>
      </c>
      <c r="E1049" s="17" t="s">
        <v>390</v>
      </c>
      <c r="F1049" s="17" t="s">
        <v>357</v>
      </c>
      <c r="G1049" s="18">
        <v>736.9400</v>
      </c>
      <c r="H1049" s="18">
        <v>0</v>
      </c>
      <c r="I1049" s="18">
        <f ca="1">((I1048 + G1049) - H1049)</f>
        <v>0</v>
      </c>
      <c r="J1049" s="18">
        <v>0</v>
      </c>
      <c r="K1049" s="19">
        <v>0</v>
      </c>
      <c r="L1049" s="17" t="s">
        <v>28</v>
      </c>
    </row>
    <row r="1050" ht="10.95" customHeight="true" customFormat="true" s="9">
      <c r="A1050" s="16">
        <v>45271</v>
      </c>
      <c r="B1050" s="17" t="s">
        <v>389</v>
      </c>
      <c r="C1050" s="17" t="s">
        <v>136</v>
      </c>
      <c r="D1050" s="17" t="s">
        <v>333</v>
      </c>
      <c r="E1050" s="17" t="s">
        <v>390</v>
      </c>
      <c r="F1050" s="17" t="s">
        <v>358</v>
      </c>
      <c r="G1050" s="18">
        <v>732.5900</v>
      </c>
      <c r="H1050" s="18">
        <v>0</v>
      </c>
      <c r="I1050" s="18">
        <f ca="1">((I1049 + G1050) - H1050)</f>
        <v>0</v>
      </c>
      <c r="J1050" s="18">
        <v>0</v>
      </c>
      <c r="K1050" s="19">
        <v>0</v>
      </c>
      <c r="L1050" s="17" t="s">
        <v>28</v>
      </c>
    </row>
    <row r="1051" ht="10.95" customHeight="true" customFormat="true" s="9">
      <c r="A1051" s="16">
        <v>45278</v>
      </c>
      <c r="B1051" s="17" t="s">
        <v>389</v>
      </c>
      <c r="C1051" s="17" t="s">
        <v>136</v>
      </c>
      <c r="D1051" s="17" t="s">
        <v>333</v>
      </c>
      <c r="E1051" s="17" t="s">
        <v>390</v>
      </c>
      <c r="F1051" s="17" t="s">
        <v>359</v>
      </c>
      <c r="G1051" s="18">
        <v>762.7200</v>
      </c>
      <c r="H1051" s="18">
        <v>0</v>
      </c>
      <c r="I1051" s="18">
        <f ca="1">((I1050 + G1051) - H1051)</f>
        <v>0</v>
      </c>
      <c r="J1051" s="18">
        <v>0</v>
      </c>
      <c r="K1051" s="19">
        <v>0</v>
      </c>
      <c r="L1051" s="17" t="s">
        <v>28</v>
      </c>
    </row>
    <row r="1052" ht="10.95" customHeight="true" customFormat="true" s="9">
      <c r="A1052" s="16">
        <v>45285</v>
      </c>
      <c r="B1052" s="17" t="s">
        <v>389</v>
      </c>
      <c r="C1052" s="17" t="s">
        <v>136</v>
      </c>
      <c r="D1052" s="17" t="s">
        <v>333</v>
      </c>
      <c r="E1052" s="17" t="s">
        <v>390</v>
      </c>
      <c r="F1052" s="17" t="s">
        <v>360</v>
      </c>
      <c r="G1052" s="18">
        <v>860.3500</v>
      </c>
      <c r="H1052" s="18">
        <v>0</v>
      </c>
      <c r="I1052" s="18">
        <f ca="1">((I1051 + G1052) - H1052)</f>
        <v>0</v>
      </c>
      <c r="J1052" s="18">
        <v>0</v>
      </c>
      <c r="K1052" s="19">
        <v>0</v>
      </c>
      <c r="L1052" s="17" t="s">
        <v>28</v>
      </c>
    </row>
    <row r="1053" ht="10.95" customHeight="true" customFormat="true" s="9">
      <c r="A1053" s="16">
        <v>45292</v>
      </c>
      <c r="B1053" s="17" t="s">
        <v>389</v>
      </c>
      <c r="C1053" s="17" t="s">
        <v>136</v>
      </c>
      <c r="D1053" s="17" t="s">
        <v>333</v>
      </c>
      <c r="E1053" s="17" t="s">
        <v>390</v>
      </c>
      <c r="F1053" s="17" t="s">
        <v>361</v>
      </c>
      <c r="G1053" s="18">
        <v>503.9000</v>
      </c>
      <c r="H1053" s="18">
        <v>0</v>
      </c>
      <c r="I1053" s="18">
        <f ca="1">((I1052 + G1053) - H1053)</f>
        <v>0</v>
      </c>
      <c r="J1053" s="18">
        <v>0</v>
      </c>
      <c r="K1053" s="19">
        <v>0</v>
      </c>
      <c r="L1053" s="17" t="s">
        <v>28</v>
      </c>
    </row>
    <row r="1054" ht="10.95" customHeight="true" customFormat="true" s="9">
      <c r="A1054" s="16">
        <v>45299</v>
      </c>
      <c r="B1054" s="17" t="s">
        <v>389</v>
      </c>
      <c r="C1054" s="17" t="s">
        <v>136</v>
      </c>
      <c r="D1054" s="17" t="s">
        <v>333</v>
      </c>
      <c r="E1054" s="17" t="s">
        <v>390</v>
      </c>
      <c r="F1054" s="17" t="s">
        <v>362</v>
      </c>
      <c r="G1054" s="18">
        <v>503.9000</v>
      </c>
      <c r="H1054" s="18">
        <v>0</v>
      </c>
      <c r="I1054" s="18">
        <f ca="1">((I1053 + G1054) - H1054)</f>
        <v>0</v>
      </c>
      <c r="J1054" s="18">
        <v>0</v>
      </c>
      <c r="K1054" s="19">
        <v>0</v>
      </c>
      <c r="L1054" s="17" t="s">
        <v>28</v>
      </c>
    </row>
    <row r="1055" ht="10.95" customHeight="true" customFormat="true" s="9">
      <c r="A1055" s="16">
        <v>45306</v>
      </c>
      <c r="B1055" s="17" t="s">
        <v>389</v>
      </c>
      <c r="C1055" s="17" t="s">
        <v>136</v>
      </c>
      <c r="D1055" s="17" t="s">
        <v>333</v>
      </c>
      <c r="E1055" s="17" t="s">
        <v>390</v>
      </c>
      <c r="F1055" s="17" t="s">
        <v>363</v>
      </c>
      <c r="G1055" s="18">
        <v>503.9000</v>
      </c>
      <c r="H1055" s="18">
        <v>0</v>
      </c>
      <c r="I1055" s="18">
        <f ca="1">((I1054 + G1055) - H1055)</f>
        <v>0</v>
      </c>
      <c r="J1055" s="18">
        <v>0</v>
      </c>
      <c r="K1055" s="19">
        <v>0</v>
      </c>
      <c r="L1055" s="17" t="s">
        <v>28</v>
      </c>
    </row>
    <row r="1056" ht="10.95" customHeight="true" customFormat="true" s="9">
      <c r="A1056" s="16">
        <v>45313</v>
      </c>
      <c r="B1056" s="17" t="s">
        <v>389</v>
      </c>
      <c r="C1056" s="17" t="s">
        <v>136</v>
      </c>
      <c r="D1056" s="17" t="s">
        <v>333</v>
      </c>
      <c r="E1056" s="17" t="s">
        <v>390</v>
      </c>
      <c r="F1056" s="17" t="s">
        <v>364</v>
      </c>
      <c r="G1056" s="18">
        <v>790.6100</v>
      </c>
      <c r="H1056" s="18">
        <v>0</v>
      </c>
      <c r="I1056" s="18">
        <f ca="1">((I1055 + G1056) - H1056)</f>
        <v>0</v>
      </c>
      <c r="J1056" s="18">
        <v>0</v>
      </c>
      <c r="K1056" s="19">
        <v>0</v>
      </c>
      <c r="L1056" s="17" t="s">
        <v>28</v>
      </c>
    </row>
    <row r="1057" ht="10.95" customHeight="true" customFormat="true" s="9">
      <c r="A1057" s="16">
        <v>45320</v>
      </c>
      <c r="B1057" s="17" t="s">
        <v>389</v>
      </c>
      <c r="C1057" s="17" t="s">
        <v>136</v>
      </c>
      <c r="D1057" s="17" t="s">
        <v>333</v>
      </c>
      <c r="E1057" s="17" t="s">
        <v>390</v>
      </c>
      <c r="F1057" s="17" t="s">
        <v>365</v>
      </c>
      <c r="G1057" s="18">
        <v>764.1000</v>
      </c>
      <c r="H1057" s="18">
        <v>0</v>
      </c>
      <c r="I1057" s="18">
        <f ca="1">((I1056 + G1057) - H1057)</f>
        <v>0</v>
      </c>
      <c r="J1057" s="18">
        <v>0</v>
      </c>
      <c r="K1057" s="19">
        <v>0</v>
      </c>
      <c r="L1057" s="17" t="s">
        <v>28</v>
      </c>
    </row>
    <row r="1058" ht="10.95" customHeight="true" customFormat="true" s="9">
      <c r="A1058" s="16">
        <v>45327</v>
      </c>
      <c r="B1058" s="17" t="s">
        <v>389</v>
      </c>
      <c r="C1058" s="17" t="s">
        <v>136</v>
      </c>
      <c r="D1058" s="17" t="s">
        <v>333</v>
      </c>
      <c r="E1058" s="17" t="s">
        <v>390</v>
      </c>
      <c r="F1058" s="17" t="s">
        <v>366</v>
      </c>
      <c r="G1058" s="18">
        <v>747.9900</v>
      </c>
      <c r="H1058" s="18">
        <v>0</v>
      </c>
      <c r="I1058" s="18">
        <f ca="1">((I1057 + G1058) - H1058)</f>
        <v>0</v>
      </c>
      <c r="J1058" s="18">
        <v>0</v>
      </c>
      <c r="K1058" s="19">
        <v>0</v>
      </c>
      <c r="L1058" s="17" t="s">
        <v>28</v>
      </c>
    </row>
    <row r="1059" ht="10.95" customHeight="true" customFormat="true" s="9">
      <c r="A1059" s="16">
        <v>45334</v>
      </c>
      <c r="B1059" s="17" t="s">
        <v>389</v>
      </c>
      <c r="C1059" s="17" t="s">
        <v>136</v>
      </c>
      <c r="D1059" s="17" t="s">
        <v>333</v>
      </c>
      <c r="E1059" s="17" t="s">
        <v>390</v>
      </c>
      <c r="F1059" s="17" t="s">
        <v>367</v>
      </c>
      <c r="G1059" s="18">
        <v>667.8000</v>
      </c>
      <c r="H1059" s="18">
        <v>0</v>
      </c>
      <c r="I1059" s="18">
        <f ca="1">((I1058 + G1059) - H1059)</f>
        <v>0</v>
      </c>
      <c r="J1059" s="18">
        <v>0</v>
      </c>
      <c r="K1059" s="19">
        <v>0</v>
      </c>
      <c r="L1059" s="17" t="s">
        <v>28</v>
      </c>
    </row>
    <row r="1060" ht="10.95" customHeight="true" customFormat="true" s="9">
      <c r="A1060" s="16">
        <v>45341</v>
      </c>
      <c r="B1060" s="17" t="s">
        <v>389</v>
      </c>
      <c r="C1060" s="17" t="s">
        <v>136</v>
      </c>
      <c r="D1060" s="17" t="s">
        <v>333</v>
      </c>
      <c r="E1060" s="17" t="s">
        <v>390</v>
      </c>
      <c r="F1060" s="17" t="s">
        <v>368</v>
      </c>
      <c r="G1060" s="18">
        <v>667.8000</v>
      </c>
      <c r="H1060" s="18">
        <v>0</v>
      </c>
      <c r="I1060" s="18">
        <f ca="1">((I1059 + G1060) - H1060)</f>
        <v>0</v>
      </c>
      <c r="J1060" s="18">
        <v>0</v>
      </c>
      <c r="K1060" s="19">
        <v>0</v>
      </c>
      <c r="L1060" s="17" t="s">
        <v>28</v>
      </c>
    </row>
    <row r="1061" ht="10.95" customHeight="true" customFormat="true" s="9">
      <c r="A1061" s="16">
        <v>45348</v>
      </c>
      <c r="B1061" s="17" t="s">
        <v>389</v>
      </c>
      <c r="C1061" s="17" t="s">
        <v>136</v>
      </c>
      <c r="D1061" s="17" t="s">
        <v>333</v>
      </c>
      <c r="E1061" s="17" t="s">
        <v>390</v>
      </c>
      <c r="F1061" s="17" t="s">
        <v>369</v>
      </c>
      <c r="G1061" s="18">
        <v>693.9200</v>
      </c>
      <c r="H1061" s="18">
        <v>0</v>
      </c>
      <c r="I1061" s="18">
        <f ca="1">((I1060 + G1061) - H1061)</f>
        <v>0</v>
      </c>
      <c r="J1061" s="18">
        <v>0</v>
      </c>
      <c r="K1061" s="19">
        <v>0</v>
      </c>
      <c r="L1061" s="17" t="s">
        <v>28</v>
      </c>
    </row>
    <row r="1062" ht="10.95" customHeight="true" customFormat="true" s="9">
      <c r="A1062" s="16">
        <v>45355</v>
      </c>
      <c r="B1062" s="17" t="s">
        <v>389</v>
      </c>
      <c r="C1062" s="17" t="s">
        <v>136</v>
      </c>
      <c r="D1062" s="17" t="s">
        <v>333</v>
      </c>
      <c r="E1062" s="17" t="s">
        <v>390</v>
      </c>
      <c r="F1062" s="17" t="s">
        <v>370</v>
      </c>
      <c r="G1062" s="18">
        <v>668.5700</v>
      </c>
      <c r="H1062" s="18">
        <v>0</v>
      </c>
      <c r="I1062" s="18">
        <f ca="1">((I1061 + G1062) - H1062)</f>
        <v>0</v>
      </c>
      <c r="J1062" s="18">
        <v>0</v>
      </c>
      <c r="K1062" s="19">
        <v>0</v>
      </c>
      <c r="L1062" s="17" t="s">
        <v>28</v>
      </c>
    </row>
    <row r="1063" ht="10.95" customHeight="true" customFormat="true" s="9">
      <c r="A1063" s="16">
        <v>45362</v>
      </c>
      <c r="B1063" s="17" t="s">
        <v>389</v>
      </c>
      <c r="C1063" s="17" t="s">
        <v>136</v>
      </c>
      <c r="D1063" s="17" t="s">
        <v>333</v>
      </c>
      <c r="E1063" s="17" t="s">
        <v>390</v>
      </c>
      <c r="F1063" s="17" t="s">
        <v>371</v>
      </c>
      <c r="G1063" s="18">
        <v>663.5700</v>
      </c>
      <c r="H1063" s="18">
        <v>0</v>
      </c>
      <c r="I1063" s="18">
        <f ca="1">((I1062 + G1063) - H1063)</f>
        <v>0</v>
      </c>
      <c r="J1063" s="18">
        <v>0</v>
      </c>
      <c r="K1063" s="19">
        <v>0</v>
      </c>
      <c r="L1063" s="17" t="s">
        <v>28</v>
      </c>
    </row>
    <row r="1064" ht="10.95" customHeight="true" customFormat="true" s="9">
      <c r="A1064" s="16">
        <v>45369</v>
      </c>
      <c r="B1064" s="17" t="s">
        <v>389</v>
      </c>
      <c r="C1064" s="17" t="s">
        <v>136</v>
      </c>
      <c r="D1064" s="17" t="s">
        <v>333</v>
      </c>
      <c r="E1064" s="17" t="s">
        <v>390</v>
      </c>
      <c r="F1064" s="17" t="s">
        <v>372</v>
      </c>
      <c r="G1064" s="18">
        <v>662.5200</v>
      </c>
      <c r="H1064" s="18">
        <v>0</v>
      </c>
      <c r="I1064" s="18">
        <f ca="1">((I1063 + G1064) - H1064)</f>
        <v>0</v>
      </c>
      <c r="J1064" s="18">
        <v>0</v>
      </c>
      <c r="K1064" s="19">
        <v>0</v>
      </c>
      <c r="L1064" s="17" t="s">
        <v>28</v>
      </c>
    </row>
    <row r="1065" ht="10.95" customHeight="true" customFormat="true" s="9">
      <c r="A1065" s="16">
        <v>45376</v>
      </c>
      <c r="B1065" s="17" t="s">
        <v>389</v>
      </c>
      <c r="C1065" s="17" t="s">
        <v>136</v>
      </c>
      <c r="D1065" s="17" t="s">
        <v>333</v>
      </c>
      <c r="E1065" s="17" t="s">
        <v>390</v>
      </c>
      <c r="F1065" s="17" t="s">
        <v>373</v>
      </c>
      <c r="G1065" s="18">
        <v>758.9900</v>
      </c>
      <c r="H1065" s="18">
        <v>0</v>
      </c>
      <c r="I1065" s="18">
        <f ca="1">((I1064 + G1065) - H1065)</f>
        <v>0</v>
      </c>
      <c r="J1065" s="18">
        <v>0</v>
      </c>
      <c r="K1065" s="19">
        <v>0</v>
      </c>
      <c r="L1065" s="17" t="s">
        <v>28</v>
      </c>
    </row>
    <row r="1066" ht="10.95" customHeight="true" customFormat="true" s="9">
      <c r="A1066" s="16">
        <v>45383</v>
      </c>
      <c r="B1066" s="17" t="s">
        <v>389</v>
      </c>
      <c r="C1066" s="17" t="s">
        <v>136</v>
      </c>
      <c r="D1066" s="17" t="s">
        <v>333</v>
      </c>
      <c r="E1066" s="17" t="s">
        <v>390</v>
      </c>
      <c r="F1066" s="17" t="s">
        <v>374</v>
      </c>
      <c r="G1066" s="18">
        <v>780.2300</v>
      </c>
      <c r="H1066" s="18">
        <v>0</v>
      </c>
      <c r="I1066" s="18">
        <f ca="1">((I1065 + G1066) - H1066)</f>
        <v>0</v>
      </c>
      <c r="J1066" s="18">
        <v>0</v>
      </c>
      <c r="K1066" s="19">
        <v>0</v>
      </c>
      <c r="L1066" s="17" t="s">
        <v>28</v>
      </c>
    </row>
    <row r="1067" ht="10.95" customHeight="true" customFormat="true" s="9">
      <c r="A1067" s="16">
        <v>45390</v>
      </c>
      <c r="B1067" s="17" t="s">
        <v>389</v>
      </c>
      <c r="C1067" s="17" t="s">
        <v>136</v>
      </c>
      <c r="D1067" s="17" t="s">
        <v>333</v>
      </c>
      <c r="E1067" s="17" t="s">
        <v>390</v>
      </c>
      <c r="F1067" s="17" t="s">
        <v>375</v>
      </c>
      <c r="G1067" s="18">
        <v>669.2300</v>
      </c>
      <c r="H1067" s="18">
        <v>0</v>
      </c>
      <c r="I1067" s="18">
        <f ca="1">((I1066 + G1067) - H1067)</f>
        <v>0</v>
      </c>
      <c r="J1067" s="18">
        <v>0</v>
      </c>
      <c r="K1067" s="19">
        <v>0</v>
      </c>
      <c r="L1067" s="17" t="s">
        <v>28</v>
      </c>
    </row>
    <row r="1068" ht="10.95" customHeight="true" customFormat="true" s="9">
      <c r="A1068" s="16">
        <v>45397</v>
      </c>
      <c r="B1068" s="17" t="s">
        <v>389</v>
      </c>
      <c r="C1068" s="17" t="s">
        <v>136</v>
      </c>
      <c r="D1068" s="17" t="s">
        <v>333</v>
      </c>
      <c r="E1068" s="17" t="s">
        <v>390</v>
      </c>
      <c r="F1068" s="17" t="s">
        <v>376</v>
      </c>
      <c r="G1068" s="18">
        <v>758.8800</v>
      </c>
      <c r="H1068" s="18">
        <v>0</v>
      </c>
      <c r="I1068" s="18">
        <f ca="1">((I1067 + G1068) - H1068)</f>
        <v>0</v>
      </c>
      <c r="J1068" s="18">
        <v>0</v>
      </c>
      <c r="K1068" s="19">
        <v>0</v>
      </c>
      <c r="L1068" s="17" t="s">
        <v>28</v>
      </c>
    </row>
    <row r="1069" ht="10.95" customHeight="true" customFormat="true" s="9">
      <c r="A1069" s="16">
        <v>45404</v>
      </c>
      <c r="B1069" s="17" t="s">
        <v>389</v>
      </c>
      <c r="C1069" s="17" t="s">
        <v>136</v>
      </c>
      <c r="D1069" s="17" t="s">
        <v>333</v>
      </c>
      <c r="E1069" s="17" t="s">
        <v>390</v>
      </c>
      <c r="F1069" s="17" t="s">
        <v>377</v>
      </c>
      <c r="G1069" s="18">
        <v>753.3800</v>
      </c>
      <c r="H1069" s="18">
        <v>0</v>
      </c>
      <c r="I1069" s="18">
        <f ca="1">((I1068 + G1069) - H1069)</f>
        <v>0</v>
      </c>
      <c r="J1069" s="18">
        <v>0</v>
      </c>
      <c r="K1069" s="19">
        <v>0</v>
      </c>
      <c r="L1069" s="17" t="s">
        <v>28</v>
      </c>
    </row>
    <row r="1070" ht="10.95" customHeight="true" customFormat="true" s="9">
      <c r="A1070" s="16">
        <v>45411</v>
      </c>
      <c r="B1070" s="17" t="s">
        <v>389</v>
      </c>
      <c r="C1070" s="17" t="s">
        <v>136</v>
      </c>
      <c r="D1070" s="17" t="s">
        <v>333</v>
      </c>
      <c r="E1070" s="17" t="s">
        <v>390</v>
      </c>
      <c r="F1070" s="17" t="s">
        <v>378</v>
      </c>
      <c r="G1070" s="18">
        <v>788.4800</v>
      </c>
      <c r="H1070" s="18">
        <v>0</v>
      </c>
      <c r="I1070" s="18">
        <f ca="1">((I1069 + G1070) - H1070)</f>
        <v>0</v>
      </c>
      <c r="J1070" s="18">
        <v>0</v>
      </c>
      <c r="K1070" s="19">
        <v>0</v>
      </c>
      <c r="L1070" s="17" t="s">
        <v>28</v>
      </c>
    </row>
    <row r="1071" ht="10.95" customHeight="true" customFormat="true" s="9">
      <c r="A1071" s="16">
        <v>45418</v>
      </c>
      <c r="B1071" s="17" t="s">
        <v>389</v>
      </c>
      <c r="C1071" s="17" t="s">
        <v>136</v>
      </c>
      <c r="D1071" s="17" t="s">
        <v>333</v>
      </c>
      <c r="E1071" s="17" t="s">
        <v>390</v>
      </c>
      <c r="F1071" s="17" t="s">
        <v>379</v>
      </c>
      <c r="G1071" s="18">
        <v>746.8900</v>
      </c>
      <c r="H1071" s="18">
        <v>0</v>
      </c>
      <c r="I1071" s="18">
        <f ca="1">((I1070 + G1071) - H1071)</f>
        <v>0</v>
      </c>
      <c r="J1071" s="18">
        <v>0</v>
      </c>
      <c r="K1071" s="19">
        <v>0</v>
      </c>
      <c r="L1071" s="17" t="s">
        <v>28</v>
      </c>
    </row>
    <row r="1072" ht="10.95" customHeight="true" customFormat="true" s="9">
      <c r="A1072" s="16">
        <v>45425</v>
      </c>
      <c r="B1072" s="17" t="s">
        <v>389</v>
      </c>
      <c r="C1072" s="17" t="s">
        <v>136</v>
      </c>
      <c r="D1072" s="17" t="s">
        <v>333</v>
      </c>
      <c r="E1072" s="17" t="s">
        <v>390</v>
      </c>
      <c r="F1072" s="17" t="s">
        <v>380</v>
      </c>
      <c r="G1072" s="18">
        <v>745.1300</v>
      </c>
      <c r="H1072" s="18">
        <v>0</v>
      </c>
      <c r="I1072" s="18">
        <f ca="1">((I1071 + G1072) - H1072)</f>
        <v>0</v>
      </c>
      <c r="J1072" s="18">
        <v>0</v>
      </c>
      <c r="K1072" s="19">
        <v>0</v>
      </c>
      <c r="L1072" s="17" t="s">
        <v>28</v>
      </c>
    </row>
    <row r="1073" ht="10.95" customHeight="true" customFormat="true" s="9">
      <c r="A1073" s="16">
        <v>45432</v>
      </c>
      <c r="B1073" s="17" t="s">
        <v>389</v>
      </c>
      <c r="C1073" s="17" t="s">
        <v>136</v>
      </c>
      <c r="D1073" s="17" t="s">
        <v>333</v>
      </c>
      <c r="E1073" s="17" t="s">
        <v>390</v>
      </c>
      <c r="F1073" s="17" t="s">
        <v>381</v>
      </c>
      <c r="G1073" s="18">
        <v>775.0500</v>
      </c>
      <c r="H1073" s="18">
        <v>0</v>
      </c>
      <c r="I1073" s="18">
        <f ca="1">((I1072 + G1073) - H1073)</f>
        <v>0</v>
      </c>
      <c r="J1073" s="18">
        <v>0</v>
      </c>
      <c r="K1073" s="19">
        <v>0</v>
      </c>
      <c r="L1073" s="17" t="s">
        <v>28</v>
      </c>
    </row>
    <row r="1074" ht="10.95" customHeight="true" customFormat="true" s="9">
      <c r="A1074" s="16">
        <v>45439</v>
      </c>
      <c r="B1074" s="17" t="s">
        <v>389</v>
      </c>
      <c r="C1074" s="17" t="s">
        <v>136</v>
      </c>
      <c r="D1074" s="17" t="s">
        <v>333</v>
      </c>
      <c r="E1074" s="17" t="s">
        <v>390</v>
      </c>
      <c r="F1074" s="17" t="s">
        <v>382</v>
      </c>
      <c r="G1074" s="18">
        <v>760.0900</v>
      </c>
      <c r="H1074" s="18">
        <v>0</v>
      </c>
      <c r="I1074" s="18">
        <f ca="1">((I1073 + G1074) - H1074)</f>
        <v>0</v>
      </c>
      <c r="J1074" s="18">
        <v>0</v>
      </c>
      <c r="K1074" s="19">
        <v>0</v>
      </c>
      <c r="L1074" s="17" t="s">
        <v>28</v>
      </c>
    </row>
    <row r="1075" ht="10.95" customHeight="true" customFormat="true" s="9">
      <c r="A1075" s="16">
        <v>45446</v>
      </c>
      <c r="B1075" s="17" t="s">
        <v>389</v>
      </c>
      <c r="C1075" s="17" t="s">
        <v>136</v>
      </c>
      <c r="D1075" s="17" t="s">
        <v>333</v>
      </c>
      <c r="E1075" s="17" t="s">
        <v>390</v>
      </c>
      <c r="F1075" s="17" t="s">
        <v>383</v>
      </c>
      <c r="G1075" s="18">
        <v>760.0900</v>
      </c>
      <c r="H1075" s="18">
        <v>0</v>
      </c>
      <c r="I1075" s="18">
        <f ca="1">((I1074 + G1075) - H1075)</f>
        <v>0</v>
      </c>
      <c r="J1075" s="18">
        <v>0</v>
      </c>
      <c r="K1075" s="19">
        <v>0</v>
      </c>
      <c r="L1075" s="17" t="s">
        <v>28</v>
      </c>
    </row>
    <row r="1076" ht="10.95" customHeight="true" customFormat="true" s="9">
      <c r="A1076" s="16">
        <v>45453</v>
      </c>
      <c r="B1076" s="17" t="s">
        <v>389</v>
      </c>
      <c r="C1076" s="17" t="s">
        <v>136</v>
      </c>
      <c r="D1076" s="17" t="s">
        <v>333</v>
      </c>
      <c r="E1076" s="17" t="s">
        <v>390</v>
      </c>
      <c r="F1076" s="17" t="s">
        <v>384</v>
      </c>
      <c r="G1076" s="18">
        <v>760.0900</v>
      </c>
      <c r="H1076" s="18">
        <v>0</v>
      </c>
      <c r="I1076" s="18">
        <f ca="1">((I1075 + G1076) - H1076)</f>
        <v>0</v>
      </c>
      <c r="J1076" s="18">
        <v>0</v>
      </c>
      <c r="K1076" s="19">
        <v>0</v>
      </c>
      <c r="L1076" s="17" t="s">
        <v>28</v>
      </c>
    </row>
    <row r="1077" ht="10.95" customHeight="true" customFormat="true" s="9">
      <c r="A1077" s="16">
        <v>45460</v>
      </c>
      <c r="B1077" s="17" t="s">
        <v>389</v>
      </c>
      <c r="C1077" s="17" t="s">
        <v>136</v>
      </c>
      <c r="D1077" s="17" t="s">
        <v>333</v>
      </c>
      <c r="E1077" s="17" t="s">
        <v>390</v>
      </c>
      <c r="F1077" s="17" t="s">
        <v>385</v>
      </c>
      <c r="G1077" s="18">
        <v>775.0500</v>
      </c>
      <c r="H1077" s="18">
        <v>0</v>
      </c>
      <c r="I1077" s="18">
        <f ca="1">((I1076 + G1077) - H1077)</f>
        <v>0</v>
      </c>
      <c r="J1077" s="18">
        <v>0</v>
      </c>
      <c r="K1077" s="19">
        <v>0</v>
      </c>
      <c r="L1077" s="17" t="s">
        <v>28</v>
      </c>
    </row>
    <row r="1078" ht="10.95" customHeight="true" customFormat="true" s="9">
      <c r="A1078" s="16">
        <v>45467</v>
      </c>
      <c r="B1078" s="17" t="s">
        <v>389</v>
      </c>
      <c r="C1078" s="17" t="s">
        <v>136</v>
      </c>
      <c r="D1078" s="17" t="s">
        <v>333</v>
      </c>
      <c r="E1078" s="17" t="s">
        <v>390</v>
      </c>
      <c r="F1078" s="17" t="s">
        <v>386</v>
      </c>
      <c r="G1078" s="18">
        <v>775.0500</v>
      </c>
      <c r="H1078" s="18">
        <v>0</v>
      </c>
      <c r="I1078" s="18">
        <f ca="1">((I1077 + G1078) - H1078)</f>
        <v>0</v>
      </c>
      <c r="J1078" s="18">
        <v>0</v>
      </c>
      <c r="K1078" s="19">
        <v>0</v>
      </c>
      <c r="L1078" s="17" t="s">
        <v>28</v>
      </c>
    </row>
    <row r="1079" ht="10.95" customHeight="true" customFormat="true" s="9">
      <c r="A1079" s="20" t="s">
        <v>391</v>
      </c>
      <c r="B1079" s="20"/>
      <c r="C1079" s="20"/>
      <c r="D1079" s="20"/>
      <c r="E1079" s="20"/>
      <c r="F1079" s="20"/>
      <c r="G1079" s="21">
        <f ca="1">SUM(G1027:G1078)</f>
        <v>0</v>
      </c>
      <c r="H1079" s="21">
        <f ca="1">SUM(H1027:H1078)</f>
        <v>0</v>
      </c>
      <c r="I1079" s="21">
        <f ca="1">I1078</f>
        <v>0</v>
      </c>
      <c r="J1079" s="21">
        <f ca="1">SUM(J1027:J1078)</f>
        <v>0</v>
      </c>
      <c r="K1079" s="20"/>
      <c r="L1079" s="20"/>
    </row>
    <row r="1080" ht="10.95" customHeight="true" customFormat="true" s="9">
      <c r="A1080" s="20" t="s">
        <v>53</v>
      </c>
      <c r="B1080" s="20"/>
      <c r="C1080" s="20"/>
      <c r="D1080" s="20"/>
      <c r="E1080" s="20"/>
      <c r="F1080" s="20"/>
      <c r="G1080" s="21">
        <v>36185.1300</v>
      </c>
      <c r="H1080" s="21">
        <v>0</v>
      </c>
      <c r="I1080" s="21">
        <v>0</v>
      </c>
      <c r="J1080" s="21">
        <v>0</v>
      </c>
      <c r="K1080" s="20"/>
      <c r="L1080" s="20"/>
    </row>
    <row r="1081" ht="10.95" customHeight="true" customFormat="true" s="9">
      <c r="A1081" s="10" t="s">
        <v>54</v>
      </c>
      <c r="B1081" s="10"/>
      <c r="C1081" s="10"/>
      <c r="D1081" s="10"/>
      <c r="E1081" s="10"/>
      <c r="F1081" s="10"/>
      <c r="G1081" s="11">
        <v>36185.1300</v>
      </c>
      <c r="H1081" s="11">
        <v>0</v>
      </c>
      <c r="I1081" s="11">
        <f ca="1">I1078</f>
        <v>0</v>
      </c>
      <c r="J1081" s="11">
        <v>0</v>
      </c>
      <c r="K1081" s="10"/>
      <c r="L1081" s="10"/>
    </row>
    <row r="1082" ht="13.35" customHeight="true"/>
    <row r="1083" ht="12.1" customHeight="true" customFormat="true" s="5">
      <c r="A1083" s="8" t="s">
        <v>392</v>
      </c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</row>
    <row r="1084" ht="10.95" customHeight="true" customFormat="true" s="9">
      <c r="A1084" s="10" t="s">
        <v>16</v>
      </c>
      <c r="B1084" s="10"/>
      <c r="C1084" s="10"/>
      <c r="D1084" s="10"/>
      <c r="E1084" s="10"/>
      <c r="F1084" s="10"/>
      <c r="G1084" s="11">
        <v>90000.0000</v>
      </c>
      <c r="H1084" s="11">
        <v>0</v>
      </c>
      <c r="I1084" s="11">
        <f ca="1">(G1084 - H1084)</f>
        <v>0</v>
      </c>
      <c r="J1084" s="11">
        <v>0</v>
      </c>
      <c r="K1084" s="10"/>
      <c r="L1084" s="10"/>
    </row>
    <row r="1085" ht="10.95" customHeight="true" customFormat="true" s="9">
      <c r="A1085" s="12">
        <v>45108</v>
      </c>
      <c r="B1085" s="13" t="s">
        <v>393</v>
      </c>
      <c r="C1085" s="13" t="s">
        <v>394</v>
      </c>
      <c r="D1085" s="13" t="s">
        <v>25</v>
      </c>
      <c r="E1085" s="13" t="s">
        <v>395</v>
      </c>
      <c r="F1085" s="13" t="s">
        <v>396</v>
      </c>
      <c r="G1085" s="14">
        <v>0</v>
      </c>
      <c r="H1085" s="14">
        <v>90000.0000</v>
      </c>
      <c r="I1085" s="14">
        <f ca="1">((I1084 + G1085) - H1085)</f>
        <v>0</v>
      </c>
      <c r="J1085" s="14">
        <v>0</v>
      </c>
      <c r="K1085" s="15">
        <v>0</v>
      </c>
      <c r="L1085" s="13" t="s">
        <v>28</v>
      </c>
    </row>
    <row r="1086" ht="10.95" customHeight="true" customFormat="true" s="9">
      <c r="A1086" s="16">
        <v>45473</v>
      </c>
      <c r="B1086" s="17" t="s">
        <v>393</v>
      </c>
      <c r="C1086" s="17" t="s">
        <v>394</v>
      </c>
      <c r="D1086" s="17" t="s">
        <v>25</v>
      </c>
      <c r="E1086" s="17" t="s">
        <v>61</v>
      </c>
      <c r="F1086" s="17" t="s">
        <v>50</v>
      </c>
      <c r="G1086" s="18">
        <v>35316.0800</v>
      </c>
      <c r="H1086" s="18">
        <v>0</v>
      </c>
      <c r="I1086" s="18">
        <f ca="1">((I1085 + G1086) - H1086)</f>
        <v>0</v>
      </c>
      <c r="J1086" s="18">
        <v>0</v>
      </c>
      <c r="K1086" s="19">
        <v>0</v>
      </c>
      <c r="L1086" s="17" t="s">
        <v>28</v>
      </c>
    </row>
    <row r="1087" ht="10.95" customHeight="true" customFormat="true" s="9">
      <c r="A1087" s="16">
        <v>45473</v>
      </c>
      <c r="B1087" s="17" t="s">
        <v>393</v>
      </c>
      <c r="C1087" s="17" t="s">
        <v>394</v>
      </c>
      <c r="D1087" s="17" t="s">
        <v>25</v>
      </c>
      <c r="E1087" s="17" t="s">
        <v>61</v>
      </c>
      <c r="F1087" s="17" t="s">
        <v>50</v>
      </c>
      <c r="G1087" s="18">
        <v>60655.2000</v>
      </c>
      <c r="H1087" s="18">
        <v>0</v>
      </c>
      <c r="I1087" s="18">
        <f ca="1">((I1086 + G1087) - H1087)</f>
        <v>0</v>
      </c>
      <c r="J1087" s="18">
        <v>0</v>
      </c>
      <c r="K1087" s="19">
        <v>0</v>
      </c>
      <c r="L1087" s="17" t="s">
        <v>28</v>
      </c>
    </row>
    <row r="1088" ht="10.95" customHeight="true" customFormat="true" s="9">
      <c r="A1088" s="16">
        <v>45473</v>
      </c>
      <c r="B1088" s="17" t="s">
        <v>393</v>
      </c>
      <c r="C1088" s="17" t="s">
        <v>394</v>
      </c>
      <c r="D1088" s="17" t="s">
        <v>25</v>
      </c>
      <c r="E1088" s="17" t="s">
        <v>61</v>
      </c>
      <c r="F1088" s="17" t="s">
        <v>50</v>
      </c>
      <c r="G1088" s="18">
        <v>46528.7200</v>
      </c>
      <c r="H1088" s="18">
        <v>0</v>
      </c>
      <c r="I1088" s="18">
        <f ca="1">((I1087 + G1088) - H1088)</f>
        <v>0</v>
      </c>
      <c r="J1088" s="18">
        <v>0</v>
      </c>
      <c r="K1088" s="19">
        <v>0</v>
      </c>
      <c r="L1088" s="17" t="s">
        <v>28</v>
      </c>
    </row>
    <row r="1089" ht="10.95" customHeight="true" customFormat="true" s="9">
      <c r="A1089" s="20" t="s">
        <v>397</v>
      </c>
      <c r="B1089" s="20"/>
      <c r="C1089" s="20"/>
      <c r="D1089" s="20"/>
      <c r="E1089" s="20"/>
      <c r="F1089" s="20"/>
      <c r="G1089" s="21">
        <f ca="1">SUM(G1085:G1088)</f>
        <v>0</v>
      </c>
      <c r="H1089" s="21">
        <f ca="1">SUM(H1085:H1088)</f>
        <v>0</v>
      </c>
      <c r="I1089" s="21">
        <f ca="1">I1088</f>
        <v>0</v>
      </c>
      <c r="J1089" s="21">
        <f ca="1">SUM(J1085:J1088)</f>
        <v>0</v>
      </c>
      <c r="K1089" s="20"/>
      <c r="L1089" s="20"/>
    </row>
    <row r="1090" ht="10.95" customHeight="true" customFormat="true" s="9">
      <c r="A1090" s="20" t="s">
        <v>53</v>
      </c>
      <c r="B1090" s="20"/>
      <c r="C1090" s="20"/>
      <c r="D1090" s="20"/>
      <c r="E1090" s="20"/>
      <c r="F1090" s="20"/>
      <c r="G1090" s="21">
        <v>52500.0000</v>
      </c>
      <c r="H1090" s="21">
        <v>0</v>
      </c>
      <c r="I1090" s="21">
        <v>0</v>
      </c>
      <c r="J1090" s="21">
        <v>0</v>
      </c>
      <c r="K1090" s="20"/>
      <c r="L1090" s="20"/>
    </row>
    <row r="1091" ht="10.95" customHeight="true" customFormat="true" s="9">
      <c r="A1091" s="10" t="s">
        <v>54</v>
      </c>
      <c r="B1091" s="10"/>
      <c r="C1091" s="10"/>
      <c r="D1091" s="10"/>
      <c r="E1091" s="10"/>
      <c r="F1091" s="10"/>
      <c r="G1091" s="11">
        <v>142500.0000</v>
      </c>
      <c r="H1091" s="11">
        <v>0</v>
      </c>
      <c r="I1091" s="11">
        <f ca="1">I1088</f>
        <v>0</v>
      </c>
      <c r="J1091" s="11">
        <v>0</v>
      </c>
      <c r="K1091" s="10"/>
      <c r="L1091" s="10"/>
    </row>
    <row r="1092" ht="13.35" customHeight="true"/>
    <row r="1093" ht="12.1" customHeight="true" customFormat="true" s="5">
      <c r="A1093" s="8" t="s">
        <v>398</v>
      </c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</row>
    <row r="1094" ht="10.95" customHeight="true" customFormat="true" s="9">
      <c r="A1094" s="10" t="s">
        <v>16</v>
      </c>
      <c r="B1094" s="10"/>
      <c r="C1094" s="10"/>
      <c r="D1094" s="10"/>
      <c r="E1094" s="10"/>
      <c r="F1094" s="10"/>
      <c r="G1094" s="11">
        <v>0</v>
      </c>
      <c r="H1094" s="11">
        <v>0</v>
      </c>
      <c r="I1094" s="11">
        <f ca="1">(G1094 - H1094)</f>
        <v>0</v>
      </c>
      <c r="J1094" s="11">
        <v>0</v>
      </c>
      <c r="K1094" s="10"/>
      <c r="L1094" s="10"/>
    </row>
    <row r="1095" ht="10.95" customHeight="true" customFormat="true" s="9">
      <c r="A1095" s="12">
        <v>45124</v>
      </c>
      <c r="B1095" s="13" t="s">
        <v>399</v>
      </c>
      <c r="C1095" s="13" t="s">
        <v>136</v>
      </c>
      <c r="D1095" s="13" t="s">
        <v>22</v>
      </c>
      <c r="E1095" s="13" t="s">
        <v>400</v>
      </c>
      <c r="F1095" s="13"/>
      <c r="G1095" s="14">
        <v>108.1800</v>
      </c>
      <c r="H1095" s="14">
        <v>0</v>
      </c>
      <c r="I1095" s="14">
        <f ca="1">((I1094 + G1095) - H1095)</f>
        <v>0</v>
      </c>
      <c r="J1095" s="14">
        <v>10.8200</v>
      </c>
      <c r="K1095" s="15">
        <v>10.0000</v>
      </c>
      <c r="L1095" s="13" t="s">
        <v>80</v>
      </c>
    </row>
    <row r="1096" ht="10.95" customHeight="true" customFormat="true" s="9">
      <c r="A1096" s="16">
        <v>45155</v>
      </c>
      <c r="B1096" s="17" t="s">
        <v>399</v>
      </c>
      <c r="C1096" s="17" t="s">
        <v>136</v>
      </c>
      <c r="D1096" s="17" t="s">
        <v>22</v>
      </c>
      <c r="E1096" s="17" t="s">
        <v>400</v>
      </c>
      <c r="F1096" s="17"/>
      <c r="G1096" s="18">
        <v>98.1800</v>
      </c>
      <c r="H1096" s="18">
        <v>0</v>
      </c>
      <c r="I1096" s="18">
        <f ca="1">((I1095 + G1096) - H1096)</f>
        <v>0</v>
      </c>
      <c r="J1096" s="18">
        <v>9.8200</v>
      </c>
      <c r="K1096" s="19">
        <v>10.0000</v>
      </c>
      <c r="L1096" s="17" t="s">
        <v>80</v>
      </c>
    </row>
    <row r="1097" ht="10.95" customHeight="true" customFormat="true" s="9">
      <c r="A1097" s="16">
        <v>45187</v>
      </c>
      <c r="B1097" s="17" t="s">
        <v>399</v>
      </c>
      <c r="C1097" s="17" t="s">
        <v>136</v>
      </c>
      <c r="D1097" s="17" t="s">
        <v>22</v>
      </c>
      <c r="E1097" s="17" t="s">
        <v>400</v>
      </c>
      <c r="F1097" s="17"/>
      <c r="G1097" s="18">
        <v>98.1800</v>
      </c>
      <c r="H1097" s="18">
        <v>0</v>
      </c>
      <c r="I1097" s="18">
        <f ca="1">((I1096 + G1097) - H1097)</f>
        <v>0</v>
      </c>
      <c r="J1097" s="18">
        <v>9.8200</v>
      </c>
      <c r="K1097" s="19">
        <v>10.0000</v>
      </c>
      <c r="L1097" s="17" t="s">
        <v>80</v>
      </c>
    </row>
    <row r="1098" ht="10.95" customHeight="true" customFormat="true" s="9">
      <c r="A1098" s="16">
        <v>45217</v>
      </c>
      <c r="B1098" s="17" t="s">
        <v>399</v>
      </c>
      <c r="C1098" s="17" t="s">
        <v>136</v>
      </c>
      <c r="D1098" s="17" t="s">
        <v>22</v>
      </c>
      <c r="E1098" s="17" t="s">
        <v>400</v>
      </c>
      <c r="F1098" s="17"/>
      <c r="G1098" s="18">
        <v>98.1800</v>
      </c>
      <c r="H1098" s="18">
        <v>0</v>
      </c>
      <c r="I1098" s="18">
        <f ca="1">((I1097 + G1098) - H1098)</f>
        <v>0</v>
      </c>
      <c r="J1098" s="18">
        <v>9.8200</v>
      </c>
      <c r="K1098" s="19">
        <v>10.0000</v>
      </c>
      <c r="L1098" s="17" t="s">
        <v>80</v>
      </c>
    </row>
    <row r="1099" ht="10.95" customHeight="true" customFormat="true" s="9">
      <c r="A1099" s="16">
        <v>45247</v>
      </c>
      <c r="B1099" s="17" t="s">
        <v>399</v>
      </c>
      <c r="C1099" s="17" t="s">
        <v>136</v>
      </c>
      <c r="D1099" s="17" t="s">
        <v>22</v>
      </c>
      <c r="E1099" s="17" t="s">
        <v>400</v>
      </c>
      <c r="F1099" s="17"/>
      <c r="G1099" s="18">
        <v>98.1800</v>
      </c>
      <c r="H1099" s="18">
        <v>0</v>
      </c>
      <c r="I1099" s="18">
        <f ca="1">((I1098 + G1099) - H1099)</f>
        <v>0</v>
      </c>
      <c r="J1099" s="18">
        <v>9.8200</v>
      </c>
      <c r="K1099" s="19">
        <v>10.0000</v>
      </c>
      <c r="L1099" s="17" t="s">
        <v>80</v>
      </c>
    </row>
    <row r="1100" ht="10.95" customHeight="true" customFormat="true" s="9">
      <c r="A1100" s="16">
        <v>45278</v>
      </c>
      <c r="B1100" s="17" t="s">
        <v>399</v>
      </c>
      <c r="C1100" s="17" t="s">
        <v>136</v>
      </c>
      <c r="D1100" s="17" t="s">
        <v>22</v>
      </c>
      <c r="E1100" s="17" t="s">
        <v>400</v>
      </c>
      <c r="F1100" s="17"/>
      <c r="G1100" s="18">
        <v>99.5500</v>
      </c>
      <c r="H1100" s="18">
        <v>0</v>
      </c>
      <c r="I1100" s="18">
        <f ca="1">((I1099 + G1100) - H1100)</f>
        <v>0</v>
      </c>
      <c r="J1100" s="18">
        <v>9.9500</v>
      </c>
      <c r="K1100" s="19">
        <v>10.0000</v>
      </c>
      <c r="L1100" s="17" t="s">
        <v>80</v>
      </c>
    </row>
    <row r="1101" ht="10.95" customHeight="true" customFormat="true" s="9">
      <c r="A1101" s="16">
        <v>45309</v>
      </c>
      <c r="B1101" s="17" t="s">
        <v>399</v>
      </c>
      <c r="C1101" s="17" t="s">
        <v>136</v>
      </c>
      <c r="D1101" s="17" t="s">
        <v>22</v>
      </c>
      <c r="E1101" s="17" t="s">
        <v>400</v>
      </c>
      <c r="F1101" s="17"/>
      <c r="G1101" s="18">
        <v>98.2300</v>
      </c>
      <c r="H1101" s="18">
        <v>0</v>
      </c>
      <c r="I1101" s="18">
        <f ca="1">((I1100 + G1101) - H1101)</f>
        <v>0</v>
      </c>
      <c r="J1101" s="18">
        <v>9.8200</v>
      </c>
      <c r="K1101" s="19">
        <v>10.0000</v>
      </c>
      <c r="L1101" s="17" t="s">
        <v>80</v>
      </c>
    </row>
    <row r="1102" ht="10.95" customHeight="true" customFormat="true" s="9">
      <c r="A1102" s="16">
        <v>45341</v>
      </c>
      <c r="B1102" s="17" t="s">
        <v>399</v>
      </c>
      <c r="C1102" s="17" t="s">
        <v>136</v>
      </c>
      <c r="D1102" s="17" t="s">
        <v>22</v>
      </c>
      <c r="E1102" s="17" t="s">
        <v>400</v>
      </c>
      <c r="F1102" s="17"/>
      <c r="G1102" s="18">
        <v>98.1000</v>
      </c>
      <c r="H1102" s="18">
        <v>0</v>
      </c>
      <c r="I1102" s="18">
        <f ca="1">((I1101 + G1102) - H1102)</f>
        <v>0</v>
      </c>
      <c r="J1102" s="18">
        <v>9.8100</v>
      </c>
      <c r="K1102" s="19">
        <v>10.0000</v>
      </c>
      <c r="L1102" s="17" t="s">
        <v>80</v>
      </c>
    </row>
    <row r="1103" ht="10.95" customHeight="true" customFormat="true" s="9">
      <c r="A1103" s="16">
        <v>45341</v>
      </c>
      <c r="B1103" s="17" t="s">
        <v>399</v>
      </c>
      <c r="C1103" s="17" t="s">
        <v>136</v>
      </c>
      <c r="D1103" s="17" t="s">
        <v>22</v>
      </c>
      <c r="E1103" s="17" t="s">
        <v>400</v>
      </c>
      <c r="F1103" s="17"/>
      <c r="G1103" s="18">
        <v>6.5900</v>
      </c>
      <c r="H1103" s="18">
        <v>0</v>
      </c>
      <c r="I1103" s="18">
        <f ca="1">((I1102 + G1103) - H1103)</f>
        <v>0</v>
      </c>
      <c r="J1103" s="18">
        <v>0</v>
      </c>
      <c r="K1103" s="19">
        <v>0</v>
      </c>
      <c r="L1103" s="17" t="s">
        <v>28</v>
      </c>
    </row>
    <row r="1104" ht="10.95" customHeight="true" customFormat="true" s="9">
      <c r="A1104" s="16">
        <v>45369</v>
      </c>
      <c r="B1104" s="17" t="s">
        <v>399</v>
      </c>
      <c r="C1104" s="17" t="s">
        <v>136</v>
      </c>
      <c r="D1104" s="17" t="s">
        <v>22</v>
      </c>
      <c r="E1104" s="17" t="s">
        <v>400</v>
      </c>
      <c r="F1104" s="17"/>
      <c r="G1104" s="18">
        <v>98.1800</v>
      </c>
      <c r="H1104" s="18">
        <v>0</v>
      </c>
      <c r="I1104" s="18">
        <f ca="1">((I1103 + G1104) - H1104)</f>
        <v>0</v>
      </c>
      <c r="J1104" s="18">
        <v>9.8200</v>
      </c>
      <c r="K1104" s="19">
        <v>10.0000</v>
      </c>
      <c r="L1104" s="17" t="s">
        <v>80</v>
      </c>
    </row>
    <row r="1105" ht="10.95" customHeight="true" customFormat="true" s="9">
      <c r="A1105" s="16">
        <v>45382</v>
      </c>
      <c r="B1105" s="17" t="s">
        <v>399</v>
      </c>
      <c r="C1105" s="17" t="s">
        <v>136</v>
      </c>
      <c r="D1105" s="17" t="s">
        <v>25</v>
      </c>
      <c r="E1105" s="17" t="s">
        <v>401</v>
      </c>
      <c r="F1105" s="17" t="s">
        <v>39</v>
      </c>
      <c r="G1105" s="18">
        <v>8.6000</v>
      </c>
      <c r="H1105" s="18">
        <v>0</v>
      </c>
      <c r="I1105" s="18">
        <f ca="1">((I1104 + G1105) - H1105)</f>
        <v>0</v>
      </c>
      <c r="J1105" s="18">
        <v>0.8600</v>
      </c>
      <c r="K1105" s="19">
        <v>10.0000</v>
      </c>
      <c r="L1105" s="17" t="s">
        <v>80</v>
      </c>
    </row>
    <row r="1106" ht="10.95" customHeight="true" customFormat="true" s="9">
      <c r="A1106" s="16">
        <v>45382</v>
      </c>
      <c r="B1106" s="17" t="s">
        <v>399</v>
      </c>
      <c r="C1106" s="17" t="s">
        <v>136</v>
      </c>
      <c r="D1106" s="17" t="s">
        <v>25</v>
      </c>
      <c r="E1106" s="17" t="s">
        <v>401</v>
      </c>
      <c r="F1106" s="17" t="s">
        <v>39</v>
      </c>
      <c r="G1106" s="18">
        <v>0.1200</v>
      </c>
      <c r="H1106" s="18">
        <v>0</v>
      </c>
      <c r="I1106" s="18">
        <f ca="1">((I1105 + G1106) - H1106)</f>
        <v>0</v>
      </c>
      <c r="J1106" s="18">
        <v>0</v>
      </c>
      <c r="K1106" s="19">
        <v>0</v>
      </c>
      <c r="L1106" s="17" t="s">
        <v>28</v>
      </c>
    </row>
    <row r="1107" ht="10.95" customHeight="true" customFormat="true" s="9">
      <c r="A1107" s="16">
        <v>45400</v>
      </c>
      <c r="B1107" s="17" t="s">
        <v>399</v>
      </c>
      <c r="C1107" s="17" t="s">
        <v>136</v>
      </c>
      <c r="D1107" s="17" t="s">
        <v>22</v>
      </c>
      <c r="E1107" s="17" t="s">
        <v>400</v>
      </c>
      <c r="F1107" s="17"/>
      <c r="G1107" s="18">
        <v>98.1800</v>
      </c>
      <c r="H1107" s="18">
        <v>0</v>
      </c>
      <c r="I1107" s="18">
        <f ca="1">((I1106 + G1107) - H1107)</f>
        <v>0</v>
      </c>
      <c r="J1107" s="18">
        <v>9.8200</v>
      </c>
      <c r="K1107" s="19">
        <v>10.0000</v>
      </c>
      <c r="L1107" s="17" t="s">
        <v>80</v>
      </c>
    </row>
    <row r="1108" ht="10.95" customHeight="true" customFormat="true" s="9">
      <c r="A1108" s="16">
        <v>45429</v>
      </c>
      <c r="B1108" s="17" t="s">
        <v>399</v>
      </c>
      <c r="C1108" s="17" t="s">
        <v>136</v>
      </c>
      <c r="D1108" s="17" t="s">
        <v>22</v>
      </c>
      <c r="E1108" s="17" t="s">
        <v>400</v>
      </c>
      <c r="F1108" s="17"/>
      <c r="G1108" s="18">
        <v>98.1800</v>
      </c>
      <c r="H1108" s="18">
        <v>0</v>
      </c>
      <c r="I1108" s="18">
        <f ca="1">((I1107 + G1108) - H1108)</f>
        <v>0</v>
      </c>
      <c r="J1108" s="18">
        <v>9.8200</v>
      </c>
      <c r="K1108" s="19">
        <v>10.0000</v>
      </c>
      <c r="L1108" s="17" t="s">
        <v>80</v>
      </c>
    </row>
    <row r="1109" ht="10.95" customHeight="true" customFormat="true" s="9">
      <c r="A1109" s="16">
        <v>45461</v>
      </c>
      <c r="B1109" s="17" t="s">
        <v>399</v>
      </c>
      <c r="C1109" s="17" t="s">
        <v>136</v>
      </c>
      <c r="D1109" s="17" t="s">
        <v>22</v>
      </c>
      <c r="E1109" s="17" t="s">
        <v>400</v>
      </c>
      <c r="F1109" s="17"/>
      <c r="G1109" s="18">
        <v>98.1000</v>
      </c>
      <c r="H1109" s="18">
        <v>0</v>
      </c>
      <c r="I1109" s="18">
        <f ca="1">((I1108 + G1109) - H1109)</f>
        <v>0</v>
      </c>
      <c r="J1109" s="18">
        <v>9.8100</v>
      </c>
      <c r="K1109" s="19">
        <v>10.0000</v>
      </c>
      <c r="L1109" s="17" t="s">
        <v>80</v>
      </c>
    </row>
    <row r="1110" ht="10.95" customHeight="true" customFormat="true" s="9">
      <c r="A1110" s="16">
        <v>45461</v>
      </c>
      <c r="B1110" s="17" t="s">
        <v>399</v>
      </c>
      <c r="C1110" s="17" t="s">
        <v>136</v>
      </c>
      <c r="D1110" s="17" t="s">
        <v>22</v>
      </c>
      <c r="E1110" s="17" t="s">
        <v>400</v>
      </c>
      <c r="F1110" s="17"/>
      <c r="G1110" s="18">
        <v>45.5900</v>
      </c>
      <c r="H1110" s="18">
        <v>0</v>
      </c>
      <c r="I1110" s="18">
        <f ca="1">((I1109 + G1110) - H1110)</f>
        <v>0</v>
      </c>
      <c r="J1110" s="18">
        <v>0</v>
      </c>
      <c r="K1110" s="19">
        <v>0</v>
      </c>
      <c r="L1110" s="17" t="s">
        <v>82</v>
      </c>
    </row>
    <row r="1111" ht="10.95" customHeight="true" customFormat="true" s="9">
      <c r="A1111" s="16">
        <v>45473</v>
      </c>
      <c r="B1111" s="17" t="s">
        <v>399</v>
      </c>
      <c r="C1111" s="17" t="s">
        <v>136</v>
      </c>
      <c r="D1111" s="17" t="s">
        <v>25</v>
      </c>
      <c r="E1111" s="17" t="s">
        <v>138</v>
      </c>
      <c r="F1111" s="17" t="s">
        <v>47</v>
      </c>
      <c r="G1111" s="18">
        <v>239.3600</v>
      </c>
      <c r="H1111" s="18">
        <v>0</v>
      </c>
      <c r="I1111" s="18">
        <f ca="1">((I1110 + G1111) - H1111)</f>
        <v>0</v>
      </c>
      <c r="J1111" s="18">
        <v>0</v>
      </c>
      <c r="K1111" s="19">
        <v>0</v>
      </c>
      <c r="L1111" s="17" t="s">
        <v>28</v>
      </c>
    </row>
    <row r="1112" ht="10.95" customHeight="true" customFormat="true" s="9">
      <c r="A1112" s="20" t="s">
        <v>402</v>
      </c>
      <c r="B1112" s="20"/>
      <c r="C1112" s="20"/>
      <c r="D1112" s="20"/>
      <c r="E1112" s="20"/>
      <c r="F1112" s="20"/>
      <c r="G1112" s="21">
        <f ca="1">SUM(G1095:G1111)</f>
        <v>0</v>
      </c>
      <c r="H1112" s="21">
        <f ca="1">SUM(H1095:H1111)</f>
        <v>0</v>
      </c>
      <c r="I1112" s="21">
        <f ca="1">I1111</f>
        <v>0</v>
      </c>
      <c r="J1112" s="21">
        <f ca="1">SUM(J1095:J1111)</f>
        <v>0</v>
      </c>
      <c r="K1112" s="20"/>
      <c r="L1112" s="20"/>
    </row>
    <row r="1113" ht="10.95" customHeight="true" customFormat="true" s="9">
      <c r="A1113" s="20" t="s">
        <v>53</v>
      </c>
      <c r="B1113" s="20"/>
      <c r="C1113" s="20"/>
      <c r="D1113" s="20"/>
      <c r="E1113" s="20"/>
      <c r="F1113" s="20"/>
      <c r="G1113" s="21">
        <v>1489.6800</v>
      </c>
      <c r="H1113" s="21">
        <v>0</v>
      </c>
      <c r="I1113" s="21">
        <v>0</v>
      </c>
      <c r="J1113" s="21">
        <v>0</v>
      </c>
      <c r="K1113" s="20"/>
      <c r="L1113" s="20"/>
    </row>
    <row r="1114" ht="10.95" customHeight="true" customFormat="true" s="9">
      <c r="A1114" s="10" t="s">
        <v>54</v>
      </c>
      <c r="B1114" s="10"/>
      <c r="C1114" s="10"/>
      <c r="D1114" s="10"/>
      <c r="E1114" s="10"/>
      <c r="F1114" s="10"/>
      <c r="G1114" s="11">
        <v>1489.6800</v>
      </c>
      <c r="H1114" s="11">
        <v>0</v>
      </c>
      <c r="I1114" s="11">
        <f ca="1">I1111</f>
        <v>0</v>
      </c>
      <c r="J1114" s="11">
        <v>0</v>
      </c>
      <c r="K1114" s="10"/>
      <c r="L1114" s="10"/>
    </row>
    <row r="1115" ht="13.35" customHeight="true"/>
    <row r="1116" ht="12.1" customHeight="true" customFormat="true" s="5">
      <c r="A1116" s="8" t="s">
        <v>403</v>
      </c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</row>
    <row r="1117" ht="10.95" customHeight="true" customFormat="true" s="9">
      <c r="A1117" s="10" t="s">
        <v>16</v>
      </c>
      <c r="B1117" s="10"/>
      <c r="C1117" s="10"/>
      <c r="D1117" s="10"/>
      <c r="E1117" s="10"/>
      <c r="F1117" s="10"/>
      <c r="G1117" s="11">
        <v>0</v>
      </c>
      <c r="H1117" s="11">
        <v>0</v>
      </c>
      <c r="I1117" s="11">
        <f ca="1">(G1117 - H1117)</f>
        <v>0</v>
      </c>
      <c r="J1117" s="11">
        <v>0</v>
      </c>
      <c r="K1117" s="10"/>
      <c r="L1117" s="10"/>
    </row>
    <row r="1118" ht="10.95" customHeight="true" customFormat="true" s="9">
      <c r="A1118" s="12">
        <v>45473</v>
      </c>
      <c r="B1118" s="13" t="s">
        <v>404</v>
      </c>
      <c r="C1118" s="13" t="s">
        <v>136</v>
      </c>
      <c r="D1118" s="13" t="s">
        <v>25</v>
      </c>
      <c r="E1118" s="13" t="s">
        <v>302</v>
      </c>
      <c r="F1118" s="13" t="s">
        <v>50</v>
      </c>
      <c r="G1118" s="14">
        <v>1015.8200</v>
      </c>
      <c r="H1118" s="14">
        <v>0</v>
      </c>
      <c r="I1118" s="14">
        <f ca="1">((I1117 + G1118) - H1118)</f>
        <v>0</v>
      </c>
      <c r="J1118" s="14">
        <v>0</v>
      </c>
      <c r="K1118" s="15">
        <v>0</v>
      </c>
      <c r="L1118" s="13" t="s">
        <v>28</v>
      </c>
    </row>
    <row r="1119" ht="10.95" customHeight="true" customFormat="true" s="9">
      <c r="A1119" s="20" t="s">
        <v>405</v>
      </c>
      <c r="B1119" s="20"/>
      <c r="C1119" s="20"/>
      <c r="D1119" s="20"/>
      <c r="E1119" s="20"/>
      <c r="F1119" s="20"/>
      <c r="G1119" s="21">
        <f ca="1">G1118</f>
        <v>0</v>
      </c>
      <c r="H1119" s="21">
        <f ca="1">H1118</f>
        <v>0</v>
      </c>
      <c r="I1119" s="21">
        <f ca="1">I1118</f>
        <v>0</v>
      </c>
      <c r="J1119" s="21">
        <f ca="1">J1118</f>
        <v>0</v>
      </c>
      <c r="K1119" s="20"/>
      <c r="L1119" s="20"/>
    </row>
    <row r="1120" ht="10.95" customHeight="true" customFormat="true" s="9">
      <c r="A1120" s="20" t="s">
        <v>53</v>
      </c>
      <c r="B1120" s="20"/>
      <c r="C1120" s="20"/>
      <c r="D1120" s="20"/>
      <c r="E1120" s="20"/>
      <c r="F1120" s="20"/>
      <c r="G1120" s="21">
        <v>1015.8200</v>
      </c>
      <c r="H1120" s="21">
        <v>0</v>
      </c>
      <c r="I1120" s="21">
        <v>0</v>
      </c>
      <c r="J1120" s="21">
        <v>0</v>
      </c>
      <c r="K1120" s="20"/>
      <c r="L1120" s="20"/>
    </row>
    <row r="1121" ht="10.95" customHeight="true" customFormat="true" s="9">
      <c r="A1121" s="10" t="s">
        <v>54</v>
      </c>
      <c r="B1121" s="10"/>
      <c r="C1121" s="10"/>
      <c r="D1121" s="10"/>
      <c r="E1121" s="10"/>
      <c r="F1121" s="10"/>
      <c r="G1121" s="11">
        <v>1015.8200</v>
      </c>
      <c r="H1121" s="11">
        <v>0</v>
      </c>
      <c r="I1121" s="11">
        <f ca="1">I1118</f>
        <v>0</v>
      </c>
      <c r="J1121" s="11">
        <v>0</v>
      </c>
      <c r="K1121" s="10"/>
      <c r="L1121" s="10"/>
    </row>
    <row r="1122" ht="13.35" customHeight="true"/>
    <row r="1123" ht="12.1" customHeight="true" customFormat="true" s="5">
      <c r="A1123" s="8" t="s">
        <v>406</v>
      </c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</row>
    <row r="1124" ht="10.95" customHeight="true" customFormat="true" s="9">
      <c r="A1124" s="10" t="s">
        <v>16</v>
      </c>
      <c r="B1124" s="10"/>
      <c r="C1124" s="10"/>
      <c r="D1124" s="10"/>
      <c r="E1124" s="10"/>
      <c r="F1124" s="10"/>
      <c r="G1124" s="11">
        <v>0</v>
      </c>
      <c r="H1124" s="11">
        <v>0</v>
      </c>
      <c r="I1124" s="11">
        <f ca="1">(G1124 - H1124)</f>
        <v>0</v>
      </c>
      <c r="J1124" s="11">
        <v>0</v>
      </c>
      <c r="K1124" s="10"/>
      <c r="L1124" s="10"/>
    </row>
    <row r="1125" ht="10.95" customHeight="true" customFormat="true" s="9">
      <c r="A1125" s="12">
        <v>45473</v>
      </c>
      <c r="B1125" s="13" t="s">
        <v>407</v>
      </c>
      <c r="C1125" s="13" t="s">
        <v>136</v>
      </c>
      <c r="D1125" s="13" t="s">
        <v>25</v>
      </c>
      <c r="E1125" s="13" t="s">
        <v>408</v>
      </c>
      <c r="F1125" s="13" t="s">
        <v>50</v>
      </c>
      <c r="G1125" s="14">
        <v>65004.5000</v>
      </c>
      <c r="H1125" s="14">
        <v>0</v>
      </c>
      <c r="I1125" s="14">
        <f ca="1">((I1124 + G1125) - H1125)</f>
        <v>0</v>
      </c>
      <c r="J1125" s="14">
        <v>0</v>
      </c>
      <c r="K1125" s="15">
        <v>0</v>
      </c>
      <c r="L1125" s="13" t="s">
        <v>28</v>
      </c>
    </row>
    <row r="1126" ht="10.95" customHeight="true" customFormat="true" s="9">
      <c r="A1126" s="20" t="s">
        <v>409</v>
      </c>
      <c r="B1126" s="20"/>
      <c r="C1126" s="20"/>
      <c r="D1126" s="20"/>
      <c r="E1126" s="20"/>
      <c r="F1126" s="20"/>
      <c r="G1126" s="21">
        <f ca="1">G1125</f>
        <v>0</v>
      </c>
      <c r="H1126" s="21">
        <f ca="1">H1125</f>
        <v>0</v>
      </c>
      <c r="I1126" s="21">
        <f ca="1">I1125</f>
        <v>0</v>
      </c>
      <c r="J1126" s="21">
        <f ca="1">J1125</f>
        <v>0</v>
      </c>
      <c r="K1126" s="20"/>
      <c r="L1126" s="20"/>
    </row>
    <row r="1127" ht="10.95" customHeight="true" customFormat="true" s="9">
      <c r="A1127" s="20" t="s">
        <v>53</v>
      </c>
      <c r="B1127" s="20"/>
      <c r="C1127" s="20"/>
      <c r="D1127" s="20"/>
      <c r="E1127" s="20"/>
      <c r="F1127" s="20"/>
      <c r="G1127" s="21">
        <v>65004.5000</v>
      </c>
      <c r="H1127" s="21">
        <v>0</v>
      </c>
      <c r="I1127" s="21">
        <v>0</v>
      </c>
      <c r="J1127" s="21">
        <v>0</v>
      </c>
      <c r="K1127" s="20"/>
      <c r="L1127" s="20"/>
    </row>
    <row r="1128" ht="10.95" customHeight="true" customFormat="true" s="9">
      <c r="A1128" s="10" t="s">
        <v>54</v>
      </c>
      <c r="B1128" s="10"/>
      <c r="C1128" s="10"/>
      <c r="D1128" s="10"/>
      <c r="E1128" s="10"/>
      <c r="F1128" s="10"/>
      <c r="G1128" s="11">
        <v>65004.5000</v>
      </c>
      <c r="H1128" s="11">
        <v>0</v>
      </c>
      <c r="I1128" s="11">
        <f ca="1">I1125</f>
        <v>0</v>
      </c>
      <c r="J1128" s="11">
        <v>0</v>
      </c>
      <c r="K1128" s="10"/>
      <c r="L1128" s="10"/>
    </row>
    <row r="1129" ht="13.35" customHeight="true"/>
    <row r="1130" ht="12.1" customHeight="true" customFormat="true" s="5">
      <c r="A1130" s="8" t="s">
        <v>410</v>
      </c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</row>
    <row r="1131" ht="10.95" customHeight="true" customFormat="true" s="9">
      <c r="A1131" s="10" t="s">
        <v>16</v>
      </c>
      <c r="B1131" s="10"/>
      <c r="C1131" s="10"/>
      <c r="D1131" s="10"/>
      <c r="E1131" s="10"/>
      <c r="F1131" s="10"/>
      <c r="G1131" s="11">
        <v>0</v>
      </c>
      <c r="H1131" s="11">
        <v>0</v>
      </c>
      <c r="I1131" s="11">
        <f ca="1">(G1131 - H1131)</f>
        <v>0</v>
      </c>
      <c r="J1131" s="11">
        <v>0</v>
      </c>
      <c r="K1131" s="10"/>
      <c r="L1131" s="10"/>
    </row>
    <row r="1132" ht="10.95" customHeight="true" customFormat="true" s="9">
      <c r="A1132" s="12">
        <v>45132</v>
      </c>
      <c r="B1132" s="13" t="s">
        <v>411</v>
      </c>
      <c r="C1132" s="13" t="s">
        <v>136</v>
      </c>
      <c r="D1132" s="13" t="s">
        <v>22</v>
      </c>
      <c r="E1132" s="13" t="s">
        <v>412</v>
      </c>
      <c r="F1132" s="13"/>
      <c r="G1132" s="14">
        <v>4898.1400</v>
      </c>
      <c r="H1132" s="14">
        <v>0</v>
      </c>
      <c r="I1132" s="14">
        <f ca="1">((I1131 + G1132) - H1132)</f>
        <v>0</v>
      </c>
      <c r="J1132" s="14">
        <v>489.8100</v>
      </c>
      <c r="K1132" s="15">
        <v>10.0000</v>
      </c>
      <c r="L1132" s="13" t="s">
        <v>80</v>
      </c>
    </row>
    <row r="1133" ht="10.95" customHeight="true" customFormat="true" s="9">
      <c r="A1133" s="16">
        <v>45166</v>
      </c>
      <c r="B1133" s="17" t="s">
        <v>411</v>
      </c>
      <c r="C1133" s="17" t="s">
        <v>136</v>
      </c>
      <c r="D1133" s="17" t="s">
        <v>22</v>
      </c>
      <c r="E1133" s="17" t="s">
        <v>412</v>
      </c>
      <c r="F1133" s="17"/>
      <c r="G1133" s="18">
        <v>186.2300</v>
      </c>
      <c r="H1133" s="18">
        <v>0</v>
      </c>
      <c r="I1133" s="18">
        <f ca="1">((I1132 + G1133) - H1133)</f>
        <v>0</v>
      </c>
      <c r="J1133" s="18">
        <v>18.6200</v>
      </c>
      <c r="K1133" s="19">
        <v>10.0000</v>
      </c>
      <c r="L1133" s="17" t="s">
        <v>80</v>
      </c>
    </row>
    <row r="1134" ht="10.95" customHeight="true" customFormat="true" s="9">
      <c r="A1134" s="16">
        <v>45166</v>
      </c>
      <c r="B1134" s="17" t="s">
        <v>411</v>
      </c>
      <c r="C1134" s="17" t="s">
        <v>136</v>
      </c>
      <c r="D1134" s="17" t="s">
        <v>22</v>
      </c>
      <c r="E1134" s="17" t="s">
        <v>413</v>
      </c>
      <c r="F1134" s="17"/>
      <c r="G1134" s="18">
        <v>217.4200</v>
      </c>
      <c r="H1134" s="18">
        <v>0</v>
      </c>
      <c r="I1134" s="18">
        <f ca="1">((I1133 + G1134) - H1134)</f>
        <v>0</v>
      </c>
      <c r="J1134" s="18">
        <v>21.7400</v>
      </c>
      <c r="K1134" s="19">
        <v>10.0000</v>
      </c>
      <c r="L1134" s="17" t="s">
        <v>80</v>
      </c>
    </row>
    <row r="1135" ht="10.95" customHeight="true" customFormat="true" s="9">
      <c r="A1135" s="20" t="s">
        <v>414</v>
      </c>
      <c r="B1135" s="20"/>
      <c r="C1135" s="20"/>
      <c r="D1135" s="20"/>
      <c r="E1135" s="20"/>
      <c r="F1135" s="20"/>
      <c r="G1135" s="21">
        <f ca="1">SUM(G1132:G1134)</f>
        <v>0</v>
      </c>
      <c r="H1135" s="21">
        <f ca="1">SUM(H1132:H1134)</f>
        <v>0</v>
      </c>
      <c r="I1135" s="21">
        <f ca="1">I1134</f>
        <v>0</v>
      </c>
      <c r="J1135" s="21">
        <f ca="1">SUM(J1132:J1134)</f>
        <v>0</v>
      </c>
      <c r="K1135" s="20"/>
      <c r="L1135" s="20"/>
    </row>
    <row r="1136" ht="10.95" customHeight="true" customFormat="true" s="9">
      <c r="A1136" s="20" t="s">
        <v>53</v>
      </c>
      <c r="B1136" s="20"/>
      <c r="C1136" s="20"/>
      <c r="D1136" s="20"/>
      <c r="E1136" s="20"/>
      <c r="F1136" s="20"/>
      <c r="G1136" s="21">
        <v>5301.7900</v>
      </c>
      <c r="H1136" s="21">
        <v>0</v>
      </c>
      <c r="I1136" s="21">
        <v>0</v>
      </c>
      <c r="J1136" s="21">
        <v>0</v>
      </c>
      <c r="K1136" s="20"/>
      <c r="L1136" s="20"/>
    </row>
    <row r="1137" ht="10.95" customHeight="true" customFormat="true" s="9">
      <c r="A1137" s="10" t="s">
        <v>54</v>
      </c>
      <c r="B1137" s="10"/>
      <c r="C1137" s="10"/>
      <c r="D1137" s="10"/>
      <c r="E1137" s="10"/>
      <c r="F1137" s="10"/>
      <c r="G1137" s="11">
        <v>5301.7900</v>
      </c>
      <c r="H1137" s="11">
        <v>0</v>
      </c>
      <c r="I1137" s="11">
        <f ca="1">I1134</f>
        <v>0</v>
      </c>
      <c r="J1137" s="11">
        <v>0</v>
      </c>
      <c r="K1137" s="10"/>
      <c r="L1137" s="10"/>
    </row>
    <row r="1138" ht="13.35" customHeight="true"/>
    <row r="1139" ht="12.1" customHeight="true" customFormat="true" s="5">
      <c r="A1139" s="8" t="s">
        <v>415</v>
      </c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</row>
    <row r="1140" ht="10.95" customHeight="true" customFormat="true" s="9">
      <c r="A1140" s="10" t="s">
        <v>16</v>
      </c>
      <c r="B1140" s="10"/>
      <c r="C1140" s="10"/>
      <c r="D1140" s="10"/>
      <c r="E1140" s="10"/>
      <c r="F1140" s="10"/>
      <c r="G1140" s="11">
        <v>0</v>
      </c>
      <c r="H1140" s="11">
        <v>0</v>
      </c>
      <c r="I1140" s="11">
        <f ca="1">(G1140 - H1140)</f>
        <v>0</v>
      </c>
      <c r="J1140" s="11">
        <v>0</v>
      </c>
      <c r="K1140" s="10"/>
      <c r="L1140" s="10"/>
    </row>
    <row r="1141" ht="10.95" customHeight="true" customFormat="true" s="9">
      <c r="A1141" s="12">
        <v>45199</v>
      </c>
      <c r="B1141" s="13" t="s">
        <v>416</v>
      </c>
      <c r="C1141" s="13" t="s">
        <v>417</v>
      </c>
      <c r="D1141" s="13" t="s">
        <v>25</v>
      </c>
      <c r="E1141" s="13" t="s">
        <v>26</v>
      </c>
      <c r="F1141" s="13" t="s">
        <v>27</v>
      </c>
      <c r="G1141" s="14">
        <v>1638.0500</v>
      </c>
      <c r="H1141" s="14">
        <v>0</v>
      </c>
      <c r="I1141" s="14">
        <f ca="1">((I1140 + G1141) - H1141)</f>
        <v>0</v>
      </c>
      <c r="J1141" s="14">
        <v>0</v>
      </c>
      <c r="K1141" s="15">
        <v>0</v>
      </c>
      <c r="L1141" s="13" t="s">
        <v>28</v>
      </c>
    </row>
    <row r="1142" ht="10.95" customHeight="true" customFormat="true" s="9">
      <c r="A1142" s="16">
        <v>45291</v>
      </c>
      <c r="B1142" s="17" t="s">
        <v>416</v>
      </c>
      <c r="C1142" s="17" t="s">
        <v>417</v>
      </c>
      <c r="D1142" s="17" t="s">
        <v>25</v>
      </c>
      <c r="E1142" s="17" t="s">
        <v>31</v>
      </c>
      <c r="F1142" s="17" t="s">
        <v>32</v>
      </c>
      <c r="G1142" s="18">
        <v>0</v>
      </c>
      <c r="H1142" s="18">
        <v>11985.7100</v>
      </c>
      <c r="I1142" s="18">
        <f ca="1">((I1141 + G1142) - H1142)</f>
        <v>0</v>
      </c>
      <c r="J1142" s="18">
        <v>0</v>
      </c>
      <c r="K1142" s="19">
        <v>0</v>
      </c>
      <c r="L1142" s="17" t="s">
        <v>28</v>
      </c>
    </row>
    <row r="1143" ht="10.95" customHeight="true" customFormat="true" s="9">
      <c r="A1143" s="16">
        <v>45382</v>
      </c>
      <c r="B1143" s="17" t="s">
        <v>416</v>
      </c>
      <c r="C1143" s="17" t="s">
        <v>417</v>
      </c>
      <c r="D1143" s="17" t="s">
        <v>25</v>
      </c>
      <c r="E1143" s="17" t="s">
        <v>40</v>
      </c>
      <c r="F1143" s="17" t="s">
        <v>39</v>
      </c>
      <c r="G1143" s="18">
        <v>15465.3500</v>
      </c>
      <c r="H1143" s="18">
        <v>0</v>
      </c>
      <c r="I1143" s="18">
        <f ca="1">((I1142 + G1143) - H1143)</f>
        <v>0</v>
      </c>
      <c r="J1143" s="18">
        <v>0</v>
      </c>
      <c r="K1143" s="19">
        <v>0</v>
      </c>
      <c r="L1143" s="17" t="s">
        <v>28</v>
      </c>
    </row>
    <row r="1144" ht="10.95" customHeight="true" customFormat="true" s="9">
      <c r="A1144" s="16">
        <v>45473</v>
      </c>
      <c r="B1144" s="17" t="s">
        <v>416</v>
      </c>
      <c r="C1144" s="17" t="s">
        <v>417</v>
      </c>
      <c r="D1144" s="17" t="s">
        <v>25</v>
      </c>
      <c r="E1144" s="17" t="s">
        <v>49</v>
      </c>
      <c r="F1144" s="17" t="s">
        <v>50</v>
      </c>
      <c r="G1144" s="18">
        <v>3233.9700</v>
      </c>
      <c r="H1144" s="18">
        <v>0</v>
      </c>
      <c r="I1144" s="18">
        <f ca="1">((I1143 + G1144) - H1144)</f>
        <v>0</v>
      </c>
      <c r="J1144" s="18">
        <v>0</v>
      </c>
      <c r="K1144" s="19">
        <v>0</v>
      </c>
      <c r="L1144" s="17" t="s">
        <v>28</v>
      </c>
    </row>
    <row r="1145" ht="10.95" customHeight="true" customFormat="true" s="9">
      <c r="A1145" s="16">
        <v>45473</v>
      </c>
      <c r="B1145" s="17" t="s">
        <v>416</v>
      </c>
      <c r="C1145" s="17" t="s">
        <v>417</v>
      </c>
      <c r="D1145" s="17" t="s">
        <v>25</v>
      </c>
      <c r="E1145" s="17" t="s">
        <v>48</v>
      </c>
      <c r="F1145" s="17" t="s">
        <v>47</v>
      </c>
      <c r="G1145" s="18">
        <v>0</v>
      </c>
      <c r="H1145" s="18">
        <v>8351.6600</v>
      </c>
      <c r="I1145" s="18">
        <f ca="1">((I1144 + G1145) - H1145)</f>
        <v>0</v>
      </c>
      <c r="J1145" s="18">
        <v>0</v>
      </c>
      <c r="K1145" s="19">
        <v>0</v>
      </c>
      <c r="L1145" s="17" t="s">
        <v>28</v>
      </c>
    </row>
    <row r="1146" ht="10.95" customHeight="true" customFormat="true" s="9">
      <c r="A1146" s="20" t="s">
        <v>418</v>
      </c>
      <c r="B1146" s="20"/>
      <c r="C1146" s="20"/>
      <c r="D1146" s="20"/>
      <c r="E1146" s="20"/>
      <c r="F1146" s="20"/>
      <c r="G1146" s="21">
        <f ca="1">SUM(G1141:G1145)</f>
        <v>0</v>
      </c>
      <c r="H1146" s="21">
        <f ca="1">SUM(H1141:H1145)</f>
        <v>0</v>
      </c>
      <c r="I1146" s="21">
        <f ca="1">I1145</f>
        <v>0</v>
      </c>
      <c r="J1146" s="21">
        <f ca="1">SUM(J1141:J1145)</f>
        <v>0</v>
      </c>
      <c r="K1146" s="20"/>
      <c r="L1146" s="20"/>
    </row>
    <row r="1147" ht="10.95" customHeight="true" customFormat="true" s="9">
      <c r="A1147" s="20" t="s">
        <v>53</v>
      </c>
      <c r="B1147" s="20"/>
      <c r="C1147" s="20"/>
      <c r="D1147" s="20"/>
      <c r="E1147" s="20"/>
      <c r="F1147" s="20"/>
      <c r="G1147" s="21">
        <v>0</v>
      </c>
      <c r="H1147" s="21">
        <v>0</v>
      </c>
      <c r="I1147" s="21">
        <v>0</v>
      </c>
      <c r="J1147" s="21">
        <v>0</v>
      </c>
      <c r="K1147" s="20"/>
      <c r="L1147" s="20"/>
    </row>
    <row r="1148" ht="10.95" customHeight="true" customFormat="true" s="9">
      <c r="A1148" s="10" t="s">
        <v>54</v>
      </c>
      <c r="B1148" s="10"/>
      <c r="C1148" s="10"/>
      <c r="D1148" s="10"/>
      <c r="E1148" s="10"/>
      <c r="F1148" s="10"/>
      <c r="G1148" s="11">
        <v>0</v>
      </c>
      <c r="H1148" s="11">
        <v>0</v>
      </c>
      <c r="I1148" s="11">
        <f ca="1">I1145</f>
        <v>0</v>
      </c>
      <c r="J1148" s="11">
        <v>0</v>
      </c>
      <c r="K1148" s="10"/>
      <c r="L1148" s="10"/>
    </row>
    <row r="1149" ht="13.35" customHeight="true"/>
    <row r="1150" ht="12.1" customHeight="true" customFormat="true" s="5">
      <c r="A1150" s="8" t="s">
        <v>419</v>
      </c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</row>
    <row r="1151" ht="10.95" customHeight="true" customFormat="true" s="9">
      <c r="A1151" s="10" t="s">
        <v>16</v>
      </c>
      <c r="B1151" s="10"/>
      <c r="C1151" s="10"/>
      <c r="D1151" s="10"/>
      <c r="E1151" s="10"/>
      <c r="F1151" s="10"/>
      <c r="G1151" s="11">
        <v>100.0000</v>
      </c>
      <c r="H1151" s="11">
        <v>0</v>
      </c>
      <c r="I1151" s="11">
        <f ca="1">(G1151 - H1151)</f>
        <v>0</v>
      </c>
      <c r="J1151" s="11">
        <v>0</v>
      </c>
      <c r="K1151" s="10"/>
      <c r="L1151" s="10"/>
    </row>
    <row r="1152" ht="10.95" customHeight="true" customFormat="true" s="9">
      <c r="A1152" s="13"/>
      <c r="B1152" s="13" t="s">
        <v>420</v>
      </c>
      <c r="C1152" s="13" t="s">
        <v>417</v>
      </c>
      <c r="D1152" s="13"/>
      <c r="E1152" s="13" t="s">
        <v>421</v>
      </c>
      <c r="F1152" s="13"/>
      <c r="G1152" s="14">
        <v>0</v>
      </c>
      <c r="H1152" s="14">
        <v>0</v>
      </c>
      <c r="I1152" s="14">
        <f ca="1">((I1151 + G1152) - H1152)</f>
        <v>0</v>
      </c>
      <c r="J1152" s="14">
        <v>0</v>
      </c>
      <c r="K1152" s="15">
        <v>0</v>
      </c>
      <c r="L1152" s="13"/>
    </row>
    <row r="1153" ht="10.95" customHeight="true" customFormat="true" s="9">
      <c r="A1153" s="20" t="s">
        <v>422</v>
      </c>
      <c r="B1153" s="20"/>
      <c r="C1153" s="20"/>
      <c r="D1153" s="20"/>
      <c r="E1153" s="20"/>
      <c r="F1153" s="20"/>
      <c r="G1153" s="21">
        <f ca="1">G1152</f>
        <v>0</v>
      </c>
      <c r="H1153" s="21">
        <f ca="1">H1152</f>
        <v>0</v>
      </c>
      <c r="I1153" s="21">
        <f ca="1">I1152</f>
        <v>0</v>
      </c>
      <c r="J1153" s="21">
        <f ca="1">J1152</f>
        <v>0</v>
      </c>
      <c r="K1153" s="20"/>
      <c r="L1153" s="20"/>
    </row>
    <row r="1154" ht="10.95" customHeight="true" customFormat="true" s="9">
      <c r="A1154" s="20" t="s">
        <v>53</v>
      </c>
      <c r="B1154" s="20"/>
      <c r="C1154" s="20"/>
      <c r="D1154" s="20"/>
      <c r="E1154" s="20"/>
      <c r="F1154" s="20"/>
      <c r="G1154" s="21">
        <v>0</v>
      </c>
      <c r="H1154" s="21">
        <v>0</v>
      </c>
      <c r="I1154" s="21">
        <v>0</v>
      </c>
      <c r="J1154" s="21">
        <v>0</v>
      </c>
      <c r="K1154" s="20"/>
      <c r="L1154" s="20"/>
    </row>
    <row r="1155" ht="10.95" customHeight="true" customFormat="true" s="9">
      <c r="A1155" s="10" t="s">
        <v>54</v>
      </c>
      <c r="B1155" s="10"/>
      <c r="C1155" s="10"/>
      <c r="D1155" s="10"/>
      <c r="E1155" s="10"/>
      <c r="F1155" s="10"/>
      <c r="G1155" s="11">
        <v>100.0000</v>
      </c>
      <c r="H1155" s="11">
        <v>0</v>
      </c>
      <c r="I1155" s="11">
        <f ca="1">I1152</f>
        <v>0</v>
      </c>
      <c r="J1155" s="11">
        <v>0</v>
      </c>
      <c r="K1155" s="10"/>
      <c r="L1155" s="10"/>
    </row>
    <row r="1156" ht="13.35" customHeight="true"/>
    <row r="1157" ht="12.1" customHeight="true" customFormat="true" s="5">
      <c r="A1157" s="8" t="s">
        <v>423</v>
      </c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</row>
    <row r="1158" ht="10.95" customHeight="true" customFormat="true" s="9">
      <c r="A1158" s="10" t="s">
        <v>16</v>
      </c>
      <c r="B1158" s="10"/>
      <c r="C1158" s="10"/>
      <c r="D1158" s="10"/>
      <c r="E1158" s="10"/>
      <c r="F1158" s="10"/>
      <c r="G1158" s="11">
        <v>58020.2900</v>
      </c>
      <c r="H1158" s="11">
        <v>0</v>
      </c>
      <c r="I1158" s="11">
        <f ca="1">(G1158 - H1158)</f>
        <v>0</v>
      </c>
      <c r="J1158" s="11">
        <v>0</v>
      </c>
      <c r="K1158" s="10"/>
      <c r="L1158" s="10"/>
    </row>
    <row r="1159" ht="10.95" customHeight="true" customFormat="true" s="9">
      <c r="A1159" s="12">
        <v>45110</v>
      </c>
      <c r="B1159" s="13" t="s">
        <v>424</v>
      </c>
      <c r="C1159" s="13" t="s">
        <v>425</v>
      </c>
      <c r="D1159" s="13" t="s">
        <v>22</v>
      </c>
      <c r="E1159" s="13" t="s">
        <v>426</v>
      </c>
      <c r="F1159" s="13" t="s">
        <v>427</v>
      </c>
      <c r="G1159" s="14">
        <v>0</v>
      </c>
      <c r="H1159" s="14">
        <v>487.0000</v>
      </c>
      <c r="I1159" s="14">
        <f ca="1">((I1158 + G1159) - H1159)</f>
        <v>0</v>
      </c>
      <c r="J1159" s="14">
        <v>0</v>
      </c>
      <c r="K1159" s="15">
        <v>0</v>
      </c>
      <c r="L1159" s="13"/>
    </row>
    <row r="1160" ht="10.95" customHeight="true" customFormat="true" s="9">
      <c r="A1160" s="16">
        <v>45110</v>
      </c>
      <c r="B1160" s="17" t="s">
        <v>424</v>
      </c>
      <c r="C1160" s="17" t="s">
        <v>425</v>
      </c>
      <c r="D1160" s="17" t="s">
        <v>22</v>
      </c>
      <c r="E1160" s="17" t="s">
        <v>426</v>
      </c>
      <c r="F1160" s="17" t="s">
        <v>427</v>
      </c>
      <c r="G1160" s="18">
        <v>0</v>
      </c>
      <c r="H1160" s="18">
        <v>1000.0000</v>
      </c>
      <c r="I1160" s="18">
        <f ca="1">((I1159 + G1160) - H1160)</f>
        <v>0</v>
      </c>
      <c r="J1160" s="18">
        <v>0</v>
      </c>
      <c r="K1160" s="19">
        <v>0</v>
      </c>
      <c r="L1160" s="17"/>
    </row>
    <row r="1161" ht="10.95" customHeight="true" customFormat="true" s="9">
      <c r="A1161" s="16">
        <v>45110</v>
      </c>
      <c r="B1161" s="17" t="s">
        <v>424</v>
      </c>
      <c r="C1161" s="17" t="s">
        <v>425</v>
      </c>
      <c r="D1161" s="17" t="s">
        <v>19</v>
      </c>
      <c r="E1161" s="17" t="s">
        <v>428</v>
      </c>
      <c r="F1161" s="17"/>
      <c r="G1161" s="18">
        <v>2741.1000</v>
      </c>
      <c r="H1161" s="18">
        <v>0</v>
      </c>
      <c r="I1161" s="18">
        <f ca="1">((I1160 + G1161) - H1161)</f>
        <v>0</v>
      </c>
      <c r="J1161" s="18">
        <v>0</v>
      </c>
      <c r="K1161" s="19">
        <v>0</v>
      </c>
      <c r="L1161" s="17"/>
    </row>
    <row r="1162" ht="10.95" customHeight="true" customFormat="true" s="9">
      <c r="A1162" s="16">
        <v>45110</v>
      </c>
      <c r="B1162" s="17" t="s">
        <v>424</v>
      </c>
      <c r="C1162" s="17" t="s">
        <v>425</v>
      </c>
      <c r="D1162" s="17" t="s">
        <v>22</v>
      </c>
      <c r="E1162" s="17" t="s">
        <v>426</v>
      </c>
      <c r="F1162" s="17" t="s">
        <v>427</v>
      </c>
      <c r="G1162" s="18">
        <v>0</v>
      </c>
      <c r="H1162" s="18">
        <v>590.0000</v>
      </c>
      <c r="I1162" s="18">
        <f ca="1">((I1161 + G1162) - H1162)</f>
        <v>0</v>
      </c>
      <c r="J1162" s="18">
        <v>0</v>
      </c>
      <c r="K1162" s="19">
        <v>0</v>
      </c>
      <c r="L1162" s="17"/>
    </row>
    <row r="1163" ht="10.95" customHeight="true" customFormat="true" s="9">
      <c r="A1163" s="16">
        <v>45110</v>
      </c>
      <c r="B1163" s="17" t="s">
        <v>424</v>
      </c>
      <c r="C1163" s="17" t="s">
        <v>425</v>
      </c>
      <c r="D1163" s="17" t="s">
        <v>19</v>
      </c>
      <c r="E1163" s="17" t="s">
        <v>428</v>
      </c>
      <c r="F1163" s="17"/>
      <c r="G1163" s="18">
        <v>5749.4000</v>
      </c>
      <c r="H1163" s="18">
        <v>0</v>
      </c>
      <c r="I1163" s="18">
        <f ca="1">((I1162 + G1163) - H1163)</f>
        <v>0</v>
      </c>
      <c r="J1163" s="18">
        <v>0</v>
      </c>
      <c r="K1163" s="19">
        <v>0</v>
      </c>
      <c r="L1163" s="17"/>
    </row>
    <row r="1164" ht="10.95" customHeight="true" customFormat="true" s="9">
      <c r="A1164" s="16">
        <v>45110</v>
      </c>
      <c r="B1164" s="17" t="s">
        <v>424</v>
      </c>
      <c r="C1164" s="17" t="s">
        <v>425</v>
      </c>
      <c r="D1164" s="17" t="s">
        <v>22</v>
      </c>
      <c r="E1164" s="17" t="s">
        <v>426</v>
      </c>
      <c r="F1164" s="17" t="s">
        <v>427</v>
      </c>
      <c r="G1164" s="18">
        <v>0</v>
      </c>
      <c r="H1164" s="18">
        <v>674.5000</v>
      </c>
      <c r="I1164" s="18">
        <f ca="1">((I1163 + G1164) - H1164)</f>
        <v>0</v>
      </c>
      <c r="J1164" s="18">
        <v>0</v>
      </c>
      <c r="K1164" s="19">
        <v>0</v>
      </c>
      <c r="L1164" s="17"/>
    </row>
    <row r="1165" ht="10.95" customHeight="true" customFormat="true" s="9">
      <c r="A1165" s="16">
        <v>45110</v>
      </c>
      <c r="B1165" s="17" t="s">
        <v>424</v>
      </c>
      <c r="C1165" s="17" t="s">
        <v>425</v>
      </c>
      <c r="D1165" s="17" t="s">
        <v>22</v>
      </c>
      <c r="E1165" s="17" t="s">
        <v>426</v>
      </c>
      <c r="F1165" s="17" t="s">
        <v>427</v>
      </c>
      <c r="G1165" s="18">
        <v>0</v>
      </c>
      <c r="H1165" s="18">
        <v>1158.1500</v>
      </c>
      <c r="I1165" s="18">
        <f ca="1">((I1164 + G1165) - H1165)</f>
        <v>0</v>
      </c>
      <c r="J1165" s="18">
        <v>0</v>
      </c>
      <c r="K1165" s="19">
        <v>0</v>
      </c>
      <c r="L1165" s="17"/>
    </row>
    <row r="1166" ht="10.95" customHeight="true" customFormat="true" s="9">
      <c r="A1166" s="16">
        <v>45110</v>
      </c>
      <c r="B1166" s="17" t="s">
        <v>424</v>
      </c>
      <c r="C1166" s="17" t="s">
        <v>425</v>
      </c>
      <c r="D1166" s="17" t="s">
        <v>19</v>
      </c>
      <c r="E1166" s="17" t="s">
        <v>428</v>
      </c>
      <c r="F1166" s="17"/>
      <c r="G1166" s="18">
        <v>5255.6000</v>
      </c>
      <c r="H1166" s="18">
        <v>0</v>
      </c>
      <c r="I1166" s="18">
        <f ca="1">((I1165 + G1166) - H1166)</f>
        <v>0</v>
      </c>
      <c r="J1166" s="18">
        <v>0</v>
      </c>
      <c r="K1166" s="19">
        <v>0</v>
      </c>
      <c r="L1166" s="17"/>
    </row>
    <row r="1167" ht="10.95" customHeight="true" customFormat="true" s="9">
      <c r="A1167" s="16">
        <v>45110</v>
      </c>
      <c r="B1167" s="17" t="s">
        <v>424</v>
      </c>
      <c r="C1167" s="17" t="s">
        <v>425</v>
      </c>
      <c r="D1167" s="17" t="s">
        <v>22</v>
      </c>
      <c r="E1167" s="17" t="s">
        <v>429</v>
      </c>
      <c r="F1167" s="17"/>
      <c r="G1167" s="18">
        <v>0</v>
      </c>
      <c r="H1167" s="18">
        <v>3169.3800</v>
      </c>
      <c r="I1167" s="18">
        <f ca="1">((I1166 + G1167) - H1167)</f>
        <v>0</v>
      </c>
      <c r="J1167" s="18">
        <v>0</v>
      </c>
      <c r="K1167" s="19">
        <v>0</v>
      </c>
      <c r="L1167" s="17"/>
    </row>
    <row r="1168" ht="10.95" customHeight="true" customFormat="true" s="9">
      <c r="A1168" s="16">
        <v>45110</v>
      </c>
      <c r="B1168" s="17" t="s">
        <v>424</v>
      </c>
      <c r="C1168" s="17" t="s">
        <v>425</v>
      </c>
      <c r="D1168" s="17" t="s">
        <v>22</v>
      </c>
      <c r="E1168" s="17" t="s">
        <v>426</v>
      </c>
      <c r="F1168" s="17" t="s">
        <v>427</v>
      </c>
      <c r="G1168" s="18">
        <v>0</v>
      </c>
      <c r="H1168" s="18">
        <v>126.0000</v>
      </c>
      <c r="I1168" s="18">
        <f ca="1">((I1167 + G1168) - H1168)</f>
        <v>0</v>
      </c>
      <c r="J1168" s="18">
        <v>0</v>
      </c>
      <c r="K1168" s="19">
        <v>0</v>
      </c>
      <c r="L1168" s="17"/>
    </row>
    <row r="1169" ht="10.95" customHeight="true" customFormat="true" s="9">
      <c r="A1169" s="16">
        <v>45110</v>
      </c>
      <c r="B1169" s="17" t="s">
        <v>424</v>
      </c>
      <c r="C1169" s="17" t="s">
        <v>425</v>
      </c>
      <c r="D1169" s="17" t="s">
        <v>22</v>
      </c>
      <c r="E1169" s="17" t="s">
        <v>34</v>
      </c>
      <c r="F1169" s="17"/>
      <c r="G1169" s="18">
        <v>0</v>
      </c>
      <c r="H1169" s="18">
        <v>1900.0000</v>
      </c>
      <c r="I1169" s="18">
        <f ca="1">((I1168 + G1169) - H1169)</f>
        <v>0</v>
      </c>
      <c r="J1169" s="18">
        <v>0</v>
      </c>
      <c r="K1169" s="19">
        <v>0</v>
      </c>
      <c r="L1169" s="17"/>
    </row>
    <row r="1170" ht="10.95" customHeight="true" customFormat="true" s="9">
      <c r="A1170" s="16">
        <v>45110</v>
      </c>
      <c r="B1170" s="17" t="s">
        <v>424</v>
      </c>
      <c r="C1170" s="17" t="s">
        <v>425</v>
      </c>
      <c r="D1170" s="17" t="s">
        <v>22</v>
      </c>
      <c r="E1170" s="17" t="s">
        <v>426</v>
      </c>
      <c r="F1170" s="17" t="s">
        <v>427</v>
      </c>
      <c r="G1170" s="18">
        <v>0</v>
      </c>
      <c r="H1170" s="18">
        <v>201.8800</v>
      </c>
      <c r="I1170" s="18">
        <f ca="1">((I1169 + G1170) - H1170)</f>
        <v>0</v>
      </c>
      <c r="J1170" s="18">
        <v>0</v>
      </c>
      <c r="K1170" s="19">
        <v>0</v>
      </c>
      <c r="L1170" s="17"/>
    </row>
    <row r="1171" ht="10.95" customHeight="true" customFormat="true" s="9">
      <c r="A1171" s="16">
        <v>45110</v>
      </c>
      <c r="B1171" s="17" t="s">
        <v>424</v>
      </c>
      <c r="C1171" s="17" t="s">
        <v>425</v>
      </c>
      <c r="D1171" s="17" t="s">
        <v>22</v>
      </c>
      <c r="E1171" s="17" t="s">
        <v>430</v>
      </c>
      <c r="F1171" s="17"/>
      <c r="G1171" s="18">
        <v>0</v>
      </c>
      <c r="H1171" s="18">
        <v>2436.5700</v>
      </c>
      <c r="I1171" s="18">
        <f ca="1">((I1170 + G1171) - H1171)</f>
        <v>0</v>
      </c>
      <c r="J1171" s="18">
        <v>0</v>
      </c>
      <c r="K1171" s="19">
        <v>0</v>
      </c>
      <c r="L1171" s="17"/>
    </row>
    <row r="1172" ht="10.95" customHeight="true" customFormat="true" s="9">
      <c r="A1172" s="16">
        <v>45111</v>
      </c>
      <c r="B1172" s="17" t="s">
        <v>424</v>
      </c>
      <c r="C1172" s="17" t="s">
        <v>425</v>
      </c>
      <c r="D1172" s="17" t="s">
        <v>22</v>
      </c>
      <c r="E1172" s="17" t="s">
        <v>431</v>
      </c>
      <c r="F1172" s="17"/>
      <c r="G1172" s="18">
        <v>0</v>
      </c>
      <c r="H1172" s="18">
        <v>2.6900</v>
      </c>
      <c r="I1172" s="18">
        <f ca="1">((I1171 + G1172) - H1172)</f>
        <v>0</v>
      </c>
      <c r="J1172" s="18">
        <v>0</v>
      </c>
      <c r="K1172" s="19">
        <v>0</v>
      </c>
      <c r="L1172" s="17"/>
    </row>
    <row r="1173" ht="10.95" customHeight="true" customFormat="true" s="9">
      <c r="A1173" s="16">
        <v>45111</v>
      </c>
      <c r="B1173" s="17" t="s">
        <v>424</v>
      </c>
      <c r="C1173" s="17" t="s">
        <v>425</v>
      </c>
      <c r="D1173" s="17" t="s">
        <v>22</v>
      </c>
      <c r="E1173" s="17" t="s">
        <v>431</v>
      </c>
      <c r="F1173" s="17"/>
      <c r="G1173" s="18">
        <v>0</v>
      </c>
      <c r="H1173" s="18">
        <v>65.0000</v>
      </c>
      <c r="I1173" s="18">
        <f ca="1">((I1172 + G1173) - H1173)</f>
        <v>0</v>
      </c>
      <c r="J1173" s="18">
        <v>0</v>
      </c>
      <c r="K1173" s="19">
        <v>0</v>
      </c>
      <c r="L1173" s="17"/>
    </row>
    <row r="1174" ht="10.95" customHeight="true" customFormat="true" s="9">
      <c r="A1174" s="16">
        <v>45112</v>
      </c>
      <c r="B1174" s="17" t="s">
        <v>424</v>
      </c>
      <c r="C1174" s="17" t="s">
        <v>425</v>
      </c>
      <c r="D1174" s="17" t="s">
        <v>19</v>
      </c>
      <c r="E1174" s="17" t="s">
        <v>428</v>
      </c>
      <c r="F1174" s="17"/>
      <c r="G1174" s="18">
        <v>2518.0000</v>
      </c>
      <c r="H1174" s="18">
        <v>0</v>
      </c>
      <c r="I1174" s="18">
        <f ca="1">((I1173 + G1174) - H1174)</f>
        <v>0</v>
      </c>
      <c r="J1174" s="18">
        <v>0</v>
      </c>
      <c r="K1174" s="19">
        <v>0</v>
      </c>
      <c r="L1174" s="17"/>
    </row>
    <row r="1175" ht="10.95" customHeight="true" customFormat="true" s="9">
      <c r="A1175" s="16">
        <v>45113</v>
      </c>
      <c r="B1175" s="17" t="s">
        <v>424</v>
      </c>
      <c r="C1175" s="17" t="s">
        <v>425</v>
      </c>
      <c r="D1175" s="17" t="s">
        <v>19</v>
      </c>
      <c r="E1175" s="17" t="s">
        <v>428</v>
      </c>
      <c r="F1175" s="17"/>
      <c r="G1175" s="18">
        <v>2508.1500</v>
      </c>
      <c r="H1175" s="18">
        <v>0</v>
      </c>
      <c r="I1175" s="18">
        <f ca="1">((I1174 + G1175) - H1175)</f>
        <v>0</v>
      </c>
      <c r="J1175" s="18">
        <v>0</v>
      </c>
      <c r="K1175" s="19">
        <v>0</v>
      </c>
      <c r="L1175" s="17"/>
    </row>
    <row r="1176" ht="10.95" customHeight="true" customFormat="true" s="9">
      <c r="A1176" s="16">
        <v>45114</v>
      </c>
      <c r="B1176" s="17" t="s">
        <v>424</v>
      </c>
      <c r="C1176" s="17" t="s">
        <v>425</v>
      </c>
      <c r="D1176" s="17" t="s">
        <v>19</v>
      </c>
      <c r="E1176" s="17" t="s">
        <v>428</v>
      </c>
      <c r="F1176" s="17"/>
      <c r="G1176" s="18">
        <v>2938.6000</v>
      </c>
      <c r="H1176" s="18">
        <v>0</v>
      </c>
      <c r="I1176" s="18">
        <f ca="1">((I1175 + G1176) - H1176)</f>
        <v>0</v>
      </c>
      <c r="J1176" s="18">
        <v>0</v>
      </c>
      <c r="K1176" s="19">
        <v>0</v>
      </c>
      <c r="L1176" s="17"/>
    </row>
    <row r="1177" ht="10.95" customHeight="true" customFormat="true" s="9">
      <c r="A1177" s="16">
        <v>45117</v>
      </c>
      <c r="B1177" s="17" t="s">
        <v>424</v>
      </c>
      <c r="C1177" s="17" t="s">
        <v>425</v>
      </c>
      <c r="D1177" s="17" t="s">
        <v>19</v>
      </c>
      <c r="E1177" s="17" t="s">
        <v>428</v>
      </c>
      <c r="F1177" s="17"/>
      <c r="G1177" s="18">
        <v>2711.6200</v>
      </c>
      <c r="H1177" s="18">
        <v>0</v>
      </c>
      <c r="I1177" s="18">
        <f ca="1">((I1176 + G1177) - H1177)</f>
        <v>0</v>
      </c>
      <c r="J1177" s="18">
        <v>0</v>
      </c>
      <c r="K1177" s="19">
        <v>0</v>
      </c>
      <c r="L1177" s="17"/>
    </row>
    <row r="1178" ht="10.95" customHeight="true" customFormat="true" s="9">
      <c r="A1178" s="16">
        <v>45117</v>
      </c>
      <c r="B1178" s="17" t="s">
        <v>424</v>
      </c>
      <c r="C1178" s="17" t="s">
        <v>425</v>
      </c>
      <c r="D1178" s="17" t="s">
        <v>22</v>
      </c>
      <c r="E1178" s="17" t="s">
        <v>430</v>
      </c>
      <c r="F1178" s="17"/>
      <c r="G1178" s="18">
        <v>0</v>
      </c>
      <c r="H1178" s="18">
        <v>1717.5800</v>
      </c>
      <c r="I1178" s="18">
        <f ca="1">((I1177 + G1178) - H1178)</f>
        <v>0</v>
      </c>
      <c r="J1178" s="18">
        <v>0</v>
      </c>
      <c r="K1178" s="19">
        <v>0</v>
      </c>
      <c r="L1178" s="17"/>
    </row>
    <row r="1179" ht="10.95" customHeight="true" customFormat="true" s="9">
      <c r="A1179" s="16">
        <v>45117</v>
      </c>
      <c r="B1179" s="17" t="s">
        <v>424</v>
      </c>
      <c r="C1179" s="17" t="s">
        <v>425</v>
      </c>
      <c r="D1179" s="17" t="s">
        <v>22</v>
      </c>
      <c r="E1179" s="17" t="s">
        <v>426</v>
      </c>
      <c r="F1179" s="17" t="s">
        <v>432</v>
      </c>
      <c r="G1179" s="18">
        <v>0</v>
      </c>
      <c r="H1179" s="18">
        <v>594.5800</v>
      </c>
      <c r="I1179" s="18">
        <f ca="1">((I1178 + G1179) - H1179)</f>
        <v>0</v>
      </c>
      <c r="J1179" s="18">
        <v>0</v>
      </c>
      <c r="K1179" s="19">
        <v>0</v>
      </c>
      <c r="L1179" s="17"/>
    </row>
    <row r="1180" ht="10.95" customHeight="true" customFormat="true" s="9">
      <c r="A1180" s="16">
        <v>45117</v>
      </c>
      <c r="B1180" s="17" t="s">
        <v>424</v>
      </c>
      <c r="C1180" s="17" t="s">
        <v>425</v>
      </c>
      <c r="D1180" s="17" t="s">
        <v>22</v>
      </c>
      <c r="E1180" s="17" t="s">
        <v>426</v>
      </c>
      <c r="F1180" s="17" t="s">
        <v>432</v>
      </c>
      <c r="G1180" s="18">
        <v>0</v>
      </c>
      <c r="H1180" s="18">
        <v>674.5000</v>
      </c>
      <c r="I1180" s="18">
        <f ca="1">((I1179 + G1180) - H1180)</f>
        <v>0</v>
      </c>
      <c r="J1180" s="18">
        <v>0</v>
      </c>
      <c r="K1180" s="19">
        <v>0</v>
      </c>
      <c r="L1180" s="17"/>
    </row>
    <row r="1181" ht="10.95" customHeight="true" customFormat="true" s="9">
      <c r="A1181" s="16">
        <v>45117</v>
      </c>
      <c r="B1181" s="17" t="s">
        <v>424</v>
      </c>
      <c r="C1181" s="17" t="s">
        <v>425</v>
      </c>
      <c r="D1181" s="17" t="s">
        <v>22</v>
      </c>
      <c r="E1181" s="17" t="s">
        <v>433</v>
      </c>
      <c r="F1181" s="17"/>
      <c r="G1181" s="18">
        <v>0</v>
      </c>
      <c r="H1181" s="18">
        <v>853.7500</v>
      </c>
      <c r="I1181" s="18">
        <f ca="1">((I1180 + G1181) - H1181)</f>
        <v>0</v>
      </c>
      <c r="J1181" s="18">
        <v>0</v>
      </c>
      <c r="K1181" s="19">
        <v>0</v>
      </c>
      <c r="L1181" s="17"/>
    </row>
    <row r="1182" ht="10.95" customHeight="true" customFormat="true" s="9">
      <c r="A1182" s="16">
        <v>45117</v>
      </c>
      <c r="B1182" s="17" t="s">
        <v>424</v>
      </c>
      <c r="C1182" s="17" t="s">
        <v>425</v>
      </c>
      <c r="D1182" s="17" t="s">
        <v>22</v>
      </c>
      <c r="E1182" s="17" t="s">
        <v>426</v>
      </c>
      <c r="F1182" s="17" t="s">
        <v>432</v>
      </c>
      <c r="G1182" s="18">
        <v>0</v>
      </c>
      <c r="H1182" s="18">
        <v>264.0000</v>
      </c>
      <c r="I1182" s="18">
        <f ca="1">((I1181 + G1182) - H1182)</f>
        <v>0</v>
      </c>
      <c r="J1182" s="18">
        <v>0</v>
      </c>
      <c r="K1182" s="19">
        <v>0</v>
      </c>
      <c r="L1182" s="17"/>
    </row>
    <row r="1183" ht="10.95" customHeight="true" customFormat="true" s="9">
      <c r="A1183" s="16">
        <v>45117</v>
      </c>
      <c r="B1183" s="17" t="s">
        <v>424</v>
      </c>
      <c r="C1183" s="17" t="s">
        <v>425</v>
      </c>
      <c r="D1183" s="17" t="s">
        <v>22</v>
      </c>
      <c r="E1183" s="17" t="s">
        <v>426</v>
      </c>
      <c r="F1183" s="17" t="s">
        <v>432</v>
      </c>
      <c r="G1183" s="18">
        <v>0</v>
      </c>
      <c r="H1183" s="18">
        <v>2000.0000</v>
      </c>
      <c r="I1183" s="18">
        <f ca="1">((I1182 + G1183) - H1183)</f>
        <v>0</v>
      </c>
      <c r="J1183" s="18">
        <v>0</v>
      </c>
      <c r="K1183" s="19">
        <v>0</v>
      </c>
      <c r="L1183" s="17"/>
    </row>
    <row r="1184" ht="10.95" customHeight="true" customFormat="true" s="9">
      <c r="A1184" s="16">
        <v>45117</v>
      </c>
      <c r="B1184" s="17" t="s">
        <v>424</v>
      </c>
      <c r="C1184" s="17" t="s">
        <v>425</v>
      </c>
      <c r="D1184" s="17" t="s">
        <v>22</v>
      </c>
      <c r="E1184" s="17" t="s">
        <v>434</v>
      </c>
      <c r="F1184" s="17"/>
      <c r="G1184" s="18">
        <v>0</v>
      </c>
      <c r="H1184" s="18">
        <v>448.6000</v>
      </c>
      <c r="I1184" s="18">
        <f ca="1">((I1183 + G1184) - H1184)</f>
        <v>0</v>
      </c>
      <c r="J1184" s="18">
        <v>0</v>
      </c>
      <c r="K1184" s="19">
        <v>0</v>
      </c>
      <c r="L1184" s="17"/>
    </row>
    <row r="1185" ht="10.95" customHeight="true" customFormat="true" s="9">
      <c r="A1185" s="16">
        <v>45117</v>
      </c>
      <c r="B1185" s="17" t="s">
        <v>424</v>
      </c>
      <c r="C1185" s="17" t="s">
        <v>425</v>
      </c>
      <c r="D1185" s="17" t="s">
        <v>19</v>
      </c>
      <c r="E1185" s="17" t="s">
        <v>428</v>
      </c>
      <c r="F1185" s="17"/>
      <c r="G1185" s="18">
        <v>4578.4500</v>
      </c>
      <c r="H1185" s="18">
        <v>0</v>
      </c>
      <c r="I1185" s="18">
        <f ca="1">((I1184 + G1185) - H1185)</f>
        <v>0</v>
      </c>
      <c r="J1185" s="18">
        <v>0</v>
      </c>
      <c r="K1185" s="19">
        <v>0</v>
      </c>
      <c r="L1185" s="17"/>
    </row>
    <row r="1186" ht="10.95" customHeight="true" customFormat="true" s="9">
      <c r="A1186" s="16">
        <v>45117</v>
      </c>
      <c r="B1186" s="17" t="s">
        <v>424</v>
      </c>
      <c r="C1186" s="17" t="s">
        <v>425</v>
      </c>
      <c r="D1186" s="17" t="s">
        <v>22</v>
      </c>
      <c r="E1186" s="17" t="s">
        <v>430</v>
      </c>
      <c r="F1186" s="17"/>
      <c r="G1186" s="18">
        <v>0</v>
      </c>
      <c r="H1186" s="18">
        <v>1517.8700</v>
      </c>
      <c r="I1186" s="18">
        <f ca="1">((I1185 + G1186) - H1186)</f>
        <v>0</v>
      </c>
      <c r="J1186" s="18">
        <v>0</v>
      </c>
      <c r="K1186" s="19">
        <v>0</v>
      </c>
      <c r="L1186" s="17"/>
    </row>
    <row r="1187" ht="10.95" customHeight="true" customFormat="true" s="9">
      <c r="A1187" s="16">
        <v>45117</v>
      </c>
      <c r="B1187" s="17" t="s">
        <v>424</v>
      </c>
      <c r="C1187" s="17" t="s">
        <v>425</v>
      </c>
      <c r="D1187" s="17" t="s">
        <v>22</v>
      </c>
      <c r="E1187" s="17" t="s">
        <v>426</v>
      </c>
      <c r="F1187" s="17" t="s">
        <v>432</v>
      </c>
      <c r="G1187" s="18">
        <v>0</v>
      </c>
      <c r="H1187" s="18">
        <v>264.0000</v>
      </c>
      <c r="I1187" s="18">
        <f ca="1">((I1186 + G1187) - H1187)</f>
        <v>0</v>
      </c>
      <c r="J1187" s="18">
        <v>0</v>
      </c>
      <c r="K1187" s="19">
        <v>0</v>
      </c>
      <c r="L1187" s="17"/>
    </row>
    <row r="1188" ht="10.95" customHeight="true" customFormat="true" s="9">
      <c r="A1188" s="16">
        <v>45117</v>
      </c>
      <c r="B1188" s="17" t="s">
        <v>424</v>
      </c>
      <c r="C1188" s="17" t="s">
        <v>425</v>
      </c>
      <c r="D1188" s="17" t="s">
        <v>22</v>
      </c>
      <c r="E1188" s="17" t="s">
        <v>426</v>
      </c>
      <c r="F1188" s="17" t="s">
        <v>432</v>
      </c>
      <c r="G1188" s="18">
        <v>0</v>
      </c>
      <c r="H1188" s="18">
        <v>126.0000</v>
      </c>
      <c r="I1188" s="18">
        <f ca="1">((I1187 + G1188) - H1188)</f>
        <v>0</v>
      </c>
      <c r="J1188" s="18">
        <v>0</v>
      </c>
      <c r="K1188" s="19">
        <v>0</v>
      </c>
      <c r="L1188" s="17"/>
    </row>
    <row r="1189" ht="10.95" customHeight="true" customFormat="true" s="9">
      <c r="A1189" s="16">
        <v>45117</v>
      </c>
      <c r="B1189" s="17" t="s">
        <v>424</v>
      </c>
      <c r="C1189" s="17" t="s">
        <v>425</v>
      </c>
      <c r="D1189" s="17" t="s">
        <v>22</v>
      </c>
      <c r="E1189" s="17" t="s">
        <v>426</v>
      </c>
      <c r="F1189" s="17" t="s">
        <v>432</v>
      </c>
      <c r="G1189" s="18">
        <v>0</v>
      </c>
      <c r="H1189" s="18">
        <v>1158.1500</v>
      </c>
      <c r="I1189" s="18">
        <f ca="1">((I1188 + G1189) - H1189)</f>
        <v>0</v>
      </c>
      <c r="J1189" s="18">
        <v>0</v>
      </c>
      <c r="K1189" s="19">
        <v>0</v>
      </c>
      <c r="L1189" s="17"/>
    </row>
    <row r="1190" ht="10.95" customHeight="true" customFormat="true" s="9">
      <c r="A1190" s="16">
        <v>45117</v>
      </c>
      <c r="B1190" s="17" t="s">
        <v>424</v>
      </c>
      <c r="C1190" s="17" t="s">
        <v>425</v>
      </c>
      <c r="D1190" s="17" t="s">
        <v>22</v>
      </c>
      <c r="E1190" s="17" t="s">
        <v>34</v>
      </c>
      <c r="F1190" s="17"/>
      <c r="G1190" s="18">
        <v>0</v>
      </c>
      <c r="H1190" s="18">
        <v>1550.0000</v>
      </c>
      <c r="I1190" s="18">
        <f ca="1">((I1189 + G1190) - H1190)</f>
        <v>0</v>
      </c>
      <c r="J1190" s="18">
        <v>0</v>
      </c>
      <c r="K1190" s="19">
        <v>0</v>
      </c>
      <c r="L1190" s="17"/>
    </row>
    <row r="1191" ht="10.95" customHeight="true" customFormat="true" s="9">
      <c r="A1191" s="16">
        <v>45117</v>
      </c>
      <c r="B1191" s="17" t="s">
        <v>424</v>
      </c>
      <c r="C1191" s="17" t="s">
        <v>425</v>
      </c>
      <c r="D1191" s="17" t="s">
        <v>19</v>
      </c>
      <c r="E1191" s="17" t="s">
        <v>428</v>
      </c>
      <c r="F1191" s="17"/>
      <c r="G1191" s="18">
        <v>6052.2000</v>
      </c>
      <c r="H1191" s="18">
        <v>0</v>
      </c>
      <c r="I1191" s="18">
        <f ca="1">((I1190 + G1191) - H1191)</f>
        <v>0</v>
      </c>
      <c r="J1191" s="18">
        <v>0</v>
      </c>
      <c r="K1191" s="19">
        <v>0</v>
      </c>
      <c r="L1191" s="17"/>
    </row>
    <row r="1192" ht="10.95" customHeight="true" customFormat="true" s="9">
      <c r="A1192" s="16">
        <v>45117</v>
      </c>
      <c r="B1192" s="17" t="s">
        <v>424</v>
      </c>
      <c r="C1192" s="17" t="s">
        <v>425</v>
      </c>
      <c r="D1192" s="17" t="s">
        <v>22</v>
      </c>
      <c r="E1192" s="17" t="s">
        <v>434</v>
      </c>
      <c r="F1192" s="17"/>
      <c r="G1192" s="18">
        <v>0</v>
      </c>
      <c r="H1192" s="18">
        <v>225.7100</v>
      </c>
      <c r="I1192" s="18">
        <f ca="1">((I1191 + G1192) - H1192)</f>
        <v>0</v>
      </c>
      <c r="J1192" s="18">
        <v>0</v>
      </c>
      <c r="K1192" s="19">
        <v>0</v>
      </c>
      <c r="L1192" s="17"/>
    </row>
    <row r="1193" ht="10.95" customHeight="true" customFormat="true" s="9">
      <c r="A1193" s="16">
        <v>45118</v>
      </c>
      <c r="B1193" s="17" t="s">
        <v>424</v>
      </c>
      <c r="C1193" s="17" t="s">
        <v>425</v>
      </c>
      <c r="D1193" s="17" t="s">
        <v>22</v>
      </c>
      <c r="E1193" s="17" t="s">
        <v>298</v>
      </c>
      <c r="F1193" s="17"/>
      <c r="G1193" s="18">
        <v>0</v>
      </c>
      <c r="H1193" s="18">
        <v>5983.9500</v>
      </c>
      <c r="I1193" s="18">
        <f ca="1">((I1192 + G1193) - H1193)</f>
        <v>0</v>
      </c>
      <c r="J1193" s="18">
        <v>0</v>
      </c>
      <c r="K1193" s="19">
        <v>0</v>
      </c>
      <c r="L1193" s="17"/>
    </row>
    <row r="1194" ht="10.95" customHeight="true" customFormat="true" s="9">
      <c r="A1194" s="16">
        <v>45118</v>
      </c>
      <c r="B1194" s="17" t="s">
        <v>424</v>
      </c>
      <c r="C1194" s="17" t="s">
        <v>425</v>
      </c>
      <c r="D1194" s="17" t="s">
        <v>22</v>
      </c>
      <c r="E1194" s="17" t="s">
        <v>430</v>
      </c>
      <c r="F1194" s="17"/>
      <c r="G1194" s="18">
        <v>0</v>
      </c>
      <c r="H1194" s="18">
        <v>1564.1500</v>
      </c>
      <c r="I1194" s="18">
        <f ca="1">((I1193 + G1194) - H1194)</f>
        <v>0</v>
      </c>
      <c r="J1194" s="18">
        <v>0</v>
      </c>
      <c r="K1194" s="19">
        <v>0</v>
      </c>
      <c r="L1194" s="17"/>
    </row>
    <row r="1195" ht="10.95" customHeight="true" customFormat="true" s="9">
      <c r="A1195" s="16">
        <v>45119</v>
      </c>
      <c r="B1195" s="17" t="s">
        <v>424</v>
      </c>
      <c r="C1195" s="17" t="s">
        <v>425</v>
      </c>
      <c r="D1195" s="17" t="s">
        <v>19</v>
      </c>
      <c r="E1195" s="17" t="s">
        <v>428</v>
      </c>
      <c r="F1195" s="17"/>
      <c r="G1195" s="18">
        <v>2405.4000</v>
      </c>
      <c r="H1195" s="18">
        <v>0</v>
      </c>
      <c r="I1195" s="18">
        <f ca="1">((I1194 + G1195) - H1195)</f>
        <v>0</v>
      </c>
      <c r="J1195" s="18">
        <v>0</v>
      </c>
      <c r="K1195" s="19">
        <v>0</v>
      </c>
      <c r="L1195" s="17"/>
    </row>
    <row r="1196" ht="10.95" customHeight="true" customFormat="true" s="9">
      <c r="A1196" s="16">
        <v>45119</v>
      </c>
      <c r="B1196" s="17" t="s">
        <v>424</v>
      </c>
      <c r="C1196" s="17" t="s">
        <v>425</v>
      </c>
      <c r="D1196" s="17" t="s">
        <v>19</v>
      </c>
      <c r="E1196" s="17" t="s">
        <v>24</v>
      </c>
      <c r="F1196" s="17"/>
      <c r="G1196" s="18">
        <v>1288.0000</v>
      </c>
      <c r="H1196" s="18">
        <v>0</v>
      </c>
      <c r="I1196" s="18">
        <f ca="1">((I1195 + G1196) - H1196)</f>
        <v>0</v>
      </c>
      <c r="J1196" s="18">
        <v>0</v>
      </c>
      <c r="K1196" s="19">
        <v>0</v>
      </c>
      <c r="L1196" s="17"/>
    </row>
    <row r="1197" ht="10.95" customHeight="true" customFormat="true" s="9">
      <c r="A1197" s="16">
        <v>45120</v>
      </c>
      <c r="B1197" s="17" t="s">
        <v>424</v>
      </c>
      <c r="C1197" s="17" t="s">
        <v>425</v>
      </c>
      <c r="D1197" s="17" t="s">
        <v>22</v>
      </c>
      <c r="E1197" s="17" t="s">
        <v>431</v>
      </c>
      <c r="F1197" s="17"/>
      <c r="G1197" s="18">
        <v>0</v>
      </c>
      <c r="H1197" s="18">
        <v>65.0000</v>
      </c>
      <c r="I1197" s="18">
        <f ca="1">((I1196 + G1197) - H1197)</f>
        <v>0</v>
      </c>
      <c r="J1197" s="18">
        <v>0</v>
      </c>
      <c r="K1197" s="19">
        <v>0</v>
      </c>
      <c r="L1197" s="17"/>
    </row>
    <row r="1198" ht="10.95" customHeight="true" customFormat="true" s="9">
      <c r="A1198" s="16">
        <v>45120</v>
      </c>
      <c r="B1198" s="17" t="s">
        <v>424</v>
      </c>
      <c r="C1198" s="17" t="s">
        <v>425</v>
      </c>
      <c r="D1198" s="17" t="s">
        <v>19</v>
      </c>
      <c r="E1198" s="17" t="s">
        <v>428</v>
      </c>
      <c r="F1198" s="17"/>
      <c r="G1198" s="18">
        <v>2640.6000</v>
      </c>
      <c r="H1198" s="18">
        <v>0</v>
      </c>
      <c r="I1198" s="18">
        <f ca="1">((I1197 + G1198) - H1198)</f>
        <v>0</v>
      </c>
      <c r="J1198" s="18">
        <v>0</v>
      </c>
      <c r="K1198" s="19">
        <v>0</v>
      </c>
      <c r="L1198" s="17"/>
    </row>
    <row r="1199" ht="10.95" customHeight="true" customFormat="true" s="9">
      <c r="A1199" s="16">
        <v>45120</v>
      </c>
      <c r="B1199" s="17" t="s">
        <v>424</v>
      </c>
      <c r="C1199" s="17" t="s">
        <v>425</v>
      </c>
      <c r="D1199" s="17" t="s">
        <v>22</v>
      </c>
      <c r="E1199" s="17" t="s">
        <v>435</v>
      </c>
      <c r="F1199" s="17"/>
      <c r="G1199" s="18">
        <v>0</v>
      </c>
      <c r="H1199" s="18">
        <v>391.9500</v>
      </c>
      <c r="I1199" s="18">
        <f ca="1">((I1198 + G1199) - H1199)</f>
        <v>0</v>
      </c>
      <c r="J1199" s="18">
        <v>0</v>
      </c>
      <c r="K1199" s="19">
        <v>0</v>
      </c>
      <c r="L1199" s="17"/>
    </row>
    <row r="1200" ht="10.95" customHeight="true" customFormat="true" s="9">
      <c r="A1200" s="16">
        <v>45121</v>
      </c>
      <c r="B1200" s="17" t="s">
        <v>424</v>
      </c>
      <c r="C1200" s="17" t="s">
        <v>425</v>
      </c>
      <c r="D1200" s="17" t="s">
        <v>19</v>
      </c>
      <c r="E1200" s="17" t="s">
        <v>428</v>
      </c>
      <c r="F1200" s="17"/>
      <c r="G1200" s="18">
        <v>2661.4800</v>
      </c>
      <c r="H1200" s="18">
        <v>0</v>
      </c>
      <c r="I1200" s="18">
        <f ca="1">((I1199 + G1200) - H1200)</f>
        <v>0</v>
      </c>
      <c r="J1200" s="18">
        <v>0</v>
      </c>
      <c r="K1200" s="19">
        <v>0</v>
      </c>
      <c r="L1200" s="17"/>
    </row>
    <row r="1201" ht="10.95" customHeight="true" customFormat="true" s="9">
      <c r="A1201" s="16">
        <v>45124</v>
      </c>
      <c r="B1201" s="17" t="s">
        <v>424</v>
      </c>
      <c r="C1201" s="17" t="s">
        <v>425</v>
      </c>
      <c r="D1201" s="17" t="s">
        <v>22</v>
      </c>
      <c r="E1201" s="17" t="s">
        <v>34</v>
      </c>
      <c r="F1201" s="17"/>
      <c r="G1201" s="18">
        <v>0</v>
      </c>
      <c r="H1201" s="18">
        <v>1200.0000</v>
      </c>
      <c r="I1201" s="18">
        <f ca="1">((I1200 + G1201) - H1201)</f>
        <v>0</v>
      </c>
      <c r="J1201" s="18">
        <v>0</v>
      </c>
      <c r="K1201" s="19">
        <v>0</v>
      </c>
      <c r="L1201" s="17"/>
    </row>
    <row r="1202" ht="10.95" customHeight="true" customFormat="true" s="9">
      <c r="A1202" s="16">
        <v>45124</v>
      </c>
      <c r="B1202" s="17" t="s">
        <v>424</v>
      </c>
      <c r="C1202" s="17" t="s">
        <v>425</v>
      </c>
      <c r="D1202" s="17" t="s">
        <v>19</v>
      </c>
      <c r="E1202" s="17" t="s">
        <v>428</v>
      </c>
      <c r="F1202" s="17"/>
      <c r="G1202" s="18">
        <v>3546.3500</v>
      </c>
      <c r="H1202" s="18">
        <v>0</v>
      </c>
      <c r="I1202" s="18">
        <f ca="1">((I1201 + G1202) - H1202)</f>
        <v>0</v>
      </c>
      <c r="J1202" s="18">
        <v>0</v>
      </c>
      <c r="K1202" s="19">
        <v>0</v>
      </c>
      <c r="L1202" s="17"/>
    </row>
    <row r="1203" ht="10.95" customHeight="true" customFormat="true" s="9">
      <c r="A1203" s="16">
        <v>45124</v>
      </c>
      <c r="B1203" s="17" t="s">
        <v>424</v>
      </c>
      <c r="C1203" s="17" t="s">
        <v>425</v>
      </c>
      <c r="D1203" s="17" t="s">
        <v>22</v>
      </c>
      <c r="E1203" s="17" t="s">
        <v>436</v>
      </c>
      <c r="F1203" s="17"/>
      <c r="G1203" s="18">
        <v>0</v>
      </c>
      <c r="H1203" s="18">
        <v>119.0000</v>
      </c>
      <c r="I1203" s="18">
        <f ca="1">((I1202 + G1203) - H1203)</f>
        <v>0</v>
      </c>
      <c r="J1203" s="18">
        <v>0</v>
      </c>
      <c r="K1203" s="19">
        <v>0</v>
      </c>
      <c r="L1203" s="17"/>
    </row>
    <row r="1204" ht="10.95" customHeight="true" customFormat="true" s="9">
      <c r="A1204" s="16">
        <v>45124</v>
      </c>
      <c r="B1204" s="17" t="s">
        <v>424</v>
      </c>
      <c r="C1204" s="17" t="s">
        <v>425</v>
      </c>
      <c r="D1204" s="17" t="s">
        <v>22</v>
      </c>
      <c r="E1204" s="17" t="s">
        <v>426</v>
      </c>
      <c r="F1204" s="17" t="s">
        <v>437</v>
      </c>
      <c r="G1204" s="18">
        <v>0</v>
      </c>
      <c r="H1204" s="18">
        <v>511.0000</v>
      </c>
      <c r="I1204" s="18">
        <f ca="1">((I1203 + G1204) - H1204)</f>
        <v>0</v>
      </c>
      <c r="J1204" s="18">
        <v>0</v>
      </c>
      <c r="K1204" s="19">
        <v>0</v>
      </c>
      <c r="L1204" s="17"/>
    </row>
    <row r="1205" ht="10.95" customHeight="true" customFormat="true" s="9">
      <c r="A1205" s="16">
        <v>45124</v>
      </c>
      <c r="B1205" s="17" t="s">
        <v>424</v>
      </c>
      <c r="C1205" s="17" t="s">
        <v>425</v>
      </c>
      <c r="D1205" s="17" t="s">
        <v>22</v>
      </c>
      <c r="E1205" s="17" t="s">
        <v>426</v>
      </c>
      <c r="F1205" s="17" t="s">
        <v>437</v>
      </c>
      <c r="G1205" s="18">
        <v>0</v>
      </c>
      <c r="H1205" s="18">
        <v>201.8800</v>
      </c>
      <c r="I1205" s="18">
        <f ca="1">((I1204 + G1205) - H1205)</f>
        <v>0</v>
      </c>
      <c r="J1205" s="18">
        <v>0</v>
      </c>
      <c r="K1205" s="19">
        <v>0</v>
      </c>
      <c r="L1205" s="17"/>
    </row>
    <row r="1206" ht="10.95" customHeight="true" customFormat="true" s="9">
      <c r="A1206" s="16">
        <v>45124</v>
      </c>
      <c r="B1206" s="17" t="s">
        <v>424</v>
      </c>
      <c r="C1206" s="17" t="s">
        <v>425</v>
      </c>
      <c r="D1206" s="17" t="s">
        <v>22</v>
      </c>
      <c r="E1206" s="17" t="s">
        <v>426</v>
      </c>
      <c r="F1206" s="17" t="s">
        <v>437</v>
      </c>
      <c r="G1206" s="18">
        <v>0</v>
      </c>
      <c r="H1206" s="18">
        <v>674.5000</v>
      </c>
      <c r="I1206" s="18">
        <f ca="1">((I1205 + G1206) - H1206)</f>
        <v>0</v>
      </c>
      <c r="J1206" s="18">
        <v>0</v>
      </c>
      <c r="K1206" s="19">
        <v>0</v>
      </c>
      <c r="L1206" s="17"/>
    </row>
    <row r="1207" ht="10.95" customHeight="true" customFormat="true" s="9">
      <c r="A1207" s="16">
        <v>45124</v>
      </c>
      <c r="B1207" s="17" t="s">
        <v>424</v>
      </c>
      <c r="C1207" s="17" t="s">
        <v>425</v>
      </c>
      <c r="D1207" s="17" t="s">
        <v>22</v>
      </c>
      <c r="E1207" s="17" t="s">
        <v>430</v>
      </c>
      <c r="F1207" s="17"/>
      <c r="G1207" s="18">
        <v>0</v>
      </c>
      <c r="H1207" s="18">
        <v>2474.2500</v>
      </c>
      <c r="I1207" s="18">
        <f ca="1">((I1206 + G1207) - H1207)</f>
        <v>0</v>
      </c>
      <c r="J1207" s="18">
        <v>0</v>
      </c>
      <c r="K1207" s="19">
        <v>0</v>
      </c>
      <c r="L1207" s="17"/>
    </row>
    <row r="1208" ht="10.95" customHeight="true" customFormat="true" s="9">
      <c r="A1208" s="16">
        <v>45124</v>
      </c>
      <c r="B1208" s="17" t="s">
        <v>424</v>
      </c>
      <c r="C1208" s="17" t="s">
        <v>425</v>
      </c>
      <c r="D1208" s="17" t="s">
        <v>22</v>
      </c>
      <c r="E1208" s="17" t="s">
        <v>426</v>
      </c>
      <c r="F1208" s="17" t="s">
        <v>437</v>
      </c>
      <c r="G1208" s="18">
        <v>0</v>
      </c>
      <c r="H1208" s="18">
        <v>1158.1500</v>
      </c>
      <c r="I1208" s="18">
        <f ca="1">((I1207 + G1208) - H1208)</f>
        <v>0</v>
      </c>
      <c r="J1208" s="18">
        <v>0</v>
      </c>
      <c r="K1208" s="19">
        <v>0</v>
      </c>
      <c r="L1208" s="17"/>
    </row>
    <row r="1209" ht="10.95" customHeight="true" customFormat="true" s="9">
      <c r="A1209" s="16">
        <v>45124</v>
      </c>
      <c r="B1209" s="17" t="s">
        <v>424</v>
      </c>
      <c r="C1209" s="17" t="s">
        <v>425</v>
      </c>
      <c r="D1209" s="17" t="s">
        <v>22</v>
      </c>
      <c r="E1209" s="17" t="s">
        <v>426</v>
      </c>
      <c r="F1209" s="17" t="s">
        <v>437</v>
      </c>
      <c r="G1209" s="18">
        <v>0</v>
      </c>
      <c r="H1209" s="18">
        <v>2000.0000</v>
      </c>
      <c r="I1209" s="18">
        <f ca="1">((I1208 + G1209) - H1209)</f>
        <v>0</v>
      </c>
      <c r="J1209" s="18">
        <v>0</v>
      </c>
      <c r="K1209" s="19">
        <v>0</v>
      </c>
      <c r="L1209" s="17"/>
    </row>
    <row r="1210" ht="10.95" customHeight="true" customFormat="true" s="9">
      <c r="A1210" s="16">
        <v>45124</v>
      </c>
      <c r="B1210" s="17" t="s">
        <v>424</v>
      </c>
      <c r="C1210" s="17" t="s">
        <v>425</v>
      </c>
      <c r="D1210" s="17" t="s">
        <v>22</v>
      </c>
      <c r="E1210" s="17" t="s">
        <v>438</v>
      </c>
      <c r="F1210" s="17"/>
      <c r="G1210" s="18">
        <v>0</v>
      </c>
      <c r="H1210" s="18">
        <v>11.9000</v>
      </c>
      <c r="I1210" s="18">
        <f ca="1">((I1209 + G1210) - H1210)</f>
        <v>0</v>
      </c>
      <c r="J1210" s="18">
        <v>0</v>
      </c>
      <c r="K1210" s="19">
        <v>0</v>
      </c>
      <c r="L1210" s="17"/>
    </row>
    <row r="1211" ht="10.95" customHeight="true" customFormat="true" s="9">
      <c r="A1211" s="16">
        <v>45124</v>
      </c>
      <c r="B1211" s="17" t="s">
        <v>424</v>
      </c>
      <c r="C1211" s="17" t="s">
        <v>425</v>
      </c>
      <c r="D1211" s="17" t="s">
        <v>22</v>
      </c>
      <c r="E1211" s="17" t="s">
        <v>426</v>
      </c>
      <c r="F1211" s="17" t="s">
        <v>437</v>
      </c>
      <c r="G1211" s="18">
        <v>0</v>
      </c>
      <c r="H1211" s="18">
        <v>126.0000</v>
      </c>
      <c r="I1211" s="18">
        <f ca="1">((I1210 + G1211) - H1211)</f>
        <v>0</v>
      </c>
      <c r="J1211" s="18">
        <v>0</v>
      </c>
      <c r="K1211" s="19">
        <v>0</v>
      </c>
      <c r="L1211" s="17"/>
    </row>
    <row r="1212" ht="10.95" customHeight="true" customFormat="true" s="9">
      <c r="A1212" s="16">
        <v>45124</v>
      </c>
      <c r="B1212" s="17" t="s">
        <v>424</v>
      </c>
      <c r="C1212" s="17" t="s">
        <v>425</v>
      </c>
      <c r="D1212" s="17" t="s">
        <v>19</v>
      </c>
      <c r="E1212" s="17" t="s">
        <v>428</v>
      </c>
      <c r="F1212" s="17"/>
      <c r="G1212" s="18">
        <v>5234.3000</v>
      </c>
      <c r="H1212" s="18">
        <v>0</v>
      </c>
      <c r="I1212" s="18">
        <f ca="1">((I1211 + G1212) - H1212)</f>
        <v>0</v>
      </c>
      <c r="J1212" s="18">
        <v>0</v>
      </c>
      <c r="K1212" s="19">
        <v>0</v>
      </c>
      <c r="L1212" s="17"/>
    </row>
    <row r="1213" ht="10.95" customHeight="true" customFormat="true" s="9">
      <c r="A1213" s="16">
        <v>45124</v>
      </c>
      <c r="B1213" s="17" t="s">
        <v>424</v>
      </c>
      <c r="C1213" s="17" t="s">
        <v>425</v>
      </c>
      <c r="D1213" s="17" t="s">
        <v>19</v>
      </c>
      <c r="E1213" s="17" t="s">
        <v>428</v>
      </c>
      <c r="F1213" s="17"/>
      <c r="G1213" s="18">
        <v>4348.9000</v>
      </c>
      <c r="H1213" s="18">
        <v>0</v>
      </c>
      <c r="I1213" s="18">
        <f ca="1">((I1212 + G1213) - H1213)</f>
        <v>0</v>
      </c>
      <c r="J1213" s="18">
        <v>0</v>
      </c>
      <c r="K1213" s="19">
        <v>0</v>
      </c>
      <c r="L1213" s="17"/>
    </row>
    <row r="1214" ht="10.95" customHeight="true" customFormat="true" s="9">
      <c r="A1214" s="16">
        <v>45125</v>
      </c>
      <c r="B1214" s="17" t="s">
        <v>424</v>
      </c>
      <c r="C1214" s="17" t="s">
        <v>425</v>
      </c>
      <c r="D1214" s="17" t="s">
        <v>22</v>
      </c>
      <c r="E1214" s="17" t="s">
        <v>430</v>
      </c>
      <c r="F1214" s="17"/>
      <c r="G1214" s="18">
        <v>0</v>
      </c>
      <c r="H1214" s="18">
        <v>1643.9000</v>
      </c>
      <c r="I1214" s="18">
        <f ca="1">((I1213 + G1214) - H1214)</f>
        <v>0</v>
      </c>
      <c r="J1214" s="18">
        <v>0</v>
      </c>
      <c r="K1214" s="19">
        <v>0</v>
      </c>
      <c r="L1214" s="17"/>
    </row>
    <row r="1215" ht="10.95" customHeight="true" customFormat="true" s="9">
      <c r="A1215" s="16">
        <v>45126</v>
      </c>
      <c r="B1215" s="17" t="s">
        <v>424</v>
      </c>
      <c r="C1215" s="17" t="s">
        <v>425</v>
      </c>
      <c r="D1215" s="17" t="s">
        <v>19</v>
      </c>
      <c r="E1215" s="17" t="s">
        <v>428</v>
      </c>
      <c r="F1215" s="17"/>
      <c r="G1215" s="18">
        <v>2304.5000</v>
      </c>
      <c r="H1215" s="18">
        <v>0</v>
      </c>
      <c r="I1215" s="18">
        <f ca="1">((I1214 + G1215) - H1215)</f>
        <v>0</v>
      </c>
      <c r="J1215" s="18">
        <v>0</v>
      </c>
      <c r="K1215" s="19">
        <v>0</v>
      </c>
      <c r="L1215" s="17"/>
    </row>
    <row r="1216" ht="10.95" customHeight="true" customFormat="true" s="9">
      <c r="A1216" s="16">
        <v>45127</v>
      </c>
      <c r="B1216" s="17" t="s">
        <v>424</v>
      </c>
      <c r="C1216" s="17" t="s">
        <v>425</v>
      </c>
      <c r="D1216" s="17" t="s">
        <v>19</v>
      </c>
      <c r="E1216" s="17" t="s">
        <v>428</v>
      </c>
      <c r="F1216" s="17"/>
      <c r="G1216" s="18">
        <v>2223.0000</v>
      </c>
      <c r="H1216" s="18">
        <v>0</v>
      </c>
      <c r="I1216" s="18">
        <f ca="1">((I1215 + G1216) - H1216)</f>
        <v>0</v>
      </c>
      <c r="J1216" s="18">
        <v>0</v>
      </c>
      <c r="K1216" s="19">
        <v>0</v>
      </c>
      <c r="L1216" s="17"/>
    </row>
    <row r="1217" ht="10.95" customHeight="true" customFormat="true" s="9">
      <c r="A1217" s="16">
        <v>45128</v>
      </c>
      <c r="B1217" s="17" t="s">
        <v>424</v>
      </c>
      <c r="C1217" s="17" t="s">
        <v>425</v>
      </c>
      <c r="D1217" s="17" t="s">
        <v>22</v>
      </c>
      <c r="E1217" s="17" t="s">
        <v>439</v>
      </c>
      <c r="F1217" s="17"/>
      <c r="G1217" s="18">
        <v>0</v>
      </c>
      <c r="H1217" s="18">
        <v>49.5000</v>
      </c>
      <c r="I1217" s="18">
        <f ca="1">((I1216 + G1217) - H1217)</f>
        <v>0</v>
      </c>
      <c r="J1217" s="18">
        <v>0</v>
      </c>
      <c r="K1217" s="19">
        <v>0</v>
      </c>
      <c r="L1217" s="17"/>
    </row>
    <row r="1218" ht="10.95" customHeight="true" customFormat="true" s="9">
      <c r="A1218" s="16">
        <v>45128</v>
      </c>
      <c r="B1218" s="17" t="s">
        <v>424</v>
      </c>
      <c r="C1218" s="17" t="s">
        <v>425</v>
      </c>
      <c r="D1218" s="17" t="s">
        <v>19</v>
      </c>
      <c r="E1218" s="17" t="s">
        <v>428</v>
      </c>
      <c r="F1218" s="17"/>
      <c r="G1218" s="18">
        <v>2455.9500</v>
      </c>
      <c r="H1218" s="18">
        <v>0</v>
      </c>
      <c r="I1218" s="18">
        <f ca="1">((I1217 + G1218) - H1218)</f>
        <v>0</v>
      </c>
      <c r="J1218" s="18">
        <v>0</v>
      </c>
      <c r="K1218" s="19">
        <v>0</v>
      </c>
      <c r="L1218" s="17"/>
    </row>
    <row r="1219" ht="10.95" customHeight="true" customFormat="true" s="9">
      <c r="A1219" s="16">
        <v>45128</v>
      </c>
      <c r="B1219" s="17" t="s">
        <v>424</v>
      </c>
      <c r="C1219" s="17" t="s">
        <v>425</v>
      </c>
      <c r="D1219" s="17" t="s">
        <v>22</v>
      </c>
      <c r="E1219" s="17" t="s">
        <v>440</v>
      </c>
      <c r="F1219" s="17"/>
      <c r="G1219" s="18">
        <v>0</v>
      </c>
      <c r="H1219" s="18">
        <v>231.0000</v>
      </c>
      <c r="I1219" s="18">
        <f ca="1">((I1218 + G1219) - H1219)</f>
        <v>0</v>
      </c>
      <c r="J1219" s="18">
        <v>0</v>
      </c>
      <c r="K1219" s="19">
        <v>0</v>
      </c>
      <c r="L1219" s="17"/>
    </row>
    <row r="1220" ht="10.95" customHeight="true" customFormat="true" s="9">
      <c r="A1220" s="16">
        <v>45128</v>
      </c>
      <c r="B1220" s="17" t="s">
        <v>424</v>
      </c>
      <c r="C1220" s="17" t="s">
        <v>425</v>
      </c>
      <c r="D1220" s="17" t="s">
        <v>22</v>
      </c>
      <c r="E1220" s="17" t="s">
        <v>430</v>
      </c>
      <c r="F1220" s="17"/>
      <c r="G1220" s="18">
        <v>0</v>
      </c>
      <c r="H1220" s="18">
        <v>1529.1500</v>
      </c>
      <c r="I1220" s="18">
        <f ca="1">((I1219 + G1220) - H1220)</f>
        <v>0</v>
      </c>
      <c r="J1220" s="18">
        <v>0</v>
      </c>
      <c r="K1220" s="19">
        <v>0</v>
      </c>
      <c r="L1220" s="17"/>
    </row>
    <row r="1221" ht="10.95" customHeight="true" customFormat="true" s="9">
      <c r="A1221" s="16">
        <v>45131</v>
      </c>
      <c r="B1221" s="17" t="s">
        <v>424</v>
      </c>
      <c r="C1221" s="17" t="s">
        <v>425</v>
      </c>
      <c r="D1221" s="17" t="s">
        <v>22</v>
      </c>
      <c r="E1221" s="17" t="s">
        <v>34</v>
      </c>
      <c r="F1221" s="17"/>
      <c r="G1221" s="18">
        <v>0</v>
      </c>
      <c r="H1221" s="18">
        <v>2000.0000</v>
      </c>
      <c r="I1221" s="18">
        <f ca="1">((I1220 + G1221) - H1221)</f>
        <v>0</v>
      </c>
      <c r="J1221" s="18">
        <v>0</v>
      </c>
      <c r="K1221" s="19">
        <v>0</v>
      </c>
      <c r="L1221" s="17"/>
    </row>
    <row r="1222" ht="10.95" customHeight="true" customFormat="true" s="9">
      <c r="A1222" s="16">
        <v>45131</v>
      </c>
      <c r="B1222" s="17" t="s">
        <v>424</v>
      </c>
      <c r="C1222" s="17" t="s">
        <v>425</v>
      </c>
      <c r="D1222" s="17" t="s">
        <v>22</v>
      </c>
      <c r="E1222" s="17" t="s">
        <v>426</v>
      </c>
      <c r="F1222" s="17" t="s">
        <v>441</v>
      </c>
      <c r="G1222" s="18">
        <v>0</v>
      </c>
      <c r="H1222" s="18">
        <v>126.0000</v>
      </c>
      <c r="I1222" s="18">
        <f ca="1">((I1221 + G1222) - H1222)</f>
        <v>0</v>
      </c>
      <c r="J1222" s="18">
        <v>0</v>
      </c>
      <c r="K1222" s="19">
        <v>0</v>
      </c>
      <c r="L1222" s="17"/>
    </row>
    <row r="1223" ht="10.95" customHeight="true" customFormat="true" s="9">
      <c r="A1223" s="16">
        <v>45131</v>
      </c>
      <c r="B1223" s="17" t="s">
        <v>424</v>
      </c>
      <c r="C1223" s="17" t="s">
        <v>425</v>
      </c>
      <c r="D1223" s="17" t="s">
        <v>22</v>
      </c>
      <c r="E1223" s="17" t="s">
        <v>426</v>
      </c>
      <c r="F1223" s="17" t="s">
        <v>441</v>
      </c>
      <c r="G1223" s="18">
        <v>0</v>
      </c>
      <c r="H1223" s="18">
        <v>2000.0000</v>
      </c>
      <c r="I1223" s="18">
        <f ca="1">((I1222 + G1223) - H1223)</f>
        <v>0</v>
      </c>
      <c r="J1223" s="18">
        <v>0</v>
      </c>
      <c r="K1223" s="19">
        <v>0</v>
      </c>
      <c r="L1223" s="17"/>
    </row>
    <row r="1224" ht="10.95" customHeight="true" customFormat="true" s="9">
      <c r="A1224" s="16">
        <v>45131</v>
      </c>
      <c r="B1224" s="17" t="s">
        <v>424</v>
      </c>
      <c r="C1224" s="17" t="s">
        <v>425</v>
      </c>
      <c r="D1224" s="17" t="s">
        <v>19</v>
      </c>
      <c r="E1224" s="17" t="s">
        <v>428</v>
      </c>
      <c r="F1224" s="17"/>
      <c r="G1224" s="18">
        <v>5822.4000</v>
      </c>
      <c r="H1224" s="18">
        <v>0</v>
      </c>
      <c r="I1224" s="18">
        <f ca="1">((I1223 + G1224) - H1224)</f>
        <v>0</v>
      </c>
      <c r="J1224" s="18">
        <v>0</v>
      </c>
      <c r="K1224" s="19">
        <v>0</v>
      </c>
      <c r="L1224" s="17"/>
    </row>
    <row r="1225" ht="10.95" customHeight="true" customFormat="true" s="9">
      <c r="A1225" s="16">
        <v>45131</v>
      </c>
      <c r="B1225" s="17" t="s">
        <v>424</v>
      </c>
      <c r="C1225" s="17" t="s">
        <v>425</v>
      </c>
      <c r="D1225" s="17" t="s">
        <v>19</v>
      </c>
      <c r="E1225" s="17" t="s">
        <v>24</v>
      </c>
      <c r="F1225" s="17"/>
      <c r="G1225" s="18">
        <v>250.0000</v>
      </c>
      <c r="H1225" s="18">
        <v>0</v>
      </c>
      <c r="I1225" s="18">
        <f ca="1">((I1224 + G1225) - H1225)</f>
        <v>0</v>
      </c>
      <c r="J1225" s="18">
        <v>0</v>
      </c>
      <c r="K1225" s="19">
        <v>0</v>
      </c>
      <c r="L1225" s="17"/>
    </row>
    <row r="1226" ht="10.95" customHeight="true" customFormat="true" s="9">
      <c r="A1226" s="16">
        <v>45131</v>
      </c>
      <c r="B1226" s="17" t="s">
        <v>424</v>
      </c>
      <c r="C1226" s="17" t="s">
        <v>425</v>
      </c>
      <c r="D1226" s="17" t="s">
        <v>22</v>
      </c>
      <c r="E1226" s="17" t="s">
        <v>426</v>
      </c>
      <c r="F1226" s="17" t="s">
        <v>441</v>
      </c>
      <c r="G1226" s="18">
        <v>0</v>
      </c>
      <c r="H1226" s="18">
        <v>674.5000</v>
      </c>
      <c r="I1226" s="18">
        <f ca="1">((I1225 + G1226) - H1226)</f>
        <v>0</v>
      </c>
      <c r="J1226" s="18">
        <v>0</v>
      </c>
      <c r="K1226" s="19">
        <v>0</v>
      </c>
      <c r="L1226" s="17"/>
    </row>
    <row r="1227" ht="10.95" customHeight="true" customFormat="true" s="9">
      <c r="A1227" s="16">
        <v>45131</v>
      </c>
      <c r="B1227" s="17" t="s">
        <v>424</v>
      </c>
      <c r="C1227" s="17" t="s">
        <v>425</v>
      </c>
      <c r="D1227" s="17" t="s">
        <v>22</v>
      </c>
      <c r="E1227" s="17" t="s">
        <v>442</v>
      </c>
      <c r="F1227" s="17"/>
      <c r="G1227" s="18">
        <v>0</v>
      </c>
      <c r="H1227" s="18">
        <v>169.5700</v>
      </c>
      <c r="I1227" s="18">
        <f ca="1">((I1226 + G1227) - H1227)</f>
        <v>0</v>
      </c>
      <c r="J1227" s="18">
        <v>0</v>
      </c>
      <c r="K1227" s="19">
        <v>0</v>
      </c>
      <c r="L1227" s="17"/>
    </row>
    <row r="1228" ht="10.95" customHeight="true" customFormat="true" s="9">
      <c r="A1228" s="16">
        <v>45131</v>
      </c>
      <c r="B1228" s="17" t="s">
        <v>424</v>
      </c>
      <c r="C1228" s="17" t="s">
        <v>425</v>
      </c>
      <c r="D1228" s="17" t="s">
        <v>19</v>
      </c>
      <c r="E1228" s="17" t="s">
        <v>428</v>
      </c>
      <c r="F1228" s="17"/>
      <c r="G1228" s="18">
        <v>3345.8000</v>
      </c>
      <c r="H1228" s="18">
        <v>0</v>
      </c>
      <c r="I1228" s="18">
        <f ca="1">((I1227 + G1228) - H1228)</f>
        <v>0</v>
      </c>
      <c r="J1228" s="18">
        <v>0</v>
      </c>
      <c r="K1228" s="19">
        <v>0</v>
      </c>
      <c r="L1228" s="17"/>
    </row>
    <row r="1229" ht="10.95" customHeight="true" customFormat="true" s="9">
      <c r="A1229" s="16">
        <v>45131</v>
      </c>
      <c r="B1229" s="17" t="s">
        <v>424</v>
      </c>
      <c r="C1229" s="17" t="s">
        <v>425</v>
      </c>
      <c r="D1229" s="17" t="s">
        <v>22</v>
      </c>
      <c r="E1229" s="17" t="s">
        <v>426</v>
      </c>
      <c r="F1229" s="17" t="s">
        <v>441</v>
      </c>
      <c r="G1229" s="18">
        <v>0</v>
      </c>
      <c r="H1229" s="18">
        <v>201.8800</v>
      </c>
      <c r="I1229" s="18">
        <f ca="1">((I1228 + G1229) - H1229)</f>
        <v>0</v>
      </c>
      <c r="J1229" s="18">
        <v>0</v>
      </c>
      <c r="K1229" s="19">
        <v>0</v>
      </c>
      <c r="L1229" s="17"/>
    </row>
    <row r="1230" ht="10.95" customHeight="true" customFormat="true" s="9">
      <c r="A1230" s="16">
        <v>45131</v>
      </c>
      <c r="B1230" s="17" t="s">
        <v>424</v>
      </c>
      <c r="C1230" s="17" t="s">
        <v>425</v>
      </c>
      <c r="D1230" s="17" t="s">
        <v>22</v>
      </c>
      <c r="E1230" s="17" t="s">
        <v>426</v>
      </c>
      <c r="F1230" s="17" t="s">
        <v>441</v>
      </c>
      <c r="G1230" s="18">
        <v>0</v>
      </c>
      <c r="H1230" s="18">
        <v>511.0000</v>
      </c>
      <c r="I1230" s="18">
        <f ca="1">((I1229 + G1230) - H1230)</f>
        <v>0</v>
      </c>
      <c r="J1230" s="18">
        <v>0</v>
      </c>
      <c r="K1230" s="19">
        <v>0</v>
      </c>
      <c r="L1230" s="17"/>
    </row>
    <row r="1231" ht="10.95" customHeight="true" customFormat="true" s="9">
      <c r="A1231" s="16">
        <v>45131</v>
      </c>
      <c r="B1231" s="17" t="s">
        <v>424</v>
      </c>
      <c r="C1231" s="17" t="s">
        <v>425</v>
      </c>
      <c r="D1231" s="17" t="s">
        <v>22</v>
      </c>
      <c r="E1231" s="17" t="s">
        <v>426</v>
      </c>
      <c r="F1231" s="17" t="s">
        <v>441</v>
      </c>
      <c r="G1231" s="18">
        <v>0</v>
      </c>
      <c r="H1231" s="18">
        <v>1158.1500</v>
      </c>
      <c r="I1231" s="18">
        <f ca="1">((I1230 + G1231) - H1231)</f>
        <v>0</v>
      </c>
      <c r="J1231" s="18">
        <v>0</v>
      </c>
      <c r="K1231" s="19">
        <v>0</v>
      </c>
      <c r="L1231" s="17"/>
    </row>
    <row r="1232" ht="10.95" customHeight="true" customFormat="true" s="9">
      <c r="A1232" s="16">
        <v>45131</v>
      </c>
      <c r="B1232" s="17" t="s">
        <v>424</v>
      </c>
      <c r="C1232" s="17" t="s">
        <v>425</v>
      </c>
      <c r="D1232" s="17" t="s">
        <v>19</v>
      </c>
      <c r="E1232" s="17" t="s">
        <v>428</v>
      </c>
      <c r="F1232" s="17"/>
      <c r="G1232" s="18">
        <v>5268.6000</v>
      </c>
      <c r="H1232" s="18">
        <v>0</v>
      </c>
      <c r="I1232" s="18">
        <f ca="1">((I1231 + G1232) - H1232)</f>
        <v>0</v>
      </c>
      <c r="J1232" s="18">
        <v>0</v>
      </c>
      <c r="K1232" s="19">
        <v>0</v>
      </c>
      <c r="L1232" s="17"/>
    </row>
    <row r="1233" ht="10.95" customHeight="true" customFormat="true" s="9">
      <c r="A1233" s="16">
        <v>45132</v>
      </c>
      <c r="B1233" s="17" t="s">
        <v>424</v>
      </c>
      <c r="C1233" s="17" t="s">
        <v>425</v>
      </c>
      <c r="D1233" s="17" t="s">
        <v>22</v>
      </c>
      <c r="E1233" s="17" t="s">
        <v>431</v>
      </c>
      <c r="F1233" s="17"/>
      <c r="G1233" s="18">
        <v>0</v>
      </c>
      <c r="H1233" s="18">
        <v>65.0000</v>
      </c>
      <c r="I1233" s="18">
        <f ca="1">((I1232 + G1233) - H1233)</f>
        <v>0</v>
      </c>
      <c r="J1233" s="18">
        <v>0</v>
      </c>
      <c r="K1233" s="19">
        <v>0</v>
      </c>
      <c r="L1233" s="17"/>
    </row>
    <row r="1234" ht="10.95" customHeight="true" customFormat="true" s="9">
      <c r="A1234" s="16">
        <v>45132</v>
      </c>
      <c r="B1234" s="17" t="s">
        <v>424</v>
      </c>
      <c r="C1234" s="17" t="s">
        <v>425</v>
      </c>
      <c r="D1234" s="17" t="s">
        <v>22</v>
      </c>
      <c r="E1234" s="17" t="s">
        <v>430</v>
      </c>
      <c r="F1234" s="17"/>
      <c r="G1234" s="18">
        <v>0</v>
      </c>
      <c r="H1234" s="18">
        <v>1810.9500</v>
      </c>
      <c r="I1234" s="18">
        <f ca="1">((I1233 + G1234) - H1234)</f>
        <v>0</v>
      </c>
      <c r="J1234" s="18">
        <v>0</v>
      </c>
      <c r="K1234" s="19">
        <v>0</v>
      </c>
      <c r="L1234" s="17"/>
    </row>
    <row r="1235" ht="10.95" customHeight="true" customFormat="true" s="9">
      <c r="A1235" s="16">
        <v>45132</v>
      </c>
      <c r="B1235" s="17" t="s">
        <v>424</v>
      </c>
      <c r="C1235" s="17" t="s">
        <v>425</v>
      </c>
      <c r="D1235" s="17" t="s">
        <v>19</v>
      </c>
      <c r="E1235" s="17" t="s">
        <v>66</v>
      </c>
      <c r="F1235" s="17"/>
      <c r="G1235" s="18">
        <v>1572.4800</v>
      </c>
      <c r="H1235" s="18">
        <v>0</v>
      </c>
      <c r="I1235" s="18">
        <f ca="1">((I1234 + G1235) - H1235)</f>
        <v>0</v>
      </c>
      <c r="J1235" s="18">
        <v>0</v>
      </c>
      <c r="K1235" s="19">
        <v>0</v>
      </c>
      <c r="L1235" s="17"/>
    </row>
    <row r="1236" ht="10.95" customHeight="true" customFormat="true" s="9">
      <c r="A1236" s="16">
        <v>45132</v>
      </c>
      <c r="B1236" s="17" t="s">
        <v>424</v>
      </c>
      <c r="C1236" s="17" t="s">
        <v>425</v>
      </c>
      <c r="D1236" s="17" t="s">
        <v>22</v>
      </c>
      <c r="E1236" s="17" t="s">
        <v>443</v>
      </c>
      <c r="F1236" s="17"/>
      <c r="G1236" s="18">
        <v>0</v>
      </c>
      <c r="H1236" s="18">
        <v>5387.9500</v>
      </c>
      <c r="I1236" s="18">
        <f ca="1">((I1235 + G1236) - H1236)</f>
        <v>0</v>
      </c>
      <c r="J1236" s="18">
        <v>0</v>
      </c>
      <c r="K1236" s="19">
        <v>0</v>
      </c>
      <c r="L1236" s="17"/>
    </row>
    <row r="1237" ht="10.95" customHeight="true" customFormat="true" s="9">
      <c r="A1237" s="16">
        <v>45133</v>
      </c>
      <c r="B1237" s="17" t="s">
        <v>424</v>
      </c>
      <c r="C1237" s="17" t="s">
        <v>425</v>
      </c>
      <c r="D1237" s="17" t="s">
        <v>19</v>
      </c>
      <c r="E1237" s="17" t="s">
        <v>428</v>
      </c>
      <c r="F1237" s="17"/>
      <c r="G1237" s="18">
        <v>1767.5500</v>
      </c>
      <c r="H1237" s="18">
        <v>0</v>
      </c>
      <c r="I1237" s="18">
        <f ca="1">((I1236 + G1237) - H1237)</f>
        <v>0</v>
      </c>
      <c r="J1237" s="18">
        <v>0</v>
      </c>
      <c r="K1237" s="19">
        <v>0</v>
      </c>
      <c r="L1237" s="17"/>
    </row>
    <row r="1238" ht="10.95" customHeight="true" customFormat="true" s="9">
      <c r="A1238" s="16">
        <v>45134</v>
      </c>
      <c r="B1238" s="17" t="s">
        <v>424</v>
      </c>
      <c r="C1238" s="17" t="s">
        <v>425</v>
      </c>
      <c r="D1238" s="17" t="s">
        <v>19</v>
      </c>
      <c r="E1238" s="17" t="s">
        <v>428</v>
      </c>
      <c r="F1238" s="17"/>
      <c r="G1238" s="18">
        <v>2332.8500</v>
      </c>
      <c r="H1238" s="18">
        <v>0</v>
      </c>
      <c r="I1238" s="18">
        <f ca="1">((I1237 + G1238) - H1238)</f>
        <v>0</v>
      </c>
      <c r="J1238" s="18">
        <v>0</v>
      </c>
      <c r="K1238" s="19">
        <v>0</v>
      </c>
      <c r="L1238" s="17"/>
    </row>
    <row r="1239" ht="10.95" customHeight="true" customFormat="true" s="9">
      <c r="A1239" s="16">
        <v>45134</v>
      </c>
      <c r="B1239" s="17" t="s">
        <v>424</v>
      </c>
      <c r="C1239" s="17" t="s">
        <v>425</v>
      </c>
      <c r="D1239" s="17" t="s">
        <v>22</v>
      </c>
      <c r="E1239" s="17" t="s">
        <v>433</v>
      </c>
      <c r="F1239" s="17"/>
      <c r="G1239" s="18">
        <v>0</v>
      </c>
      <c r="H1239" s="18">
        <v>824.7600</v>
      </c>
      <c r="I1239" s="18">
        <f ca="1">((I1238 + G1239) - H1239)</f>
        <v>0</v>
      </c>
      <c r="J1239" s="18">
        <v>0</v>
      </c>
      <c r="K1239" s="19">
        <v>0</v>
      </c>
      <c r="L1239" s="17"/>
    </row>
    <row r="1240" ht="10.95" customHeight="true" customFormat="true" s="9">
      <c r="A1240" s="16">
        <v>45135</v>
      </c>
      <c r="B1240" s="17" t="s">
        <v>424</v>
      </c>
      <c r="C1240" s="17" t="s">
        <v>425</v>
      </c>
      <c r="D1240" s="17" t="s">
        <v>19</v>
      </c>
      <c r="E1240" s="17" t="s">
        <v>428</v>
      </c>
      <c r="F1240" s="17"/>
      <c r="G1240" s="18">
        <v>2415.2000</v>
      </c>
      <c r="H1240" s="18">
        <v>0</v>
      </c>
      <c r="I1240" s="18">
        <f ca="1">((I1239 + G1240) - H1240)</f>
        <v>0</v>
      </c>
      <c r="J1240" s="18">
        <v>0</v>
      </c>
      <c r="K1240" s="19">
        <v>0</v>
      </c>
      <c r="L1240" s="17"/>
    </row>
    <row r="1241" ht="10.95" customHeight="true" customFormat="true" s="9">
      <c r="A1241" s="16">
        <v>45135</v>
      </c>
      <c r="B1241" s="17" t="s">
        <v>424</v>
      </c>
      <c r="C1241" s="17" t="s">
        <v>425</v>
      </c>
      <c r="D1241" s="17" t="s">
        <v>22</v>
      </c>
      <c r="E1241" s="17" t="s">
        <v>444</v>
      </c>
      <c r="F1241" s="17"/>
      <c r="G1241" s="18">
        <v>0</v>
      </c>
      <c r="H1241" s="18">
        <v>20000.0000</v>
      </c>
      <c r="I1241" s="18">
        <f ca="1">((I1240 + G1241) - H1241)</f>
        <v>0</v>
      </c>
      <c r="J1241" s="18">
        <v>0</v>
      </c>
      <c r="K1241" s="19">
        <v>0</v>
      </c>
      <c r="L1241" s="17"/>
    </row>
    <row r="1242" ht="10.95" customHeight="true" customFormat="true" s="9">
      <c r="A1242" s="16">
        <v>45138</v>
      </c>
      <c r="B1242" s="17" t="s">
        <v>424</v>
      </c>
      <c r="C1242" s="17" t="s">
        <v>425</v>
      </c>
      <c r="D1242" s="17" t="s">
        <v>19</v>
      </c>
      <c r="E1242" s="17" t="s">
        <v>428</v>
      </c>
      <c r="F1242" s="17"/>
      <c r="G1242" s="18">
        <v>2869.1500</v>
      </c>
      <c r="H1242" s="18">
        <v>0</v>
      </c>
      <c r="I1242" s="18">
        <f ca="1">((I1241 + G1242) - H1242)</f>
        <v>0</v>
      </c>
      <c r="J1242" s="18">
        <v>0</v>
      </c>
      <c r="K1242" s="19">
        <v>0</v>
      </c>
      <c r="L1242" s="17"/>
    </row>
    <row r="1243" ht="10.95" customHeight="true" customFormat="true" s="9">
      <c r="A1243" s="16">
        <v>45138</v>
      </c>
      <c r="B1243" s="17" t="s">
        <v>424</v>
      </c>
      <c r="C1243" s="17" t="s">
        <v>425</v>
      </c>
      <c r="D1243" s="17" t="s">
        <v>19</v>
      </c>
      <c r="E1243" s="17" t="s">
        <v>24</v>
      </c>
      <c r="F1243" s="17"/>
      <c r="G1243" s="18">
        <v>50.0000</v>
      </c>
      <c r="H1243" s="18">
        <v>0</v>
      </c>
      <c r="I1243" s="18">
        <f ca="1">((I1242 + G1243) - H1243)</f>
        <v>0</v>
      </c>
      <c r="J1243" s="18">
        <v>0</v>
      </c>
      <c r="K1243" s="19">
        <v>0</v>
      </c>
      <c r="L1243" s="17"/>
    </row>
    <row r="1244" ht="10.95" customHeight="true" customFormat="true" s="9">
      <c r="A1244" s="16">
        <v>45138</v>
      </c>
      <c r="B1244" s="17" t="s">
        <v>424</v>
      </c>
      <c r="C1244" s="17" t="s">
        <v>425</v>
      </c>
      <c r="D1244" s="17" t="s">
        <v>19</v>
      </c>
      <c r="E1244" s="17" t="s">
        <v>428</v>
      </c>
      <c r="F1244" s="17"/>
      <c r="G1244" s="18">
        <v>5849.0000</v>
      </c>
      <c r="H1244" s="18">
        <v>0</v>
      </c>
      <c r="I1244" s="18">
        <f ca="1">((I1243 + G1244) - H1244)</f>
        <v>0</v>
      </c>
      <c r="J1244" s="18">
        <v>0</v>
      </c>
      <c r="K1244" s="19">
        <v>0</v>
      </c>
      <c r="L1244" s="17"/>
    </row>
    <row r="1245" ht="10.95" customHeight="true" customFormat="true" s="9">
      <c r="A1245" s="16">
        <v>45138</v>
      </c>
      <c r="B1245" s="17" t="s">
        <v>424</v>
      </c>
      <c r="C1245" s="17" t="s">
        <v>425</v>
      </c>
      <c r="D1245" s="17" t="s">
        <v>22</v>
      </c>
      <c r="E1245" s="17" t="s">
        <v>445</v>
      </c>
      <c r="F1245" s="17"/>
      <c r="G1245" s="18">
        <v>0</v>
      </c>
      <c r="H1245" s="18">
        <v>861.3300</v>
      </c>
      <c r="I1245" s="18">
        <f ca="1">((I1244 + G1245) - H1245)</f>
        <v>0</v>
      </c>
      <c r="J1245" s="18">
        <v>0</v>
      </c>
      <c r="K1245" s="19">
        <v>0</v>
      </c>
      <c r="L1245" s="17"/>
    </row>
    <row r="1246" ht="10.95" customHeight="true" customFormat="true" s="9">
      <c r="A1246" s="16">
        <v>45138</v>
      </c>
      <c r="B1246" s="17" t="s">
        <v>424</v>
      </c>
      <c r="C1246" s="17" t="s">
        <v>425</v>
      </c>
      <c r="D1246" s="17" t="s">
        <v>22</v>
      </c>
      <c r="E1246" s="17" t="s">
        <v>426</v>
      </c>
      <c r="F1246" s="17" t="s">
        <v>446</v>
      </c>
      <c r="G1246" s="18">
        <v>0</v>
      </c>
      <c r="H1246" s="18">
        <v>1158.1500</v>
      </c>
      <c r="I1246" s="18">
        <f ca="1">((I1245 + G1246) - H1246)</f>
        <v>0</v>
      </c>
      <c r="J1246" s="18">
        <v>0</v>
      </c>
      <c r="K1246" s="19">
        <v>0</v>
      </c>
      <c r="L1246" s="17"/>
    </row>
    <row r="1247" ht="10.95" customHeight="true" customFormat="true" s="9">
      <c r="A1247" s="16">
        <v>45138</v>
      </c>
      <c r="B1247" s="17" t="s">
        <v>424</v>
      </c>
      <c r="C1247" s="17" t="s">
        <v>425</v>
      </c>
      <c r="D1247" s="17" t="s">
        <v>22</v>
      </c>
      <c r="E1247" s="17" t="s">
        <v>426</v>
      </c>
      <c r="F1247" s="17" t="s">
        <v>446</v>
      </c>
      <c r="G1247" s="18">
        <v>0</v>
      </c>
      <c r="H1247" s="18">
        <v>403.7500</v>
      </c>
      <c r="I1247" s="18">
        <f ca="1">((I1246 + G1247) - H1247)</f>
        <v>0</v>
      </c>
      <c r="J1247" s="18">
        <v>0</v>
      </c>
      <c r="K1247" s="19">
        <v>0</v>
      </c>
      <c r="L1247" s="17"/>
    </row>
    <row r="1248" ht="10.95" customHeight="true" customFormat="true" s="9">
      <c r="A1248" s="16">
        <v>45138</v>
      </c>
      <c r="B1248" s="17" t="s">
        <v>424</v>
      </c>
      <c r="C1248" s="17" t="s">
        <v>425</v>
      </c>
      <c r="D1248" s="17" t="s">
        <v>22</v>
      </c>
      <c r="E1248" s="17" t="s">
        <v>426</v>
      </c>
      <c r="F1248" s="17" t="s">
        <v>446</v>
      </c>
      <c r="G1248" s="18">
        <v>0</v>
      </c>
      <c r="H1248" s="18">
        <v>488.0000</v>
      </c>
      <c r="I1248" s="18">
        <f ca="1">((I1247 + G1248) - H1248)</f>
        <v>0</v>
      </c>
      <c r="J1248" s="18">
        <v>0</v>
      </c>
      <c r="K1248" s="19">
        <v>0</v>
      </c>
      <c r="L1248" s="17"/>
    </row>
    <row r="1249" ht="10.95" customHeight="true" customFormat="true" s="9">
      <c r="A1249" s="16">
        <v>45138</v>
      </c>
      <c r="B1249" s="17" t="s">
        <v>424</v>
      </c>
      <c r="C1249" s="17" t="s">
        <v>425</v>
      </c>
      <c r="D1249" s="17" t="s">
        <v>22</v>
      </c>
      <c r="E1249" s="17" t="s">
        <v>426</v>
      </c>
      <c r="F1249" s="17" t="s">
        <v>446</v>
      </c>
      <c r="G1249" s="18">
        <v>0</v>
      </c>
      <c r="H1249" s="18">
        <v>511.0000</v>
      </c>
      <c r="I1249" s="18">
        <f ca="1">((I1248 + G1249) - H1249)</f>
        <v>0</v>
      </c>
      <c r="J1249" s="18">
        <v>0</v>
      </c>
      <c r="K1249" s="19">
        <v>0</v>
      </c>
      <c r="L1249" s="17"/>
    </row>
    <row r="1250" ht="10.95" customHeight="true" customFormat="true" s="9">
      <c r="A1250" s="16">
        <v>45138</v>
      </c>
      <c r="B1250" s="17" t="s">
        <v>424</v>
      </c>
      <c r="C1250" s="17" t="s">
        <v>425</v>
      </c>
      <c r="D1250" s="17" t="s">
        <v>19</v>
      </c>
      <c r="E1250" s="17" t="s">
        <v>428</v>
      </c>
      <c r="F1250" s="17"/>
      <c r="G1250" s="18">
        <v>4965.6000</v>
      </c>
      <c r="H1250" s="18">
        <v>0</v>
      </c>
      <c r="I1250" s="18">
        <f ca="1">((I1249 + G1250) - H1250)</f>
        <v>0</v>
      </c>
      <c r="J1250" s="18">
        <v>0</v>
      </c>
      <c r="K1250" s="19">
        <v>0</v>
      </c>
      <c r="L1250" s="17"/>
    </row>
    <row r="1251" ht="10.95" customHeight="true" customFormat="true" s="9">
      <c r="A1251" s="16">
        <v>45138</v>
      </c>
      <c r="B1251" s="17" t="s">
        <v>424</v>
      </c>
      <c r="C1251" s="17" t="s">
        <v>425</v>
      </c>
      <c r="D1251" s="17" t="s">
        <v>22</v>
      </c>
      <c r="E1251" s="17" t="s">
        <v>430</v>
      </c>
      <c r="F1251" s="17"/>
      <c r="G1251" s="18">
        <v>0</v>
      </c>
      <c r="H1251" s="18">
        <v>1913.2900</v>
      </c>
      <c r="I1251" s="18">
        <f ca="1">((I1250 + G1251) - H1251)</f>
        <v>0</v>
      </c>
      <c r="J1251" s="18">
        <v>0</v>
      </c>
      <c r="K1251" s="19">
        <v>0</v>
      </c>
      <c r="L1251" s="17"/>
    </row>
    <row r="1252" ht="10.95" customHeight="true" customFormat="true" s="9">
      <c r="A1252" s="16">
        <v>45138</v>
      </c>
      <c r="B1252" s="17" t="s">
        <v>424</v>
      </c>
      <c r="C1252" s="17" t="s">
        <v>425</v>
      </c>
      <c r="D1252" s="17" t="s">
        <v>22</v>
      </c>
      <c r="E1252" s="17" t="s">
        <v>447</v>
      </c>
      <c r="F1252" s="17"/>
      <c r="G1252" s="18">
        <v>0</v>
      </c>
      <c r="H1252" s="18">
        <v>10.0000</v>
      </c>
      <c r="I1252" s="18">
        <f ca="1">((I1251 + G1252) - H1252)</f>
        <v>0</v>
      </c>
      <c r="J1252" s="18">
        <v>0</v>
      </c>
      <c r="K1252" s="19">
        <v>0</v>
      </c>
      <c r="L1252" s="17"/>
    </row>
    <row r="1253" ht="10.95" customHeight="true" customFormat="true" s="9">
      <c r="A1253" s="16">
        <v>45138</v>
      </c>
      <c r="B1253" s="17" t="s">
        <v>424</v>
      </c>
      <c r="C1253" s="17" t="s">
        <v>425</v>
      </c>
      <c r="D1253" s="17" t="s">
        <v>22</v>
      </c>
      <c r="E1253" s="17" t="s">
        <v>433</v>
      </c>
      <c r="F1253" s="17"/>
      <c r="G1253" s="18">
        <v>0</v>
      </c>
      <c r="H1253" s="18">
        <v>654.6300</v>
      </c>
      <c r="I1253" s="18">
        <f ca="1">((I1252 + G1253) - H1253)</f>
        <v>0</v>
      </c>
      <c r="J1253" s="18">
        <v>0</v>
      </c>
      <c r="K1253" s="19">
        <v>0</v>
      </c>
      <c r="L1253" s="17"/>
    </row>
    <row r="1254" ht="10.95" customHeight="true" customFormat="true" s="9">
      <c r="A1254" s="16">
        <v>45138</v>
      </c>
      <c r="B1254" s="17" t="s">
        <v>424</v>
      </c>
      <c r="C1254" s="17" t="s">
        <v>425</v>
      </c>
      <c r="D1254" s="17" t="s">
        <v>22</v>
      </c>
      <c r="E1254" s="17" t="s">
        <v>34</v>
      </c>
      <c r="F1254" s="17"/>
      <c r="G1254" s="18">
        <v>0</v>
      </c>
      <c r="H1254" s="18">
        <v>1500.0000</v>
      </c>
      <c r="I1254" s="18">
        <f ca="1">((I1253 + G1254) - H1254)</f>
        <v>0</v>
      </c>
      <c r="J1254" s="18">
        <v>0</v>
      </c>
      <c r="K1254" s="19">
        <v>0</v>
      </c>
      <c r="L1254" s="17"/>
    </row>
    <row r="1255" ht="10.95" customHeight="true" customFormat="true" s="9">
      <c r="A1255" s="16">
        <v>45138</v>
      </c>
      <c r="B1255" s="17" t="s">
        <v>424</v>
      </c>
      <c r="C1255" s="17" t="s">
        <v>425</v>
      </c>
      <c r="D1255" s="17" t="s">
        <v>22</v>
      </c>
      <c r="E1255" s="17" t="s">
        <v>426</v>
      </c>
      <c r="F1255" s="17" t="s">
        <v>446</v>
      </c>
      <c r="G1255" s="18">
        <v>0</v>
      </c>
      <c r="H1255" s="18">
        <v>126.0000</v>
      </c>
      <c r="I1255" s="18">
        <f ca="1">((I1254 + G1255) - H1255)</f>
        <v>0</v>
      </c>
      <c r="J1255" s="18">
        <v>0</v>
      </c>
      <c r="K1255" s="19">
        <v>0</v>
      </c>
      <c r="L1255" s="17"/>
    </row>
    <row r="1256" ht="10.95" customHeight="true" customFormat="true" s="9">
      <c r="A1256" s="16">
        <v>45138</v>
      </c>
      <c r="B1256" s="17" t="s">
        <v>424</v>
      </c>
      <c r="C1256" s="17" t="s">
        <v>425</v>
      </c>
      <c r="D1256" s="17" t="s">
        <v>22</v>
      </c>
      <c r="E1256" s="17" t="s">
        <v>426</v>
      </c>
      <c r="F1256" s="17" t="s">
        <v>446</v>
      </c>
      <c r="G1256" s="18">
        <v>0</v>
      </c>
      <c r="H1256" s="18">
        <v>2000.0000</v>
      </c>
      <c r="I1256" s="18">
        <f ca="1">((I1255 + G1256) - H1256)</f>
        <v>0</v>
      </c>
      <c r="J1256" s="18">
        <v>0</v>
      </c>
      <c r="K1256" s="19">
        <v>0</v>
      </c>
      <c r="L1256" s="17"/>
    </row>
    <row r="1257" ht="10.95" customHeight="true" customFormat="true" s="9">
      <c r="A1257" s="16">
        <v>45139</v>
      </c>
      <c r="B1257" s="17" t="s">
        <v>424</v>
      </c>
      <c r="C1257" s="17" t="s">
        <v>425</v>
      </c>
      <c r="D1257" s="17" t="s">
        <v>22</v>
      </c>
      <c r="E1257" s="17" t="s">
        <v>430</v>
      </c>
      <c r="F1257" s="17"/>
      <c r="G1257" s="18">
        <v>0</v>
      </c>
      <c r="H1257" s="18">
        <v>2094.4200</v>
      </c>
      <c r="I1257" s="18">
        <f ca="1">((I1256 + G1257) - H1257)</f>
        <v>0</v>
      </c>
      <c r="J1257" s="18">
        <v>0</v>
      </c>
      <c r="K1257" s="19">
        <v>0</v>
      </c>
      <c r="L1257" s="17"/>
    </row>
    <row r="1258" ht="10.95" customHeight="true" customFormat="true" s="9">
      <c r="A1258" s="16">
        <v>45140</v>
      </c>
      <c r="B1258" s="17" t="s">
        <v>424</v>
      </c>
      <c r="C1258" s="17" t="s">
        <v>425</v>
      </c>
      <c r="D1258" s="17" t="s">
        <v>19</v>
      </c>
      <c r="E1258" s="17" t="s">
        <v>428</v>
      </c>
      <c r="F1258" s="17"/>
      <c r="G1258" s="18">
        <v>2115.1000</v>
      </c>
      <c r="H1258" s="18">
        <v>0</v>
      </c>
      <c r="I1258" s="18">
        <f ca="1">((I1257 + G1258) - H1258)</f>
        <v>0</v>
      </c>
      <c r="J1258" s="18">
        <v>0</v>
      </c>
      <c r="K1258" s="19">
        <v>0</v>
      </c>
      <c r="L1258" s="17"/>
    </row>
    <row r="1259" ht="10.95" customHeight="true" customFormat="true" s="9">
      <c r="A1259" s="16">
        <v>45141</v>
      </c>
      <c r="B1259" s="17" t="s">
        <v>424</v>
      </c>
      <c r="C1259" s="17" t="s">
        <v>425</v>
      </c>
      <c r="D1259" s="17" t="s">
        <v>19</v>
      </c>
      <c r="E1259" s="17" t="s">
        <v>428</v>
      </c>
      <c r="F1259" s="17"/>
      <c r="G1259" s="18">
        <v>2311.2000</v>
      </c>
      <c r="H1259" s="18">
        <v>0</v>
      </c>
      <c r="I1259" s="18">
        <f ca="1">((I1258 + G1259) - H1259)</f>
        <v>0</v>
      </c>
      <c r="J1259" s="18">
        <v>0</v>
      </c>
      <c r="K1259" s="19">
        <v>0</v>
      </c>
      <c r="L1259" s="17"/>
    </row>
    <row r="1260" ht="10.95" customHeight="true" customFormat="true" s="9">
      <c r="A1260" s="16">
        <v>45141</v>
      </c>
      <c r="B1260" s="17" t="s">
        <v>424</v>
      </c>
      <c r="C1260" s="17" t="s">
        <v>425</v>
      </c>
      <c r="D1260" s="17" t="s">
        <v>22</v>
      </c>
      <c r="E1260" s="17" t="s">
        <v>431</v>
      </c>
      <c r="F1260" s="17"/>
      <c r="G1260" s="18">
        <v>0</v>
      </c>
      <c r="H1260" s="18">
        <v>65.0000</v>
      </c>
      <c r="I1260" s="18">
        <f ca="1">((I1259 + G1260) - H1260)</f>
        <v>0</v>
      </c>
      <c r="J1260" s="18">
        <v>0</v>
      </c>
      <c r="K1260" s="19">
        <v>0</v>
      </c>
      <c r="L1260" s="17"/>
    </row>
    <row r="1261" ht="10.95" customHeight="true" customFormat="true" s="9">
      <c r="A1261" s="16">
        <v>45142</v>
      </c>
      <c r="B1261" s="17" t="s">
        <v>424</v>
      </c>
      <c r="C1261" s="17" t="s">
        <v>425</v>
      </c>
      <c r="D1261" s="17" t="s">
        <v>19</v>
      </c>
      <c r="E1261" s="17" t="s">
        <v>428</v>
      </c>
      <c r="F1261" s="17"/>
      <c r="G1261" s="18">
        <v>2409.3500</v>
      </c>
      <c r="H1261" s="18">
        <v>0</v>
      </c>
      <c r="I1261" s="18">
        <f ca="1">((I1260 + G1261) - H1261)</f>
        <v>0</v>
      </c>
      <c r="J1261" s="18">
        <v>0</v>
      </c>
      <c r="K1261" s="19">
        <v>0</v>
      </c>
      <c r="L1261" s="17"/>
    </row>
    <row r="1262" ht="10.95" customHeight="true" customFormat="true" s="9">
      <c r="A1262" s="16">
        <v>45142</v>
      </c>
      <c r="B1262" s="17" t="s">
        <v>424</v>
      </c>
      <c r="C1262" s="17" t="s">
        <v>425</v>
      </c>
      <c r="D1262" s="17" t="s">
        <v>22</v>
      </c>
      <c r="E1262" s="17" t="s">
        <v>430</v>
      </c>
      <c r="F1262" s="17"/>
      <c r="G1262" s="18">
        <v>0</v>
      </c>
      <c r="H1262" s="18">
        <v>1567.7000</v>
      </c>
      <c r="I1262" s="18">
        <f ca="1">((I1261 + G1262) - H1262)</f>
        <v>0</v>
      </c>
      <c r="J1262" s="18">
        <v>0</v>
      </c>
      <c r="K1262" s="19">
        <v>0</v>
      </c>
      <c r="L1262" s="17"/>
    </row>
    <row r="1263" ht="10.95" customHeight="true" customFormat="true" s="9">
      <c r="A1263" s="16">
        <v>45145</v>
      </c>
      <c r="B1263" s="17" t="s">
        <v>424</v>
      </c>
      <c r="C1263" s="17" t="s">
        <v>425</v>
      </c>
      <c r="D1263" s="17" t="s">
        <v>22</v>
      </c>
      <c r="E1263" s="17" t="s">
        <v>426</v>
      </c>
      <c r="F1263" s="17" t="s">
        <v>448</v>
      </c>
      <c r="G1263" s="18">
        <v>0</v>
      </c>
      <c r="H1263" s="18">
        <v>126.0000</v>
      </c>
      <c r="I1263" s="18">
        <f ca="1">((I1262 + G1263) - H1263)</f>
        <v>0</v>
      </c>
      <c r="J1263" s="18">
        <v>0</v>
      </c>
      <c r="K1263" s="19">
        <v>0</v>
      </c>
      <c r="L1263" s="17"/>
    </row>
    <row r="1264" ht="10.95" customHeight="true" customFormat="true" s="9">
      <c r="A1264" s="16">
        <v>45145</v>
      </c>
      <c r="B1264" s="17" t="s">
        <v>424</v>
      </c>
      <c r="C1264" s="17" t="s">
        <v>425</v>
      </c>
      <c r="D1264" s="17" t="s">
        <v>22</v>
      </c>
      <c r="E1264" s="17" t="s">
        <v>426</v>
      </c>
      <c r="F1264" s="17" t="s">
        <v>448</v>
      </c>
      <c r="G1264" s="18">
        <v>0</v>
      </c>
      <c r="H1264" s="18">
        <v>1158.1500</v>
      </c>
      <c r="I1264" s="18">
        <f ca="1">((I1263 + G1264) - H1264)</f>
        <v>0</v>
      </c>
      <c r="J1264" s="18">
        <v>0</v>
      </c>
      <c r="K1264" s="19">
        <v>0</v>
      </c>
      <c r="L1264" s="17"/>
    </row>
    <row r="1265" ht="10.95" customHeight="true" customFormat="true" s="9">
      <c r="A1265" s="16">
        <v>45145</v>
      </c>
      <c r="B1265" s="17" t="s">
        <v>424</v>
      </c>
      <c r="C1265" s="17" t="s">
        <v>425</v>
      </c>
      <c r="D1265" s="17" t="s">
        <v>22</v>
      </c>
      <c r="E1265" s="17" t="s">
        <v>426</v>
      </c>
      <c r="F1265" s="17" t="s">
        <v>448</v>
      </c>
      <c r="G1265" s="18">
        <v>0</v>
      </c>
      <c r="H1265" s="18">
        <v>231.0000</v>
      </c>
      <c r="I1265" s="18">
        <f ca="1">((I1264 + G1265) - H1265)</f>
        <v>0</v>
      </c>
      <c r="J1265" s="18">
        <v>0</v>
      </c>
      <c r="K1265" s="19">
        <v>0</v>
      </c>
      <c r="L1265" s="17"/>
    </row>
    <row r="1266" ht="10.95" customHeight="true" customFormat="true" s="9">
      <c r="A1266" s="16">
        <v>45145</v>
      </c>
      <c r="B1266" s="17" t="s">
        <v>424</v>
      </c>
      <c r="C1266" s="17" t="s">
        <v>425</v>
      </c>
      <c r="D1266" s="17" t="s">
        <v>19</v>
      </c>
      <c r="E1266" s="17" t="s">
        <v>428</v>
      </c>
      <c r="F1266" s="17"/>
      <c r="G1266" s="18">
        <v>6134.4000</v>
      </c>
      <c r="H1266" s="18">
        <v>0</v>
      </c>
      <c r="I1266" s="18">
        <f ca="1">((I1265 + G1266) - H1266)</f>
        <v>0</v>
      </c>
      <c r="J1266" s="18">
        <v>0</v>
      </c>
      <c r="K1266" s="19">
        <v>0</v>
      </c>
      <c r="L1266" s="17"/>
    </row>
    <row r="1267" ht="10.95" customHeight="true" customFormat="true" s="9">
      <c r="A1267" s="16">
        <v>45145</v>
      </c>
      <c r="B1267" s="17" t="s">
        <v>424</v>
      </c>
      <c r="C1267" s="17" t="s">
        <v>425</v>
      </c>
      <c r="D1267" s="17" t="s">
        <v>22</v>
      </c>
      <c r="E1267" s="17" t="s">
        <v>438</v>
      </c>
      <c r="F1267" s="17"/>
      <c r="G1267" s="18">
        <v>0</v>
      </c>
      <c r="H1267" s="18">
        <v>21.4500</v>
      </c>
      <c r="I1267" s="18">
        <f ca="1">((I1266 + G1267) - H1267)</f>
        <v>0</v>
      </c>
      <c r="J1267" s="18">
        <v>0</v>
      </c>
      <c r="K1267" s="19">
        <v>0</v>
      </c>
      <c r="L1267" s="17"/>
    </row>
    <row r="1268" ht="10.95" customHeight="true" customFormat="true" s="9">
      <c r="A1268" s="16">
        <v>45145</v>
      </c>
      <c r="B1268" s="17" t="s">
        <v>424</v>
      </c>
      <c r="C1268" s="17" t="s">
        <v>425</v>
      </c>
      <c r="D1268" s="17" t="s">
        <v>22</v>
      </c>
      <c r="E1268" s="17" t="s">
        <v>426</v>
      </c>
      <c r="F1268" s="17" t="s">
        <v>448</v>
      </c>
      <c r="G1268" s="18">
        <v>0</v>
      </c>
      <c r="H1268" s="18">
        <v>488.0000</v>
      </c>
      <c r="I1268" s="18">
        <f ca="1">((I1267 + G1268) - H1268)</f>
        <v>0</v>
      </c>
      <c r="J1268" s="18">
        <v>0</v>
      </c>
      <c r="K1268" s="19">
        <v>0</v>
      </c>
      <c r="L1268" s="17"/>
    </row>
    <row r="1269" ht="10.95" customHeight="true" customFormat="true" s="9">
      <c r="A1269" s="16">
        <v>45145</v>
      </c>
      <c r="B1269" s="17" t="s">
        <v>424</v>
      </c>
      <c r="C1269" s="17" t="s">
        <v>425</v>
      </c>
      <c r="D1269" s="17" t="s">
        <v>22</v>
      </c>
      <c r="E1269" s="17" t="s">
        <v>426</v>
      </c>
      <c r="F1269" s="17" t="s">
        <v>448</v>
      </c>
      <c r="G1269" s="18">
        <v>0</v>
      </c>
      <c r="H1269" s="18">
        <v>796.4500</v>
      </c>
      <c r="I1269" s="18">
        <f ca="1">((I1268 + G1269) - H1269)</f>
        <v>0</v>
      </c>
      <c r="J1269" s="18">
        <v>0</v>
      </c>
      <c r="K1269" s="19">
        <v>0</v>
      </c>
      <c r="L1269" s="17"/>
    </row>
    <row r="1270" ht="10.95" customHeight="true" customFormat="true" s="9">
      <c r="A1270" s="16">
        <v>45145</v>
      </c>
      <c r="B1270" s="17" t="s">
        <v>424</v>
      </c>
      <c r="C1270" s="17" t="s">
        <v>425</v>
      </c>
      <c r="D1270" s="17" t="s">
        <v>22</v>
      </c>
      <c r="E1270" s="17" t="s">
        <v>34</v>
      </c>
      <c r="F1270" s="17"/>
      <c r="G1270" s="18">
        <v>0</v>
      </c>
      <c r="H1270" s="18">
        <v>2300.0000</v>
      </c>
      <c r="I1270" s="18">
        <f ca="1">((I1269 + G1270) - H1270)</f>
        <v>0</v>
      </c>
      <c r="J1270" s="18">
        <v>0</v>
      </c>
      <c r="K1270" s="19">
        <v>0</v>
      </c>
      <c r="L1270" s="17"/>
    </row>
    <row r="1271" ht="10.95" customHeight="true" customFormat="true" s="9">
      <c r="A1271" s="16">
        <v>45145</v>
      </c>
      <c r="B1271" s="17" t="s">
        <v>424</v>
      </c>
      <c r="C1271" s="17" t="s">
        <v>425</v>
      </c>
      <c r="D1271" s="17" t="s">
        <v>22</v>
      </c>
      <c r="E1271" s="17" t="s">
        <v>426</v>
      </c>
      <c r="F1271" s="17" t="s">
        <v>448</v>
      </c>
      <c r="G1271" s="18">
        <v>0</v>
      </c>
      <c r="H1271" s="18">
        <v>2000.0000</v>
      </c>
      <c r="I1271" s="18">
        <f ca="1">((I1270 + G1271) - H1271)</f>
        <v>0</v>
      </c>
      <c r="J1271" s="18">
        <v>0</v>
      </c>
      <c r="K1271" s="19">
        <v>0</v>
      </c>
      <c r="L1271" s="17"/>
    </row>
    <row r="1272" ht="10.95" customHeight="true" customFormat="true" s="9">
      <c r="A1272" s="16">
        <v>45145</v>
      </c>
      <c r="B1272" s="17" t="s">
        <v>424</v>
      </c>
      <c r="C1272" s="17" t="s">
        <v>425</v>
      </c>
      <c r="D1272" s="17" t="s">
        <v>19</v>
      </c>
      <c r="E1272" s="17" t="s">
        <v>428</v>
      </c>
      <c r="F1272" s="17"/>
      <c r="G1272" s="18">
        <v>3047.5500</v>
      </c>
      <c r="H1272" s="18">
        <v>0</v>
      </c>
      <c r="I1272" s="18">
        <f ca="1">((I1271 + G1272) - H1272)</f>
        <v>0</v>
      </c>
      <c r="J1272" s="18">
        <v>0</v>
      </c>
      <c r="K1272" s="19">
        <v>0</v>
      </c>
      <c r="L1272" s="17"/>
    </row>
    <row r="1273" ht="10.95" customHeight="true" customFormat="true" s="9">
      <c r="A1273" s="16">
        <v>45145</v>
      </c>
      <c r="B1273" s="17" t="s">
        <v>424</v>
      </c>
      <c r="C1273" s="17" t="s">
        <v>425</v>
      </c>
      <c r="D1273" s="17" t="s">
        <v>19</v>
      </c>
      <c r="E1273" s="17" t="s">
        <v>428</v>
      </c>
      <c r="F1273" s="17"/>
      <c r="G1273" s="18">
        <v>5303.2000</v>
      </c>
      <c r="H1273" s="18">
        <v>0</v>
      </c>
      <c r="I1273" s="18">
        <f ca="1">((I1272 + G1273) - H1273)</f>
        <v>0</v>
      </c>
      <c r="J1273" s="18">
        <v>0</v>
      </c>
      <c r="K1273" s="19">
        <v>0</v>
      </c>
      <c r="L1273" s="17"/>
    </row>
    <row r="1274" ht="10.95" customHeight="true" customFormat="true" s="9">
      <c r="A1274" s="16">
        <v>45146</v>
      </c>
      <c r="B1274" s="17" t="s">
        <v>424</v>
      </c>
      <c r="C1274" s="17" t="s">
        <v>425</v>
      </c>
      <c r="D1274" s="17" t="s">
        <v>19</v>
      </c>
      <c r="E1274" s="17" t="s">
        <v>24</v>
      </c>
      <c r="F1274" s="17"/>
      <c r="G1274" s="18">
        <v>150.0000</v>
      </c>
      <c r="H1274" s="18">
        <v>0</v>
      </c>
      <c r="I1274" s="18">
        <f ca="1">((I1273 + G1274) - H1274)</f>
        <v>0</v>
      </c>
      <c r="J1274" s="18">
        <v>0</v>
      </c>
      <c r="K1274" s="19">
        <v>0</v>
      </c>
      <c r="L1274" s="17"/>
    </row>
    <row r="1275" ht="10.95" customHeight="true" customFormat="true" s="9">
      <c r="A1275" s="16">
        <v>45146</v>
      </c>
      <c r="B1275" s="17" t="s">
        <v>424</v>
      </c>
      <c r="C1275" s="17" t="s">
        <v>425</v>
      </c>
      <c r="D1275" s="17" t="s">
        <v>22</v>
      </c>
      <c r="E1275" s="17" t="s">
        <v>431</v>
      </c>
      <c r="F1275" s="17"/>
      <c r="G1275" s="18">
        <v>0</v>
      </c>
      <c r="H1275" s="18">
        <v>8.9900</v>
      </c>
      <c r="I1275" s="18">
        <f ca="1">((I1274 + G1275) - H1275)</f>
        <v>0</v>
      </c>
      <c r="J1275" s="18">
        <v>0</v>
      </c>
      <c r="K1275" s="19">
        <v>0</v>
      </c>
      <c r="L1275" s="17"/>
    </row>
    <row r="1276" ht="10.95" customHeight="true" customFormat="true" s="9">
      <c r="A1276" s="16">
        <v>45146</v>
      </c>
      <c r="B1276" s="17" t="s">
        <v>424</v>
      </c>
      <c r="C1276" s="17" t="s">
        <v>425</v>
      </c>
      <c r="D1276" s="17" t="s">
        <v>22</v>
      </c>
      <c r="E1276" s="17" t="s">
        <v>430</v>
      </c>
      <c r="F1276" s="17"/>
      <c r="G1276" s="18">
        <v>0</v>
      </c>
      <c r="H1276" s="18">
        <v>1665.9200</v>
      </c>
      <c r="I1276" s="18">
        <f ca="1">((I1275 + G1276) - H1276)</f>
        <v>0</v>
      </c>
      <c r="J1276" s="18">
        <v>0</v>
      </c>
      <c r="K1276" s="19">
        <v>0</v>
      </c>
      <c r="L1276" s="17"/>
    </row>
    <row r="1277" ht="10.95" customHeight="true" customFormat="true" s="9">
      <c r="A1277" s="16">
        <v>45147</v>
      </c>
      <c r="B1277" s="17" t="s">
        <v>424</v>
      </c>
      <c r="C1277" s="17" t="s">
        <v>425</v>
      </c>
      <c r="D1277" s="17" t="s">
        <v>19</v>
      </c>
      <c r="E1277" s="17" t="s">
        <v>428</v>
      </c>
      <c r="F1277" s="17"/>
      <c r="G1277" s="18">
        <v>2431.8000</v>
      </c>
      <c r="H1277" s="18">
        <v>0</v>
      </c>
      <c r="I1277" s="18">
        <f ca="1">((I1276 + G1277) - H1277)</f>
        <v>0</v>
      </c>
      <c r="J1277" s="18">
        <v>0</v>
      </c>
      <c r="K1277" s="19">
        <v>0</v>
      </c>
      <c r="L1277" s="17"/>
    </row>
    <row r="1278" ht="10.95" customHeight="true" customFormat="true" s="9">
      <c r="A1278" s="16">
        <v>45148</v>
      </c>
      <c r="B1278" s="17" t="s">
        <v>424</v>
      </c>
      <c r="C1278" s="17" t="s">
        <v>425</v>
      </c>
      <c r="D1278" s="17" t="s">
        <v>19</v>
      </c>
      <c r="E1278" s="17" t="s">
        <v>428</v>
      </c>
      <c r="F1278" s="17"/>
      <c r="G1278" s="18">
        <v>2293.2800</v>
      </c>
      <c r="H1278" s="18">
        <v>0</v>
      </c>
      <c r="I1278" s="18">
        <f ca="1">((I1277 + G1278) - H1278)</f>
        <v>0</v>
      </c>
      <c r="J1278" s="18">
        <v>0</v>
      </c>
      <c r="K1278" s="19">
        <v>0</v>
      </c>
      <c r="L1278" s="17"/>
    </row>
    <row r="1279" ht="10.95" customHeight="true" customFormat="true" s="9">
      <c r="A1279" s="16">
        <v>45149</v>
      </c>
      <c r="B1279" s="17" t="s">
        <v>424</v>
      </c>
      <c r="C1279" s="17" t="s">
        <v>425</v>
      </c>
      <c r="D1279" s="17" t="s">
        <v>19</v>
      </c>
      <c r="E1279" s="17" t="s">
        <v>428</v>
      </c>
      <c r="F1279" s="17"/>
      <c r="G1279" s="18">
        <v>2570.8500</v>
      </c>
      <c r="H1279" s="18">
        <v>0</v>
      </c>
      <c r="I1279" s="18">
        <f ca="1">((I1278 + G1279) - H1279)</f>
        <v>0</v>
      </c>
      <c r="J1279" s="18">
        <v>0</v>
      </c>
      <c r="K1279" s="19">
        <v>0</v>
      </c>
      <c r="L1279" s="17"/>
    </row>
    <row r="1280" ht="10.95" customHeight="true" customFormat="true" s="9">
      <c r="A1280" s="16">
        <v>45149</v>
      </c>
      <c r="B1280" s="17" t="s">
        <v>424</v>
      </c>
      <c r="C1280" s="17" t="s">
        <v>425</v>
      </c>
      <c r="D1280" s="17" t="s">
        <v>22</v>
      </c>
      <c r="E1280" s="17" t="s">
        <v>66</v>
      </c>
      <c r="F1280" s="17"/>
      <c r="G1280" s="18">
        <v>0</v>
      </c>
      <c r="H1280" s="18">
        <v>44702.0000</v>
      </c>
      <c r="I1280" s="18">
        <f ca="1">((I1279 + G1280) - H1280)</f>
        <v>0</v>
      </c>
      <c r="J1280" s="18">
        <v>0</v>
      </c>
      <c r="K1280" s="19">
        <v>0</v>
      </c>
      <c r="L1280" s="17"/>
    </row>
    <row r="1281" ht="10.95" customHeight="true" customFormat="true" s="9">
      <c r="A1281" s="16">
        <v>45149</v>
      </c>
      <c r="B1281" s="17" t="s">
        <v>424</v>
      </c>
      <c r="C1281" s="17" t="s">
        <v>425</v>
      </c>
      <c r="D1281" s="17" t="s">
        <v>22</v>
      </c>
      <c r="E1281" s="17" t="s">
        <v>449</v>
      </c>
      <c r="F1281" s="17"/>
      <c r="G1281" s="18">
        <v>0</v>
      </c>
      <c r="H1281" s="18">
        <v>1241.2800</v>
      </c>
      <c r="I1281" s="18">
        <f ca="1">((I1280 + G1281) - H1281)</f>
        <v>0</v>
      </c>
      <c r="J1281" s="18">
        <v>0</v>
      </c>
      <c r="K1281" s="19">
        <v>0</v>
      </c>
      <c r="L1281" s="17"/>
    </row>
    <row r="1282" ht="10.95" customHeight="true" customFormat="true" s="9">
      <c r="A1282" s="16">
        <v>45149</v>
      </c>
      <c r="B1282" s="17" t="s">
        <v>424</v>
      </c>
      <c r="C1282" s="17" t="s">
        <v>425</v>
      </c>
      <c r="D1282" s="17" t="s">
        <v>22</v>
      </c>
      <c r="E1282" s="17" t="s">
        <v>430</v>
      </c>
      <c r="F1282" s="17"/>
      <c r="G1282" s="18">
        <v>0</v>
      </c>
      <c r="H1282" s="18">
        <v>2089.8100</v>
      </c>
      <c r="I1282" s="18">
        <f ca="1">((I1281 + G1282) - H1282)</f>
        <v>0</v>
      </c>
      <c r="J1282" s="18">
        <v>0</v>
      </c>
      <c r="K1282" s="19">
        <v>0</v>
      </c>
      <c r="L1282" s="17"/>
    </row>
    <row r="1283" ht="10.95" customHeight="true" customFormat="true" s="9">
      <c r="A1283" s="16">
        <v>45152</v>
      </c>
      <c r="B1283" s="17" t="s">
        <v>424</v>
      </c>
      <c r="C1283" s="17" t="s">
        <v>425</v>
      </c>
      <c r="D1283" s="17" t="s">
        <v>22</v>
      </c>
      <c r="E1283" s="17" t="s">
        <v>34</v>
      </c>
      <c r="F1283" s="17"/>
      <c r="G1283" s="18">
        <v>0</v>
      </c>
      <c r="H1283" s="18">
        <v>1700.0000</v>
      </c>
      <c r="I1283" s="18">
        <f ca="1">((I1282 + G1283) - H1283)</f>
        <v>0</v>
      </c>
      <c r="J1283" s="18">
        <v>0</v>
      </c>
      <c r="K1283" s="19">
        <v>0</v>
      </c>
      <c r="L1283" s="17"/>
    </row>
    <row r="1284" ht="10.95" customHeight="true" customFormat="true" s="9">
      <c r="A1284" s="16">
        <v>45152</v>
      </c>
      <c r="B1284" s="17" t="s">
        <v>424</v>
      </c>
      <c r="C1284" s="17" t="s">
        <v>425</v>
      </c>
      <c r="D1284" s="17" t="s">
        <v>22</v>
      </c>
      <c r="E1284" s="17" t="s">
        <v>426</v>
      </c>
      <c r="F1284" s="17" t="s">
        <v>450</v>
      </c>
      <c r="G1284" s="18">
        <v>0</v>
      </c>
      <c r="H1284" s="18">
        <v>1158.1500</v>
      </c>
      <c r="I1284" s="18">
        <f ca="1">((I1283 + G1284) - H1284)</f>
        <v>0</v>
      </c>
      <c r="J1284" s="18">
        <v>0</v>
      </c>
      <c r="K1284" s="19">
        <v>0</v>
      </c>
      <c r="L1284" s="17"/>
    </row>
    <row r="1285" ht="10.95" customHeight="true" customFormat="true" s="9">
      <c r="A1285" s="16">
        <v>45152</v>
      </c>
      <c r="B1285" s="17" t="s">
        <v>424</v>
      </c>
      <c r="C1285" s="17" t="s">
        <v>425</v>
      </c>
      <c r="D1285" s="17" t="s">
        <v>22</v>
      </c>
      <c r="E1285" s="17" t="s">
        <v>426</v>
      </c>
      <c r="F1285" s="17" t="s">
        <v>450</v>
      </c>
      <c r="G1285" s="18">
        <v>0</v>
      </c>
      <c r="H1285" s="18">
        <v>841.0000</v>
      </c>
      <c r="I1285" s="18">
        <f ca="1">((I1284 + G1285) - H1285)</f>
        <v>0</v>
      </c>
      <c r="J1285" s="18">
        <v>0</v>
      </c>
      <c r="K1285" s="19">
        <v>0</v>
      </c>
      <c r="L1285" s="17"/>
    </row>
    <row r="1286" ht="10.95" customHeight="true" customFormat="true" s="9">
      <c r="A1286" s="16">
        <v>45152</v>
      </c>
      <c r="B1286" s="17" t="s">
        <v>424</v>
      </c>
      <c r="C1286" s="17" t="s">
        <v>425</v>
      </c>
      <c r="D1286" s="17" t="s">
        <v>22</v>
      </c>
      <c r="E1286" s="17" t="s">
        <v>433</v>
      </c>
      <c r="F1286" s="17"/>
      <c r="G1286" s="18">
        <v>0</v>
      </c>
      <c r="H1286" s="18">
        <v>223.3100</v>
      </c>
      <c r="I1286" s="18">
        <f ca="1">((I1285 + G1286) - H1286)</f>
        <v>0</v>
      </c>
      <c r="J1286" s="18">
        <v>0</v>
      </c>
      <c r="K1286" s="19">
        <v>0</v>
      </c>
      <c r="L1286" s="17"/>
    </row>
    <row r="1287" ht="10.95" customHeight="true" customFormat="true" s="9">
      <c r="A1287" s="16">
        <v>45152</v>
      </c>
      <c r="B1287" s="17" t="s">
        <v>424</v>
      </c>
      <c r="C1287" s="17" t="s">
        <v>425</v>
      </c>
      <c r="D1287" s="17" t="s">
        <v>22</v>
      </c>
      <c r="E1287" s="17" t="s">
        <v>426</v>
      </c>
      <c r="F1287" s="17" t="s">
        <v>450</v>
      </c>
      <c r="G1287" s="18">
        <v>0</v>
      </c>
      <c r="H1287" s="18">
        <v>2000.0000</v>
      </c>
      <c r="I1287" s="18">
        <f ca="1">((I1286 + G1287) - H1287)</f>
        <v>0</v>
      </c>
      <c r="J1287" s="18">
        <v>0</v>
      </c>
      <c r="K1287" s="19">
        <v>0</v>
      </c>
      <c r="L1287" s="17"/>
    </row>
    <row r="1288" ht="10.95" customHeight="true" customFormat="true" s="9">
      <c r="A1288" s="16">
        <v>45152</v>
      </c>
      <c r="B1288" s="17" t="s">
        <v>424</v>
      </c>
      <c r="C1288" s="17" t="s">
        <v>425</v>
      </c>
      <c r="D1288" s="17" t="s">
        <v>22</v>
      </c>
      <c r="E1288" s="17" t="s">
        <v>426</v>
      </c>
      <c r="F1288" s="17" t="s">
        <v>450</v>
      </c>
      <c r="G1288" s="18">
        <v>0</v>
      </c>
      <c r="H1288" s="18">
        <v>389.0000</v>
      </c>
      <c r="I1288" s="18">
        <f ca="1">((I1287 + G1288) - H1288)</f>
        <v>0</v>
      </c>
      <c r="J1288" s="18">
        <v>0</v>
      </c>
      <c r="K1288" s="19">
        <v>0</v>
      </c>
      <c r="L1288" s="17"/>
    </row>
    <row r="1289" ht="10.95" customHeight="true" customFormat="true" s="9">
      <c r="A1289" s="16">
        <v>45152</v>
      </c>
      <c r="B1289" s="17" t="s">
        <v>424</v>
      </c>
      <c r="C1289" s="17" t="s">
        <v>425</v>
      </c>
      <c r="D1289" s="17" t="s">
        <v>22</v>
      </c>
      <c r="E1289" s="17" t="s">
        <v>426</v>
      </c>
      <c r="F1289" s="17" t="s">
        <v>450</v>
      </c>
      <c r="G1289" s="18">
        <v>0</v>
      </c>
      <c r="H1289" s="18">
        <v>196.0000</v>
      </c>
      <c r="I1289" s="18">
        <f ca="1">((I1288 + G1289) - H1289)</f>
        <v>0</v>
      </c>
      <c r="J1289" s="18">
        <v>0</v>
      </c>
      <c r="K1289" s="19">
        <v>0</v>
      </c>
      <c r="L1289" s="17"/>
    </row>
    <row r="1290" ht="10.95" customHeight="true" customFormat="true" s="9">
      <c r="A1290" s="16">
        <v>45152</v>
      </c>
      <c r="B1290" s="17" t="s">
        <v>424</v>
      </c>
      <c r="C1290" s="17" t="s">
        <v>425</v>
      </c>
      <c r="D1290" s="17" t="s">
        <v>19</v>
      </c>
      <c r="E1290" s="17" t="s">
        <v>24</v>
      </c>
      <c r="F1290" s="17"/>
      <c r="G1290" s="18">
        <v>150.1000</v>
      </c>
      <c r="H1290" s="18">
        <v>0</v>
      </c>
      <c r="I1290" s="18">
        <f ca="1">((I1289 + G1290) - H1290)</f>
        <v>0</v>
      </c>
      <c r="J1290" s="18">
        <v>0</v>
      </c>
      <c r="K1290" s="19">
        <v>0</v>
      </c>
      <c r="L1290" s="17"/>
    </row>
    <row r="1291" ht="10.95" customHeight="true" customFormat="true" s="9">
      <c r="A1291" s="16">
        <v>45152</v>
      </c>
      <c r="B1291" s="17" t="s">
        <v>424</v>
      </c>
      <c r="C1291" s="17" t="s">
        <v>425</v>
      </c>
      <c r="D1291" s="17" t="s">
        <v>19</v>
      </c>
      <c r="E1291" s="17" t="s">
        <v>428</v>
      </c>
      <c r="F1291" s="17"/>
      <c r="G1291" s="18">
        <v>6234.8800</v>
      </c>
      <c r="H1291" s="18">
        <v>0</v>
      </c>
      <c r="I1291" s="18">
        <f ca="1">((I1290 + G1291) - H1291)</f>
        <v>0</v>
      </c>
      <c r="J1291" s="18">
        <v>0</v>
      </c>
      <c r="K1291" s="19">
        <v>0</v>
      </c>
      <c r="L1291" s="17"/>
    </row>
    <row r="1292" ht="10.95" customHeight="true" customFormat="true" s="9">
      <c r="A1292" s="16">
        <v>45152</v>
      </c>
      <c r="B1292" s="17" t="s">
        <v>424</v>
      </c>
      <c r="C1292" s="17" t="s">
        <v>425</v>
      </c>
      <c r="D1292" s="17" t="s">
        <v>19</v>
      </c>
      <c r="E1292" s="17" t="s">
        <v>428</v>
      </c>
      <c r="F1292" s="17"/>
      <c r="G1292" s="18">
        <v>5418.6000</v>
      </c>
      <c r="H1292" s="18">
        <v>0</v>
      </c>
      <c r="I1292" s="18">
        <f ca="1">((I1291 + G1292) - H1292)</f>
        <v>0</v>
      </c>
      <c r="J1292" s="18">
        <v>0</v>
      </c>
      <c r="K1292" s="19">
        <v>0</v>
      </c>
      <c r="L1292" s="17"/>
    </row>
    <row r="1293" ht="10.95" customHeight="true" customFormat="true" s="9">
      <c r="A1293" s="16">
        <v>45152</v>
      </c>
      <c r="B1293" s="17" t="s">
        <v>424</v>
      </c>
      <c r="C1293" s="17" t="s">
        <v>425</v>
      </c>
      <c r="D1293" s="17" t="s">
        <v>19</v>
      </c>
      <c r="E1293" s="17" t="s">
        <v>428</v>
      </c>
      <c r="F1293" s="17"/>
      <c r="G1293" s="18">
        <v>2887.0000</v>
      </c>
      <c r="H1293" s="18">
        <v>0</v>
      </c>
      <c r="I1293" s="18">
        <f ca="1">((I1292 + G1293) - H1293)</f>
        <v>0</v>
      </c>
      <c r="J1293" s="18">
        <v>0</v>
      </c>
      <c r="K1293" s="19">
        <v>0</v>
      </c>
      <c r="L1293" s="17"/>
    </row>
    <row r="1294" ht="10.95" customHeight="true" customFormat="true" s="9">
      <c r="A1294" s="16">
        <v>45152</v>
      </c>
      <c r="B1294" s="17" t="s">
        <v>424</v>
      </c>
      <c r="C1294" s="17" t="s">
        <v>425</v>
      </c>
      <c r="D1294" s="17" t="s">
        <v>22</v>
      </c>
      <c r="E1294" s="17" t="s">
        <v>426</v>
      </c>
      <c r="F1294" s="17" t="s">
        <v>450</v>
      </c>
      <c r="G1294" s="18">
        <v>0</v>
      </c>
      <c r="H1294" s="18">
        <v>126.0000</v>
      </c>
      <c r="I1294" s="18">
        <f ca="1">((I1293 + G1294) - H1294)</f>
        <v>0</v>
      </c>
      <c r="J1294" s="18">
        <v>0</v>
      </c>
      <c r="K1294" s="19">
        <v>0</v>
      </c>
      <c r="L1294" s="17"/>
    </row>
    <row r="1295" ht="10.95" customHeight="true" customFormat="true" s="9">
      <c r="A1295" s="16">
        <v>45153</v>
      </c>
      <c r="B1295" s="17" t="s">
        <v>424</v>
      </c>
      <c r="C1295" s="17" t="s">
        <v>425</v>
      </c>
      <c r="D1295" s="17" t="s">
        <v>22</v>
      </c>
      <c r="E1295" s="17" t="s">
        <v>430</v>
      </c>
      <c r="F1295" s="17"/>
      <c r="G1295" s="18">
        <v>0</v>
      </c>
      <c r="H1295" s="18">
        <v>1615.1000</v>
      </c>
      <c r="I1295" s="18">
        <f ca="1">((I1294 + G1295) - H1295)</f>
        <v>0</v>
      </c>
      <c r="J1295" s="18">
        <v>0</v>
      </c>
      <c r="K1295" s="19">
        <v>0</v>
      </c>
      <c r="L1295" s="17"/>
    </row>
    <row r="1296" ht="10.95" customHeight="true" customFormat="true" s="9">
      <c r="A1296" s="16">
        <v>45153</v>
      </c>
      <c r="B1296" s="17" t="s">
        <v>424</v>
      </c>
      <c r="C1296" s="17" t="s">
        <v>425</v>
      </c>
      <c r="D1296" s="17" t="s">
        <v>22</v>
      </c>
      <c r="E1296" s="17" t="s">
        <v>431</v>
      </c>
      <c r="F1296" s="17"/>
      <c r="G1296" s="18">
        <v>0</v>
      </c>
      <c r="H1296" s="18">
        <v>65.0000</v>
      </c>
      <c r="I1296" s="18">
        <f ca="1">((I1295 + G1296) - H1296)</f>
        <v>0</v>
      </c>
      <c r="J1296" s="18">
        <v>0</v>
      </c>
      <c r="K1296" s="19">
        <v>0</v>
      </c>
      <c r="L1296" s="17"/>
    </row>
    <row r="1297" ht="10.95" customHeight="true" customFormat="true" s="9">
      <c r="A1297" s="16">
        <v>45154</v>
      </c>
      <c r="B1297" s="17" t="s">
        <v>424</v>
      </c>
      <c r="C1297" s="17" t="s">
        <v>425</v>
      </c>
      <c r="D1297" s="17" t="s">
        <v>19</v>
      </c>
      <c r="E1297" s="17" t="s">
        <v>428</v>
      </c>
      <c r="F1297" s="17"/>
      <c r="G1297" s="18">
        <v>2364.5000</v>
      </c>
      <c r="H1297" s="18">
        <v>0</v>
      </c>
      <c r="I1297" s="18">
        <f ca="1">((I1296 + G1297) - H1297)</f>
        <v>0</v>
      </c>
      <c r="J1297" s="18">
        <v>0</v>
      </c>
      <c r="K1297" s="19">
        <v>0</v>
      </c>
      <c r="L1297" s="17"/>
    </row>
    <row r="1298" ht="10.95" customHeight="true" customFormat="true" s="9">
      <c r="A1298" s="16">
        <v>45154</v>
      </c>
      <c r="B1298" s="17" t="s">
        <v>424</v>
      </c>
      <c r="C1298" s="17" t="s">
        <v>425</v>
      </c>
      <c r="D1298" s="17" t="s">
        <v>22</v>
      </c>
      <c r="E1298" s="17" t="s">
        <v>451</v>
      </c>
      <c r="F1298" s="17"/>
      <c r="G1298" s="18">
        <v>0</v>
      </c>
      <c r="H1298" s="18">
        <v>550.0000</v>
      </c>
      <c r="I1298" s="18">
        <f ca="1">((I1297 + G1298) - H1298)</f>
        <v>0</v>
      </c>
      <c r="J1298" s="18">
        <v>0</v>
      </c>
      <c r="K1298" s="19">
        <v>0</v>
      </c>
      <c r="L1298" s="17"/>
    </row>
    <row r="1299" ht="10.95" customHeight="true" customFormat="true" s="9">
      <c r="A1299" s="16">
        <v>45155</v>
      </c>
      <c r="B1299" s="17" t="s">
        <v>424</v>
      </c>
      <c r="C1299" s="17" t="s">
        <v>425</v>
      </c>
      <c r="D1299" s="17" t="s">
        <v>19</v>
      </c>
      <c r="E1299" s="17" t="s">
        <v>428</v>
      </c>
      <c r="F1299" s="17"/>
      <c r="G1299" s="18">
        <v>2252.0000</v>
      </c>
      <c r="H1299" s="18">
        <v>0</v>
      </c>
      <c r="I1299" s="18">
        <f ca="1">((I1298 + G1299) - H1299)</f>
        <v>0</v>
      </c>
      <c r="J1299" s="18">
        <v>0</v>
      </c>
      <c r="K1299" s="19">
        <v>0</v>
      </c>
      <c r="L1299" s="17"/>
    </row>
    <row r="1300" ht="10.95" customHeight="true" customFormat="true" s="9">
      <c r="A1300" s="16">
        <v>45155</v>
      </c>
      <c r="B1300" s="17" t="s">
        <v>424</v>
      </c>
      <c r="C1300" s="17" t="s">
        <v>425</v>
      </c>
      <c r="D1300" s="17" t="s">
        <v>22</v>
      </c>
      <c r="E1300" s="17" t="s">
        <v>436</v>
      </c>
      <c r="F1300" s="17"/>
      <c r="G1300" s="18">
        <v>0</v>
      </c>
      <c r="H1300" s="18">
        <v>108.0000</v>
      </c>
      <c r="I1300" s="18">
        <f ca="1">((I1299 + G1300) - H1300)</f>
        <v>0</v>
      </c>
      <c r="J1300" s="18">
        <v>0</v>
      </c>
      <c r="K1300" s="19">
        <v>0</v>
      </c>
      <c r="L1300" s="17"/>
    </row>
    <row r="1301" ht="10.95" customHeight="true" customFormat="true" s="9">
      <c r="A1301" s="16">
        <v>45155</v>
      </c>
      <c r="B1301" s="17" t="s">
        <v>424</v>
      </c>
      <c r="C1301" s="17" t="s">
        <v>425</v>
      </c>
      <c r="D1301" s="17" t="s">
        <v>22</v>
      </c>
      <c r="E1301" s="17" t="s">
        <v>452</v>
      </c>
      <c r="F1301" s="17"/>
      <c r="G1301" s="18">
        <v>0</v>
      </c>
      <c r="H1301" s="18">
        <v>264.0000</v>
      </c>
      <c r="I1301" s="18">
        <f ca="1">((I1300 + G1301) - H1301)</f>
        <v>0</v>
      </c>
      <c r="J1301" s="18">
        <v>0</v>
      </c>
      <c r="K1301" s="19">
        <v>0</v>
      </c>
      <c r="L1301" s="17"/>
    </row>
    <row r="1302" ht="10.95" customHeight="true" customFormat="true" s="9">
      <c r="A1302" s="16">
        <v>45156</v>
      </c>
      <c r="B1302" s="17" t="s">
        <v>424</v>
      </c>
      <c r="C1302" s="17" t="s">
        <v>425</v>
      </c>
      <c r="D1302" s="17" t="s">
        <v>19</v>
      </c>
      <c r="E1302" s="17" t="s">
        <v>428</v>
      </c>
      <c r="F1302" s="17"/>
      <c r="G1302" s="18">
        <v>2370.3000</v>
      </c>
      <c r="H1302" s="18">
        <v>0</v>
      </c>
      <c r="I1302" s="18">
        <f ca="1">((I1301 + G1302) - H1302)</f>
        <v>0</v>
      </c>
      <c r="J1302" s="18">
        <v>0</v>
      </c>
      <c r="K1302" s="19">
        <v>0</v>
      </c>
      <c r="L1302" s="17"/>
    </row>
    <row r="1303" ht="10.95" customHeight="true" customFormat="true" s="9">
      <c r="A1303" s="16">
        <v>45156</v>
      </c>
      <c r="B1303" s="17" t="s">
        <v>424</v>
      </c>
      <c r="C1303" s="17" t="s">
        <v>425</v>
      </c>
      <c r="D1303" s="17" t="s">
        <v>22</v>
      </c>
      <c r="E1303" s="17" t="s">
        <v>430</v>
      </c>
      <c r="F1303" s="17"/>
      <c r="G1303" s="18">
        <v>0</v>
      </c>
      <c r="H1303" s="18">
        <v>1997.1400</v>
      </c>
      <c r="I1303" s="18">
        <f ca="1">((I1302 + G1303) - H1303)</f>
        <v>0</v>
      </c>
      <c r="J1303" s="18">
        <v>0</v>
      </c>
      <c r="K1303" s="19">
        <v>0</v>
      </c>
      <c r="L1303" s="17"/>
    </row>
    <row r="1304" ht="10.95" customHeight="true" customFormat="true" s="9">
      <c r="A1304" s="16">
        <v>45156</v>
      </c>
      <c r="B1304" s="17" t="s">
        <v>424</v>
      </c>
      <c r="C1304" s="17" t="s">
        <v>425</v>
      </c>
      <c r="D1304" s="17" t="s">
        <v>22</v>
      </c>
      <c r="E1304" s="17" t="s">
        <v>453</v>
      </c>
      <c r="F1304" s="17"/>
      <c r="G1304" s="18">
        <v>0</v>
      </c>
      <c r="H1304" s="18">
        <v>550.0000</v>
      </c>
      <c r="I1304" s="18">
        <f ca="1">((I1303 + G1304) - H1304)</f>
        <v>0</v>
      </c>
      <c r="J1304" s="18">
        <v>0</v>
      </c>
      <c r="K1304" s="19">
        <v>0</v>
      </c>
      <c r="L1304" s="17"/>
    </row>
    <row r="1305" ht="10.95" customHeight="true" customFormat="true" s="9">
      <c r="A1305" s="16">
        <v>45156</v>
      </c>
      <c r="B1305" s="17" t="s">
        <v>424</v>
      </c>
      <c r="C1305" s="17" t="s">
        <v>425</v>
      </c>
      <c r="D1305" s="17" t="s">
        <v>22</v>
      </c>
      <c r="E1305" s="17" t="s">
        <v>298</v>
      </c>
      <c r="F1305" s="17"/>
      <c r="G1305" s="18">
        <v>0</v>
      </c>
      <c r="H1305" s="18">
        <v>5983.9500</v>
      </c>
      <c r="I1305" s="18">
        <f ca="1">((I1304 + G1305) - H1305)</f>
        <v>0</v>
      </c>
      <c r="J1305" s="18">
        <v>0</v>
      </c>
      <c r="K1305" s="19">
        <v>0</v>
      </c>
      <c r="L1305" s="17"/>
    </row>
    <row r="1306" ht="10.95" customHeight="true" customFormat="true" s="9">
      <c r="A1306" s="16">
        <v>45159</v>
      </c>
      <c r="B1306" s="17" t="s">
        <v>424</v>
      </c>
      <c r="C1306" s="17" t="s">
        <v>425</v>
      </c>
      <c r="D1306" s="17" t="s">
        <v>22</v>
      </c>
      <c r="E1306" s="17" t="s">
        <v>426</v>
      </c>
      <c r="F1306" s="17" t="s">
        <v>454</v>
      </c>
      <c r="G1306" s="18">
        <v>0</v>
      </c>
      <c r="H1306" s="18">
        <v>63.0000</v>
      </c>
      <c r="I1306" s="18">
        <f ca="1">((I1305 + G1306) - H1306)</f>
        <v>0</v>
      </c>
      <c r="J1306" s="18">
        <v>0</v>
      </c>
      <c r="K1306" s="19">
        <v>0</v>
      </c>
      <c r="L1306" s="17"/>
    </row>
    <row r="1307" ht="10.95" customHeight="true" customFormat="true" s="9">
      <c r="A1307" s="16">
        <v>45159</v>
      </c>
      <c r="B1307" s="17" t="s">
        <v>424</v>
      </c>
      <c r="C1307" s="17" t="s">
        <v>425</v>
      </c>
      <c r="D1307" s="17" t="s">
        <v>22</v>
      </c>
      <c r="E1307" s="17" t="s">
        <v>426</v>
      </c>
      <c r="F1307" s="17" t="s">
        <v>454</v>
      </c>
      <c r="G1307" s="18">
        <v>0</v>
      </c>
      <c r="H1307" s="18">
        <v>231.0000</v>
      </c>
      <c r="I1307" s="18">
        <f ca="1">((I1306 + G1307) - H1307)</f>
        <v>0</v>
      </c>
      <c r="J1307" s="18">
        <v>0</v>
      </c>
      <c r="K1307" s="19">
        <v>0</v>
      </c>
      <c r="L1307" s="17"/>
    </row>
    <row r="1308" ht="10.95" customHeight="true" customFormat="true" s="9">
      <c r="A1308" s="16">
        <v>45159</v>
      </c>
      <c r="B1308" s="17" t="s">
        <v>424</v>
      </c>
      <c r="C1308" s="17" t="s">
        <v>425</v>
      </c>
      <c r="D1308" s="17" t="s">
        <v>22</v>
      </c>
      <c r="E1308" s="17" t="s">
        <v>426</v>
      </c>
      <c r="F1308" s="17" t="s">
        <v>454</v>
      </c>
      <c r="G1308" s="18">
        <v>0</v>
      </c>
      <c r="H1308" s="18">
        <v>1158.1500</v>
      </c>
      <c r="I1308" s="18">
        <f ca="1">((I1307 + G1308) - H1308)</f>
        <v>0</v>
      </c>
      <c r="J1308" s="18">
        <v>0</v>
      </c>
      <c r="K1308" s="19">
        <v>0</v>
      </c>
      <c r="L1308" s="17"/>
    </row>
    <row r="1309" ht="10.95" customHeight="true" customFormat="true" s="9">
      <c r="A1309" s="16">
        <v>45159</v>
      </c>
      <c r="B1309" s="17" t="s">
        <v>424</v>
      </c>
      <c r="C1309" s="17" t="s">
        <v>425</v>
      </c>
      <c r="D1309" s="17" t="s">
        <v>19</v>
      </c>
      <c r="E1309" s="17" t="s">
        <v>428</v>
      </c>
      <c r="F1309" s="17"/>
      <c r="G1309" s="18">
        <v>3441.0000</v>
      </c>
      <c r="H1309" s="18">
        <v>0</v>
      </c>
      <c r="I1309" s="18">
        <f ca="1">((I1308 + G1309) - H1309)</f>
        <v>0</v>
      </c>
      <c r="J1309" s="18">
        <v>0</v>
      </c>
      <c r="K1309" s="19">
        <v>0</v>
      </c>
      <c r="L1309" s="17"/>
    </row>
    <row r="1310" ht="10.95" customHeight="true" customFormat="true" s="9">
      <c r="A1310" s="16">
        <v>45159</v>
      </c>
      <c r="B1310" s="17" t="s">
        <v>424</v>
      </c>
      <c r="C1310" s="17" t="s">
        <v>425</v>
      </c>
      <c r="D1310" s="17" t="s">
        <v>22</v>
      </c>
      <c r="E1310" s="17" t="s">
        <v>426</v>
      </c>
      <c r="F1310" s="17" t="s">
        <v>454</v>
      </c>
      <c r="G1310" s="18">
        <v>0</v>
      </c>
      <c r="H1310" s="18">
        <v>63.0000</v>
      </c>
      <c r="I1310" s="18">
        <f ca="1">((I1309 + G1310) - H1310)</f>
        <v>0</v>
      </c>
      <c r="J1310" s="18">
        <v>0</v>
      </c>
      <c r="K1310" s="19">
        <v>0</v>
      </c>
      <c r="L1310" s="17"/>
    </row>
    <row r="1311" ht="10.95" customHeight="true" customFormat="true" s="9">
      <c r="A1311" s="16">
        <v>45159</v>
      </c>
      <c r="B1311" s="17" t="s">
        <v>424</v>
      </c>
      <c r="C1311" s="17" t="s">
        <v>425</v>
      </c>
      <c r="D1311" s="17" t="s">
        <v>19</v>
      </c>
      <c r="E1311" s="17" t="s">
        <v>428</v>
      </c>
      <c r="F1311" s="17"/>
      <c r="G1311" s="18">
        <v>5652.8000</v>
      </c>
      <c r="H1311" s="18">
        <v>0</v>
      </c>
      <c r="I1311" s="18">
        <f ca="1">((I1310 + G1311) - H1311)</f>
        <v>0</v>
      </c>
      <c r="J1311" s="18">
        <v>0</v>
      </c>
      <c r="K1311" s="19">
        <v>0</v>
      </c>
      <c r="L1311" s="17"/>
    </row>
    <row r="1312" ht="10.95" customHeight="true" customFormat="true" s="9">
      <c r="A1312" s="16">
        <v>45159</v>
      </c>
      <c r="B1312" s="17" t="s">
        <v>424</v>
      </c>
      <c r="C1312" s="17" t="s">
        <v>425</v>
      </c>
      <c r="D1312" s="17" t="s">
        <v>22</v>
      </c>
      <c r="E1312" s="17" t="s">
        <v>426</v>
      </c>
      <c r="F1312" s="17" t="s">
        <v>454</v>
      </c>
      <c r="G1312" s="18">
        <v>0</v>
      </c>
      <c r="H1312" s="18">
        <v>2000.0000</v>
      </c>
      <c r="I1312" s="18">
        <f ca="1">((I1311 + G1312) - H1312)</f>
        <v>0</v>
      </c>
      <c r="J1312" s="18">
        <v>0</v>
      </c>
      <c r="K1312" s="19">
        <v>0</v>
      </c>
      <c r="L1312" s="17"/>
    </row>
    <row r="1313" ht="10.95" customHeight="true" customFormat="true" s="9">
      <c r="A1313" s="16">
        <v>45159</v>
      </c>
      <c r="B1313" s="17" t="s">
        <v>424</v>
      </c>
      <c r="C1313" s="17" t="s">
        <v>425</v>
      </c>
      <c r="D1313" s="17" t="s">
        <v>19</v>
      </c>
      <c r="E1313" s="17" t="s">
        <v>24</v>
      </c>
      <c r="F1313" s="17"/>
      <c r="G1313" s="18">
        <v>200.0000</v>
      </c>
      <c r="H1313" s="18">
        <v>0</v>
      </c>
      <c r="I1313" s="18">
        <f ca="1">((I1312 + G1313) - H1313)</f>
        <v>0</v>
      </c>
      <c r="J1313" s="18">
        <v>0</v>
      </c>
      <c r="K1313" s="19">
        <v>0</v>
      </c>
      <c r="L1313" s="17"/>
    </row>
    <row r="1314" ht="10.95" customHeight="true" customFormat="true" s="9">
      <c r="A1314" s="16">
        <v>45159</v>
      </c>
      <c r="B1314" s="17" t="s">
        <v>424</v>
      </c>
      <c r="C1314" s="17" t="s">
        <v>425</v>
      </c>
      <c r="D1314" s="17" t="s">
        <v>19</v>
      </c>
      <c r="E1314" s="17" t="s">
        <v>428</v>
      </c>
      <c r="F1314" s="17"/>
      <c r="G1314" s="18">
        <v>6465.1500</v>
      </c>
      <c r="H1314" s="18">
        <v>0</v>
      </c>
      <c r="I1314" s="18">
        <f ca="1">((I1313 + G1314) - H1314)</f>
        <v>0</v>
      </c>
      <c r="J1314" s="18">
        <v>0</v>
      </c>
      <c r="K1314" s="19">
        <v>0</v>
      </c>
      <c r="L1314" s="17"/>
    </row>
    <row r="1315" ht="10.95" customHeight="true" customFormat="true" s="9">
      <c r="A1315" s="16">
        <v>45159</v>
      </c>
      <c r="B1315" s="17" t="s">
        <v>424</v>
      </c>
      <c r="C1315" s="17" t="s">
        <v>425</v>
      </c>
      <c r="D1315" s="17" t="s">
        <v>22</v>
      </c>
      <c r="E1315" s="17" t="s">
        <v>426</v>
      </c>
      <c r="F1315" s="17" t="s">
        <v>454</v>
      </c>
      <c r="G1315" s="18">
        <v>0</v>
      </c>
      <c r="H1315" s="18">
        <v>392.7000</v>
      </c>
      <c r="I1315" s="18">
        <f ca="1">((I1314 + G1315) - H1315)</f>
        <v>0</v>
      </c>
      <c r="J1315" s="18">
        <v>0</v>
      </c>
      <c r="K1315" s="19">
        <v>0</v>
      </c>
      <c r="L1315" s="17"/>
    </row>
    <row r="1316" ht="10.95" customHeight="true" customFormat="true" s="9">
      <c r="A1316" s="16">
        <v>45159</v>
      </c>
      <c r="B1316" s="17" t="s">
        <v>424</v>
      </c>
      <c r="C1316" s="17" t="s">
        <v>425</v>
      </c>
      <c r="D1316" s="17" t="s">
        <v>22</v>
      </c>
      <c r="E1316" s="17" t="s">
        <v>34</v>
      </c>
      <c r="F1316" s="17"/>
      <c r="G1316" s="18">
        <v>0</v>
      </c>
      <c r="H1316" s="18">
        <v>2000.0000</v>
      </c>
      <c r="I1316" s="18">
        <f ca="1">((I1315 + G1316) - H1316)</f>
        <v>0</v>
      </c>
      <c r="J1316" s="18">
        <v>0</v>
      </c>
      <c r="K1316" s="19">
        <v>0</v>
      </c>
      <c r="L1316" s="17"/>
    </row>
    <row r="1317" ht="10.95" customHeight="true" customFormat="true" s="9">
      <c r="A1317" s="16">
        <v>45159</v>
      </c>
      <c r="B1317" s="17" t="s">
        <v>424</v>
      </c>
      <c r="C1317" s="17" t="s">
        <v>425</v>
      </c>
      <c r="D1317" s="17" t="s">
        <v>22</v>
      </c>
      <c r="E1317" s="17" t="s">
        <v>426</v>
      </c>
      <c r="F1317" s="17" t="s">
        <v>454</v>
      </c>
      <c r="G1317" s="18">
        <v>0</v>
      </c>
      <c r="H1317" s="18">
        <v>841.0000</v>
      </c>
      <c r="I1317" s="18">
        <f ca="1">((I1316 + G1317) - H1317)</f>
        <v>0</v>
      </c>
      <c r="J1317" s="18">
        <v>0</v>
      </c>
      <c r="K1317" s="19">
        <v>0</v>
      </c>
      <c r="L1317" s="17"/>
    </row>
    <row r="1318" ht="10.95" customHeight="true" customFormat="true" s="9">
      <c r="A1318" s="16">
        <v>45160</v>
      </c>
      <c r="B1318" s="17" t="s">
        <v>424</v>
      </c>
      <c r="C1318" s="17" t="s">
        <v>425</v>
      </c>
      <c r="D1318" s="17" t="s">
        <v>22</v>
      </c>
      <c r="E1318" s="17" t="s">
        <v>430</v>
      </c>
      <c r="F1318" s="17"/>
      <c r="G1318" s="18">
        <v>0</v>
      </c>
      <c r="H1318" s="18">
        <v>2124.2500</v>
      </c>
      <c r="I1318" s="18">
        <f ca="1">((I1317 + G1318) - H1318)</f>
        <v>0</v>
      </c>
      <c r="J1318" s="18">
        <v>0</v>
      </c>
      <c r="K1318" s="19">
        <v>0</v>
      </c>
      <c r="L1318" s="17"/>
    </row>
    <row r="1319" ht="10.95" customHeight="true" customFormat="true" s="9">
      <c r="A1319" s="16">
        <v>45160</v>
      </c>
      <c r="B1319" s="17" t="s">
        <v>424</v>
      </c>
      <c r="C1319" s="17" t="s">
        <v>425</v>
      </c>
      <c r="D1319" s="17" t="s">
        <v>22</v>
      </c>
      <c r="E1319" s="17" t="s">
        <v>434</v>
      </c>
      <c r="F1319" s="17"/>
      <c r="G1319" s="18">
        <v>0</v>
      </c>
      <c r="H1319" s="18">
        <v>509.0000</v>
      </c>
      <c r="I1319" s="18">
        <f ca="1">((I1318 + G1319) - H1319)</f>
        <v>0</v>
      </c>
      <c r="J1319" s="18">
        <v>0</v>
      </c>
      <c r="K1319" s="19">
        <v>0</v>
      </c>
      <c r="L1319" s="17"/>
    </row>
    <row r="1320" ht="10.95" customHeight="true" customFormat="true" s="9">
      <c r="A1320" s="16">
        <v>45160</v>
      </c>
      <c r="B1320" s="17" t="s">
        <v>424</v>
      </c>
      <c r="C1320" s="17" t="s">
        <v>425</v>
      </c>
      <c r="D1320" s="17" t="s">
        <v>22</v>
      </c>
      <c r="E1320" s="17" t="s">
        <v>66</v>
      </c>
      <c r="F1320" s="17"/>
      <c r="G1320" s="18">
        <v>0</v>
      </c>
      <c r="H1320" s="18">
        <v>6098.0000</v>
      </c>
      <c r="I1320" s="18">
        <f ca="1">((I1319 + G1320) - H1320)</f>
        <v>0</v>
      </c>
      <c r="J1320" s="18">
        <v>0</v>
      </c>
      <c r="K1320" s="19">
        <v>0</v>
      </c>
      <c r="L1320" s="17"/>
    </row>
    <row r="1321" ht="10.95" customHeight="true" customFormat="true" s="9">
      <c r="A1321" s="16">
        <v>45161</v>
      </c>
      <c r="B1321" s="17" t="s">
        <v>424</v>
      </c>
      <c r="C1321" s="17" t="s">
        <v>425</v>
      </c>
      <c r="D1321" s="17" t="s">
        <v>19</v>
      </c>
      <c r="E1321" s="17" t="s">
        <v>428</v>
      </c>
      <c r="F1321" s="17"/>
      <c r="G1321" s="18">
        <v>2379.8000</v>
      </c>
      <c r="H1321" s="18">
        <v>0</v>
      </c>
      <c r="I1321" s="18">
        <f ca="1">((I1320 + G1321) - H1321)</f>
        <v>0</v>
      </c>
      <c r="J1321" s="18">
        <v>0</v>
      </c>
      <c r="K1321" s="19">
        <v>0</v>
      </c>
      <c r="L1321" s="17"/>
    </row>
    <row r="1322" ht="10.95" customHeight="true" customFormat="true" s="9">
      <c r="A1322" s="16">
        <v>45162</v>
      </c>
      <c r="B1322" s="17" t="s">
        <v>424</v>
      </c>
      <c r="C1322" s="17" t="s">
        <v>425</v>
      </c>
      <c r="D1322" s="17" t="s">
        <v>22</v>
      </c>
      <c r="E1322" s="17" t="s">
        <v>442</v>
      </c>
      <c r="F1322" s="17"/>
      <c r="G1322" s="18">
        <v>0</v>
      </c>
      <c r="H1322" s="18">
        <v>169.5700</v>
      </c>
      <c r="I1322" s="18">
        <f ca="1">((I1321 + G1322) - H1322)</f>
        <v>0</v>
      </c>
      <c r="J1322" s="18">
        <v>0</v>
      </c>
      <c r="K1322" s="19">
        <v>0</v>
      </c>
      <c r="L1322" s="17"/>
    </row>
    <row r="1323" ht="10.95" customHeight="true" customFormat="true" s="9">
      <c r="A1323" s="16">
        <v>45162</v>
      </c>
      <c r="B1323" s="17" t="s">
        <v>424</v>
      </c>
      <c r="C1323" s="17" t="s">
        <v>425</v>
      </c>
      <c r="D1323" s="17" t="s">
        <v>19</v>
      </c>
      <c r="E1323" s="17" t="s">
        <v>428</v>
      </c>
      <c r="F1323" s="17"/>
      <c r="G1323" s="18">
        <v>2303.7500</v>
      </c>
      <c r="H1323" s="18">
        <v>0</v>
      </c>
      <c r="I1323" s="18">
        <f ca="1">((I1322 + G1323) - H1323)</f>
        <v>0</v>
      </c>
      <c r="J1323" s="18">
        <v>0</v>
      </c>
      <c r="K1323" s="19">
        <v>0</v>
      </c>
      <c r="L1323" s="17"/>
    </row>
    <row r="1324" ht="10.95" customHeight="true" customFormat="true" s="9">
      <c r="A1324" s="16">
        <v>45163</v>
      </c>
      <c r="B1324" s="17" t="s">
        <v>424</v>
      </c>
      <c r="C1324" s="17" t="s">
        <v>425</v>
      </c>
      <c r="D1324" s="17" t="s">
        <v>22</v>
      </c>
      <c r="E1324" s="17" t="s">
        <v>430</v>
      </c>
      <c r="F1324" s="17"/>
      <c r="G1324" s="18">
        <v>0</v>
      </c>
      <c r="H1324" s="18">
        <v>1532.6000</v>
      </c>
      <c r="I1324" s="18">
        <f ca="1">((I1323 + G1324) - H1324)</f>
        <v>0</v>
      </c>
      <c r="J1324" s="18">
        <v>0</v>
      </c>
      <c r="K1324" s="19">
        <v>0</v>
      </c>
      <c r="L1324" s="17"/>
    </row>
    <row r="1325" ht="10.95" customHeight="true" customFormat="true" s="9">
      <c r="A1325" s="16">
        <v>45163</v>
      </c>
      <c r="B1325" s="17" t="s">
        <v>424</v>
      </c>
      <c r="C1325" s="17" t="s">
        <v>425</v>
      </c>
      <c r="D1325" s="17" t="s">
        <v>22</v>
      </c>
      <c r="E1325" s="17" t="s">
        <v>435</v>
      </c>
      <c r="F1325" s="17"/>
      <c r="G1325" s="18">
        <v>0</v>
      </c>
      <c r="H1325" s="18">
        <v>517.2000</v>
      </c>
      <c r="I1325" s="18">
        <f ca="1">((I1324 + G1325) - H1325)</f>
        <v>0</v>
      </c>
      <c r="J1325" s="18">
        <v>0</v>
      </c>
      <c r="K1325" s="19">
        <v>0</v>
      </c>
      <c r="L1325" s="17"/>
    </row>
    <row r="1326" ht="10.95" customHeight="true" customFormat="true" s="9">
      <c r="A1326" s="16">
        <v>45163</v>
      </c>
      <c r="B1326" s="17" t="s">
        <v>424</v>
      </c>
      <c r="C1326" s="17" t="s">
        <v>425</v>
      </c>
      <c r="D1326" s="17" t="s">
        <v>22</v>
      </c>
      <c r="E1326" s="17" t="s">
        <v>431</v>
      </c>
      <c r="F1326" s="17"/>
      <c r="G1326" s="18">
        <v>0</v>
      </c>
      <c r="H1326" s="18">
        <v>65.0000</v>
      </c>
      <c r="I1326" s="18">
        <f ca="1">((I1325 + G1326) - H1326)</f>
        <v>0</v>
      </c>
      <c r="J1326" s="18">
        <v>0</v>
      </c>
      <c r="K1326" s="19">
        <v>0</v>
      </c>
      <c r="L1326" s="17"/>
    </row>
    <row r="1327" ht="10.95" customHeight="true" customFormat="true" s="9">
      <c r="A1327" s="16">
        <v>45163</v>
      </c>
      <c r="B1327" s="17" t="s">
        <v>424</v>
      </c>
      <c r="C1327" s="17" t="s">
        <v>425</v>
      </c>
      <c r="D1327" s="17" t="s">
        <v>19</v>
      </c>
      <c r="E1327" s="17" t="s">
        <v>428</v>
      </c>
      <c r="F1327" s="17"/>
      <c r="G1327" s="18">
        <v>2496.8500</v>
      </c>
      <c r="H1327" s="18">
        <v>0</v>
      </c>
      <c r="I1327" s="18">
        <f ca="1">((I1326 + G1327) - H1327)</f>
        <v>0</v>
      </c>
      <c r="J1327" s="18">
        <v>0</v>
      </c>
      <c r="K1327" s="19">
        <v>0</v>
      </c>
      <c r="L1327" s="17"/>
    </row>
    <row r="1328" ht="10.95" customHeight="true" customFormat="true" s="9">
      <c r="A1328" s="16">
        <v>45166</v>
      </c>
      <c r="B1328" s="17" t="s">
        <v>424</v>
      </c>
      <c r="C1328" s="17" t="s">
        <v>425</v>
      </c>
      <c r="D1328" s="17" t="s">
        <v>22</v>
      </c>
      <c r="E1328" s="17" t="s">
        <v>426</v>
      </c>
      <c r="F1328" s="17" t="s">
        <v>455</v>
      </c>
      <c r="G1328" s="18">
        <v>0</v>
      </c>
      <c r="H1328" s="18">
        <v>650.6100</v>
      </c>
      <c r="I1328" s="18">
        <f ca="1">((I1327 + G1328) - H1328)</f>
        <v>0</v>
      </c>
      <c r="J1328" s="18">
        <v>0</v>
      </c>
      <c r="K1328" s="19">
        <v>0</v>
      </c>
      <c r="L1328" s="17"/>
    </row>
    <row r="1329" ht="10.95" customHeight="true" customFormat="true" s="9">
      <c r="A1329" s="16">
        <v>45166</v>
      </c>
      <c r="B1329" s="17" t="s">
        <v>424</v>
      </c>
      <c r="C1329" s="17" t="s">
        <v>425</v>
      </c>
      <c r="D1329" s="17" t="s">
        <v>22</v>
      </c>
      <c r="E1329" s="17" t="s">
        <v>426</v>
      </c>
      <c r="F1329" s="17" t="s">
        <v>455</v>
      </c>
      <c r="G1329" s="18">
        <v>0</v>
      </c>
      <c r="H1329" s="18">
        <v>63.0000</v>
      </c>
      <c r="I1329" s="18">
        <f ca="1">((I1328 + G1329) - H1329)</f>
        <v>0</v>
      </c>
      <c r="J1329" s="18">
        <v>0</v>
      </c>
      <c r="K1329" s="19">
        <v>0</v>
      </c>
      <c r="L1329" s="17"/>
    </row>
    <row r="1330" ht="10.95" customHeight="true" customFormat="true" s="9">
      <c r="A1330" s="16">
        <v>45166</v>
      </c>
      <c r="B1330" s="17" t="s">
        <v>424</v>
      </c>
      <c r="C1330" s="17" t="s">
        <v>425</v>
      </c>
      <c r="D1330" s="17" t="s">
        <v>22</v>
      </c>
      <c r="E1330" s="17" t="s">
        <v>445</v>
      </c>
      <c r="F1330" s="17"/>
      <c r="G1330" s="18">
        <v>0</v>
      </c>
      <c r="H1330" s="18">
        <v>302.5500</v>
      </c>
      <c r="I1330" s="18">
        <f ca="1">((I1329 + G1330) - H1330)</f>
        <v>0</v>
      </c>
      <c r="J1330" s="18">
        <v>0</v>
      </c>
      <c r="K1330" s="19">
        <v>0</v>
      </c>
      <c r="L1330" s="17"/>
    </row>
    <row r="1331" ht="10.95" customHeight="true" customFormat="true" s="9">
      <c r="A1331" s="16">
        <v>45166</v>
      </c>
      <c r="B1331" s="17" t="s">
        <v>424</v>
      </c>
      <c r="C1331" s="17" t="s">
        <v>425</v>
      </c>
      <c r="D1331" s="17" t="s">
        <v>22</v>
      </c>
      <c r="E1331" s="17" t="s">
        <v>426</v>
      </c>
      <c r="F1331" s="17" t="s">
        <v>455</v>
      </c>
      <c r="G1331" s="18">
        <v>0</v>
      </c>
      <c r="H1331" s="18">
        <v>1158.1500</v>
      </c>
      <c r="I1331" s="18">
        <f ca="1">((I1330 + G1331) - H1331)</f>
        <v>0</v>
      </c>
      <c r="J1331" s="18">
        <v>0</v>
      </c>
      <c r="K1331" s="19">
        <v>0</v>
      </c>
      <c r="L1331" s="17"/>
    </row>
    <row r="1332" ht="10.95" customHeight="true" customFormat="true" s="9">
      <c r="A1332" s="16">
        <v>45166</v>
      </c>
      <c r="B1332" s="17" t="s">
        <v>424</v>
      </c>
      <c r="C1332" s="17" t="s">
        <v>425</v>
      </c>
      <c r="D1332" s="17" t="s">
        <v>22</v>
      </c>
      <c r="E1332" s="17" t="s">
        <v>426</v>
      </c>
      <c r="F1332" s="17" t="s">
        <v>455</v>
      </c>
      <c r="G1332" s="18">
        <v>0</v>
      </c>
      <c r="H1332" s="18">
        <v>2000.0000</v>
      </c>
      <c r="I1332" s="18">
        <f ca="1">((I1331 + G1332) - H1332)</f>
        <v>0</v>
      </c>
      <c r="J1332" s="18">
        <v>0</v>
      </c>
      <c r="K1332" s="19">
        <v>0</v>
      </c>
      <c r="L1332" s="17"/>
    </row>
    <row r="1333" ht="10.95" customHeight="true" customFormat="true" s="9">
      <c r="A1333" s="16">
        <v>45166</v>
      </c>
      <c r="B1333" s="17" t="s">
        <v>424</v>
      </c>
      <c r="C1333" s="17" t="s">
        <v>425</v>
      </c>
      <c r="D1333" s="17" t="s">
        <v>22</v>
      </c>
      <c r="E1333" s="17" t="s">
        <v>433</v>
      </c>
      <c r="F1333" s="17"/>
      <c r="G1333" s="18">
        <v>0</v>
      </c>
      <c r="H1333" s="18">
        <v>956.5600</v>
      </c>
      <c r="I1333" s="18">
        <f ca="1">((I1332 + G1333) - H1333)</f>
        <v>0</v>
      </c>
      <c r="J1333" s="18">
        <v>0</v>
      </c>
      <c r="K1333" s="19">
        <v>0</v>
      </c>
      <c r="L1333" s="17"/>
    </row>
    <row r="1334" ht="10.95" customHeight="true" customFormat="true" s="9">
      <c r="A1334" s="16">
        <v>45166</v>
      </c>
      <c r="B1334" s="17" t="s">
        <v>424</v>
      </c>
      <c r="C1334" s="17" t="s">
        <v>425</v>
      </c>
      <c r="D1334" s="17" t="s">
        <v>19</v>
      </c>
      <c r="E1334" s="17" t="s">
        <v>428</v>
      </c>
      <c r="F1334" s="17"/>
      <c r="G1334" s="18">
        <v>3198.4000</v>
      </c>
      <c r="H1334" s="18">
        <v>0</v>
      </c>
      <c r="I1334" s="18">
        <f ca="1">((I1333 + G1334) - H1334)</f>
        <v>0</v>
      </c>
      <c r="J1334" s="18">
        <v>0</v>
      </c>
      <c r="K1334" s="19">
        <v>0</v>
      </c>
      <c r="L1334" s="17"/>
    </row>
    <row r="1335" ht="10.95" customHeight="true" customFormat="true" s="9">
      <c r="A1335" s="16">
        <v>45166</v>
      </c>
      <c r="B1335" s="17" t="s">
        <v>424</v>
      </c>
      <c r="C1335" s="17" t="s">
        <v>425</v>
      </c>
      <c r="D1335" s="17" t="s">
        <v>22</v>
      </c>
      <c r="E1335" s="17" t="s">
        <v>34</v>
      </c>
      <c r="F1335" s="17"/>
      <c r="G1335" s="18">
        <v>0</v>
      </c>
      <c r="H1335" s="18">
        <v>2300.0000</v>
      </c>
      <c r="I1335" s="18">
        <f ca="1">((I1334 + G1335) - H1335)</f>
        <v>0</v>
      </c>
      <c r="J1335" s="18">
        <v>0</v>
      </c>
      <c r="K1335" s="19">
        <v>0</v>
      </c>
      <c r="L1335" s="17"/>
    </row>
    <row r="1336" ht="10.95" customHeight="true" customFormat="true" s="9">
      <c r="A1336" s="16">
        <v>45166</v>
      </c>
      <c r="B1336" s="17" t="s">
        <v>424</v>
      </c>
      <c r="C1336" s="17" t="s">
        <v>425</v>
      </c>
      <c r="D1336" s="17" t="s">
        <v>22</v>
      </c>
      <c r="E1336" s="17" t="s">
        <v>426</v>
      </c>
      <c r="F1336" s="17" t="s">
        <v>455</v>
      </c>
      <c r="G1336" s="18">
        <v>0</v>
      </c>
      <c r="H1336" s="18">
        <v>674.5000</v>
      </c>
      <c r="I1336" s="18">
        <f ca="1">((I1335 + G1336) - H1336)</f>
        <v>0</v>
      </c>
      <c r="J1336" s="18">
        <v>0</v>
      </c>
      <c r="K1336" s="19">
        <v>0</v>
      </c>
      <c r="L1336" s="17"/>
    </row>
    <row r="1337" ht="10.95" customHeight="true" customFormat="true" s="9">
      <c r="A1337" s="16">
        <v>45166</v>
      </c>
      <c r="B1337" s="17" t="s">
        <v>424</v>
      </c>
      <c r="C1337" s="17" t="s">
        <v>425</v>
      </c>
      <c r="D1337" s="17" t="s">
        <v>22</v>
      </c>
      <c r="E1337" s="17" t="s">
        <v>426</v>
      </c>
      <c r="F1337" s="17" t="s">
        <v>455</v>
      </c>
      <c r="G1337" s="18">
        <v>0</v>
      </c>
      <c r="H1337" s="18">
        <v>126.0000</v>
      </c>
      <c r="I1337" s="18">
        <f ca="1">((I1336 + G1337) - H1337)</f>
        <v>0</v>
      </c>
      <c r="J1337" s="18">
        <v>0</v>
      </c>
      <c r="K1337" s="19">
        <v>0</v>
      </c>
      <c r="L1337" s="17"/>
    </row>
    <row r="1338" ht="10.95" customHeight="true" customFormat="true" s="9">
      <c r="A1338" s="16">
        <v>45166</v>
      </c>
      <c r="B1338" s="17" t="s">
        <v>424</v>
      </c>
      <c r="C1338" s="17" t="s">
        <v>425</v>
      </c>
      <c r="D1338" s="17" t="s">
        <v>22</v>
      </c>
      <c r="E1338" s="17" t="s">
        <v>426</v>
      </c>
      <c r="F1338" s="17" t="s">
        <v>455</v>
      </c>
      <c r="G1338" s="18">
        <v>0</v>
      </c>
      <c r="H1338" s="18">
        <v>487.0000</v>
      </c>
      <c r="I1338" s="18">
        <f ca="1">((I1337 + G1338) - H1338)</f>
        <v>0</v>
      </c>
      <c r="J1338" s="18">
        <v>0</v>
      </c>
      <c r="K1338" s="19">
        <v>0</v>
      </c>
      <c r="L1338" s="17"/>
    </row>
    <row r="1339" ht="10.95" customHeight="true" customFormat="true" s="9">
      <c r="A1339" s="16">
        <v>45166</v>
      </c>
      <c r="B1339" s="17" t="s">
        <v>424</v>
      </c>
      <c r="C1339" s="17" t="s">
        <v>425</v>
      </c>
      <c r="D1339" s="17" t="s">
        <v>22</v>
      </c>
      <c r="E1339" s="17" t="s">
        <v>444</v>
      </c>
      <c r="F1339" s="17"/>
      <c r="G1339" s="18">
        <v>0</v>
      </c>
      <c r="H1339" s="18">
        <v>10000.0000</v>
      </c>
      <c r="I1339" s="18">
        <f ca="1">((I1338 + G1339) - H1339)</f>
        <v>0</v>
      </c>
      <c r="J1339" s="18">
        <v>0</v>
      </c>
      <c r="K1339" s="19">
        <v>0</v>
      </c>
      <c r="L1339" s="17"/>
    </row>
    <row r="1340" ht="10.95" customHeight="true" customFormat="true" s="9">
      <c r="A1340" s="16">
        <v>45166</v>
      </c>
      <c r="B1340" s="17" t="s">
        <v>424</v>
      </c>
      <c r="C1340" s="17" t="s">
        <v>425</v>
      </c>
      <c r="D1340" s="17" t="s">
        <v>19</v>
      </c>
      <c r="E1340" s="17" t="s">
        <v>428</v>
      </c>
      <c r="F1340" s="17"/>
      <c r="G1340" s="18">
        <v>5350.1000</v>
      </c>
      <c r="H1340" s="18">
        <v>0</v>
      </c>
      <c r="I1340" s="18">
        <f ca="1">((I1339 + G1340) - H1340)</f>
        <v>0</v>
      </c>
      <c r="J1340" s="18">
        <v>0</v>
      </c>
      <c r="K1340" s="19">
        <v>0</v>
      </c>
      <c r="L1340" s="17"/>
    </row>
    <row r="1341" ht="10.95" customHeight="true" customFormat="true" s="9">
      <c r="A1341" s="16">
        <v>45166</v>
      </c>
      <c r="B1341" s="17" t="s">
        <v>424</v>
      </c>
      <c r="C1341" s="17" t="s">
        <v>425</v>
      </c>
      <c r="D1341" s="17" t="s">
        <v>19</v>
      </c>
      <c r="E1341" s="17" t="s">
        <v>428</v>
      </c>
      <c r="F1341" s="17"/>
      <c r="G1341" s="18">
        <v>6431.2000</v>
      </c>
      <c r="H1341" s="18">
        <v>0</v>
      </c>
      <c r="I1341" s="18">
        <f ca="1">((I1340 + G1341) - H1341)</f>
        <v>0</v>
      </c>
      <c r="J1341" s="18">
        <v>0</v>
      </c>
      <c r="K1341" s="19">
        <v>0</v>
      </c>
      <c r="L1341" s="17"/>
    </row>
    <row r="1342" ht="10.95" customHeight="true" customFormat="true" s="9">
      <c r="A1342" s="16">
        <v>45166</v>
      </c>
      <c r="B1342" s="17" t="s">
        <v>424</v>
      </c>
      <c r="C1342" s="17" t="s">
        <v>425</v>
      </c>
      <c r="D1342" s="17" t="s">
        <v>19</v>
      </c>
      <c r="E1342" s="17" t="s">
        <v>24</v>
      </c>
      <c r="F1342" s="17"/>
      <c r="G1342" s="18">
        <v>250.0000</v>
      </c>
      <c r="H1342" s="18">
        <v>0</v>
      </c>
      <c r="I1342" s="18">
        <f ca="1">((I1341 + G1342) - H1342)</f>
        <v>0</v>
      </c>
      <c r="J1342" s="18">
        <v>0</v>
      </c>
      <c r="K1342" s="19">
        <v>0</v>
      </c>
      <c r="L1342" s="17"/>
    </row>
    <row r="1343" ht="10.95" customHeight="true" customFormat="true" s="9">
      <c r="A1343" s="16">
        <v>45166</v>
      </c>
      <c r="B1343" s="17" t="s">
        <v>424</v>
      </c>
      <c r="C1343" s="17" t="s">
        <v>425</v>
      </c>
      <c r="D1343" s="17" t="s">
        <v>22</v>
      </c>
      <c r="E1343" s="17" t="s">
        <v>443</v>
      </c>
      <c r="F1343" s="17"/>
      <c r="G1343" s="18">
        <v>0</v>
      </c>
      <c r="H1343" s="18">
        <v>204.8500</v>
      </c>
      <c r="I1343" s="18">
        <f ca="1">((I1342 + G1343) - H1343)</f>
        <v>0</v>
      </c>
      <c r="J1343" s="18">
        <v>0</v>
      </c>
      <c r="K1343" s="19">
        <v>0</v>
      </c>
      <c r="L1343" s="17"/>
    </row>
    <row r="1344" ht="10.95" customHeight="true" customFormat="true" s="9">
      <c r="A1344" s="16">
        <v>45166</v>
      </c>
      <c r="B1344" s="17" t="s">
        <v>424</v>
      </c>
      <c r="C1344" s="17" t="s">
        <v>425</v>
      </c>
      <c r="D1344" s="17" t="s">
        <v>22</v>
      </c>
      <c r="E1344" s="17" t="s">
        <v>443</v>
      </c>
      <c r="F1344" s="17"/>
      <c r="G1344" s="18">
        <v>0</v>
      </c>
      <c r="H1344" s="18">
        <v>239.1600</v>
      </c>
      <c r="I1344" s="18">
        <f ca="1">((I1343 + G1344) - H1344)</f>
        <v>0</v>
      </c>
      <c r="J1344" s="18">
        <v>0</v>
      </c>
      <c r="K1344" s="19">
        <v>0</v>
      </c>
      <c r="L1344" s="17"/>
    </row>
    <row r="1345" ht="10.95" customHeight="true" customFormat="true" s="9">
      <c r="A1345" s="16">
        <v>45167</v>
      </c>
      <c r="B1345" s="17" t="s">
        <v>424</v>
      </c>
      <c r="C1345" s="17" t="s">
        <v>425</v>
      </c>
      <c r="D1345" s="17" t="s">
        <v>22</v>
      </c>
      <c r="E1345" s="17" t="s">
        <v>430</v>
      </c>
      <c r="F1345" s="17"/>
      <c r="G1345" s="18">
        <v>0</v>
      </c>
      <c r="H1345" s="18">
        <v>2357.0800</v>
      </c>
      <c r="I1345" s="18">
        <f ca="1">((I1344 + G1345) - H1345)</f>
        <v>0</v>
      </c>
      <c r="J1345" s="18">
        <v>0</v>
      </c>
      <c r="K1345" s="19">
        <v>0</v>
      </c>
      <c r="L1345" s="17"/>
    </row>
    <row r="1346" ht="10.95" customHeight="true" customFormat="true" s="9">
      <c r="A1346" s="16">
        <v>45168</v>
      </c>
      <c r="B1346" s="17" t="s">
        <v>424</v>
      </c>
      <c r="C1346" s="17" t="s">
        <v>425</v>
      </c>
      <c r="D1346" s="17" t="s">
        <v>19</v>
      </c>
      <c r="E1346" s="17" t="s">
        <v>428</v>
      </c>
      <c r="F1346" s="17"/>
      <c r="G1346" s="18">
        <v>2545.9100</v>
      </c>
      <c r="H1346" s="18">
        <v>0</v>
      </c>
      <c r="I1346" s="18">
        <f ca="1">((I1345 + G1346) - H1346)</f>
        <v>0</v>
      </c>
      <c r="J1346" s="18">
        <v>0</v>
      </c>
      <c r="K1346" s="19">
        <v>0</v>
      </c>
      <c r="L1346" s="17"/>
    </row>
    <row r="1347" ht="10.95" customHeight="true" customFormat="true" s="9">
      <c r="A1347" s="16">
        <v>45169</v>
      </c>
      <c r="B1347" s="17" t="s">
        <v>424</v>
      </c>
      <c r="C1347" s="17" t="s">
        <v>425</v>
      </c>
      <c r="D1347" s="17" t="s">
        <v>19</v>
      </c>
      <c r="E1347" s="17" t="s">
        <v>428</v>
      </c>
      <c r="F1347" s="17"/>
      <c r="G1347" s="18">
        <v>2325.1500</v>
      </c>
      <c r="H1347" s="18">
        <v>0</v>
      </c>
      <c r="I1347" s="18">
        <f ca="1">((I1346 + G1347) - H1347)</f>
        <v>0</v>
      </c>
      <c r="J1347" s="18">
        <v>0</v>
      </c>
      <c r="K1347" s="19">
        <v>0</v>
      </c>
      <c r="L1347" s="17"/>
    </row>
    <row r="1348" ht="10.95" customHeight="true" customFormat="true" s="9">
      <c r="A1348" s="16">
        <v>45169</v>
      </c>
      <c r="B1348" s="17" t="s">
        <v>424</v>
      </c>
      <c r="C1348" s="17" t="s">
        <v>425</v>
      </c>
      <c r="D1348" s="17" t="s">
        <v>22</v>
      </c>
      <c r="E1348" s="17" t="s">
        <v>447</v>
      </c>
      <c r="F1348" s="17"/>
      <c r="G1348" s="18">
        <v>0</v>
      </c>
      <c r="H1348" s="18">
        <v>10.0000</v>
      </c>
      <c r="I1348" s="18">
        <f ca="1">((I1347 + G1348) - H1348)</f>
        <v>0</v>
      </c>
      <c r="J1348" s="18">
        <v>0</v>
      </c>
      <c r="K1348" s="19">
        <v>0</v>
      </c>
      <c r="L1348" s="17"/>
    </row>
    <row r="1349" ht="10.95" customHeight="true" customFormat="true" s="9">
      <c r="A1349" s="16">
        <v>45169</v>
      </c>
      <c r="B1349" s="17" t="s">
        <v>424</v>
      </c>
      <c r="C1349" s="17" t="s">
        <v>425</v>
      </c>
      <c r="D1349" s="17" t="s">
        <v>22</v>
      </c>
      <c r="E1349" s="17" t="s">
        <v>438</v>
      </c>
      <c r="F1349" s="17"/>
      <c r="G1349" s="18">
        <v>0</v>
      </c>
      <c r="H1349" s="18">
        <v>15.0000</v>
      </c>
      <c r="I1349" s="18">
        <f ca="1">((I1348 + G1349) - H1349)</f>
        <v>0</v>
      </c>
      <c r="J1349" s="18">
        <v>0</v>
      </c>
      <c r="K1349" s="19">
        <v>0</v>
      </c>
      <c r="L1349" s="17"/>
    </row>
    <row r="1350" ht="10.95" customHeight="true" customFormat="true" s="9">
      <c r="A1350" s="16">
        <v>45170</v>
      </c>
      <c r="B1350" s="17" t="s">
        <v>424</v>
      </c>
      <c r="C1350" s="17" t="s">
        <v>425</v>
      </c>
      <c r="D1350" s="17" t="s">
        <v>19</v>
      </c>
      <c r="E1350" s="17" t="s">
        <v>428</v>
      </c>
      <c r="F1350" s="17"/>
      <c r="G1350" s="18">
        <v>3368.8500</v>
      </c>
      <c r="H1350" s="18">
        <v>0</v>
      </c>
      <c r="I1350" s="18">
        <f ca="1">((I1349 + G1350) - H1350)</f>
        <v>0</v>
      </c>
      <c r="J1350" s="18">
        <v>0</v>
      </c>
      <c r="K1350" s="19">
        <v>0</v>
      </c>
      <c r="L1350" s="17"/>
    </row>
    <row r="1351" ht="10.95" customHeight="true" customFormat="true" s="9">
      <c r="A1351" s="16">
        <v>45170</v>
      </c>
      <c r="B1351" s="17" t="s">
        <v>424</v>
      </c>
      <c r="C1351" s="17" t="s">
        <v>425</v>
      </c>
      <c r="D1351" s="17" t="s">
        <v>22</v>
      </c>
      <c r="E1351" s="17" t="s">
        <v>430</v>
      </c>
      <c r="F1351" s="17"/>
      <c r="G1351" s="18">
        <v>0</v>
      </c>
      <c r="H1351" s="18">
        <v>2196.2600</v>
      </c>
      <c r="I1351" s="18">
        <f ca="1">((I1350 + G1351) - H1351)</f>
        <v>0</v>
      </c>
      <c r="J1351" s="18">
        <v>0</v>
      </c>
      <c r="K1351" s="19">
        <v>0</v>
      </c>
      <c r="L1351" s="17"/>
    </row>
    <row r="1352" ht="10.95" customHeight="true" customFormat="true" s="9">
      <c r="A1352" s="16">
        <v>45173</v>
      </c>
      <c r="B1352" s="17" t="s">
        <v>424</v>
      </c>
      <c r="C1352" s="17" t="s">
        <v>425</v>
      </c>
      <c r="D1352" s="17" t="s">
        <v>19</v>
      </c>
      <c r="E1352" s="17" t="s">
        <v>24</v>
      </c>
      <c r="F1352" s="17"/>
      <c r="G1352" s="18">
        <v>100.0000</v>
      </c>
      <c r="H1352" s="18">
        <v>0</v>
      </c>
      <c r="I1352" s="18">
        <f ca="1">((I1351 + G1352) - H1352)</f>
        <v>0</v>
      </c>
      <c r="J1352" s="18">
        <v>0</v>
      </c>
      <c r="K1352" s="19">
        <v>0</v>
      </c>
      <c r="L1352" s="17"/>
    </row>
    <row r="1353" ht="10.95" customHeight="true" customFormat="true" s="9">
      <c r="A1353" s="16">
        <v>45173</v>
      </c>
      <c r="B1353" s="17" t="s">
        <v>424</v>
      </c>
      <c r="C1353" s="17" t="s">
        <v>425</v>
      </c>
      <c r="D1353" s="17" t="s">
        <v>22</v>
      </c>
      <c r="E1353" s="17" t="s">
        <v>426</v>
      </c>
      <c r="F1353" s="17" t="s">
        <v>456</v>
      </c>
      <c r="G1353" s="18">
        <v>0</v>
      </c>
      <c r="H1353" s="18">
        <v>1158.1500</v>
      </c>
      <c r="I1353" s="18">
        <f ca="1">((I1352 + G1353) - H1353)</f>
        <v>0</v>
      </c>
      <c r="J1353" s="18">
        <v>0</v>
      </c>
      <c r="K1353" s="19">
        <v>0</v>
      </c>
      <c r="L1353" s="17"/>
    </row>
    <row r="1354" ht="10.95" customHeight="true" customFormat="true" s="9">
      <c r="A1354" s="16">
        <v>45173</v>
      </c>
      <c r="B1354" s="17" t="s">
        <v>424</v>
      </c>
      <c r="C1354" s="17" t="s">
        <v>425</v>
      </c>
      <c r="D1354" s="17" t="s">
        <v>22</v>
      </c>
      <c r="E1354" s="17" t="s">
        <v>34</v>
      </c>
      <c r="F1354" s="17"/>
      <c r="G1354" s="18">
        <v>0</v>
      </c>
      <c r="H1354" s="18">
        <v>2800.0000</v>
      </c>
      <c r="I1354" s="18">
        <f ca="1">((I1353 + G1354) - H1354)</f>
        <v>0</v>
      </c>
      <c r="J1354" s="18">
        <v>0</v>
      </c>
      <c r="K1354" s="19">
        <v>0</v>
      </c>
      <c r="L1354" s="17"/>
    </row>
    <row r="1355" ht="10.95" customHeight="true" customFormat="true" s="9">
      <c r="A1355" s="16">
        <v>45173</v>
      </c>
      <c r="B1355" s="17" t="s">
        <v>424</v>
      </c>
      <c r="C1355" s="17" t="s">
        <v>425</v>
      </c>
      <c r="D1355" s="17" t="s">
        <v>22</v>
      </c>
      <c r="E1355" s="17" t="s">
        <v>426</v>
      </c>
      <c r="F1355" s="17" t="s">
        <v>456</v>
      </c>
      <c r="G1355" s="18">
        <v>0</v>
      </c>
      <c r="H1355" s="18">
        <v>678.7300</v>
      </c>
      <c r="I1355" s="18">
        <f ca="1">((I1354 + G1355) - H1355)</f>
        <v>0</v>
      </c>
      <c r="J1355" s="18">
        <v>0</v>
      </c>
      <c r="K1355" s="19">
        <v>0</v>
      </c>
      <c r="L1355" s="17"/>
    </row>
    <row r="1356" ht="10.95" customHeight="true" customFormat="true" s="9">
      <c r="A1356" s="16">
        <v>45173</v>
      </c>
      <c r="B1356" s="17" t="s">
        <v>424</v>
      </c>
      <c r="C1356" s="17" t="s">
        <v>425</v>
      </c>
      <c r="D1356" s="17" t="s">
        <v>22</v>
      </c>
      <c r="E1356" s="17" t="s">
        <v>426</v>
      </c>
      <c r="F1356" s="17" t="s">
        <v>456</v>
      </c>
      <c r="G1356" s="18">
        <v>0</v>
      </c>
      <c r="H1356" s="18">
        <v>63.0000</v>
      </c>
      <c r="I1356" s="18">
        <f ca="1">((I1355 + G1356) - H1356)</f>
        <v>0</v>
      </c>
      <c r="J1356" s="18">
        <v>0</v>
      </c>
      <c r="K1356" s="19">
        <v>0</v>
      </c>
      <c r="L1356" s="17"/>
    </row>
    <row r="1357" ht="10.95" customHeight="true" customFormat="true" s="9">
      <c r="A1357" s="16">
        <v>45173</v>
      </c>
      <c r="B1357" s="17" t="s">
        <v>424</v>
      </c>
      <c r="C1357" s="17" t="s">
        <v>425</v>
      </c>
      <c r="D1357" s="17" t="s">
        <v>19</v>
      </c>
      <c r="E1357" s="17" t="s">
        <v>428</v>
      </c>
      <c r="F1357" s="17"/>
      <c r="G1357" s="18">
        <v>6098.4000</v>
      </c>
      <c r="H1357" s="18">
        <v>0</v>
      </c>
      <c r="I1357" s="18">
        <f ca="1">((I1356 + G1357) - H1357)</f>
        <v>0</v>
      </c>
      <c r="J1357" s="18">
        <v>0</v>
      </c>
      <c r="K1357" s="19">
        <v>0</v>
      </c>
      <c r="L1357" s="17"/>
    </row>
    <row r="1358" ht="10.95" customHeight="true" customFormat="true" s="9">
      <c r="A1358" s="16">
        <v>45173</v>
      </c>
      <c r="B1358" s="17" t="s">
        <v>424</v>
      </c>
      <c r="C1358" s="17" t="s">
        <v>425</v>
      </c>
      <c r="D1358" s="17" t="s">
        <v>22</v>
      </c>
      <c r="E1358" s="17" t="s">
        <v>426</v>
      </c>
      <c r="F1358" s="17" t="s">
        <v>456</v>
      </c>
      <c r="G1358" s="18">
        <v>0</v>
      </c>
      <c r="H1358" s="18">
        <v>674.5000</v>
      </c>
      <c r="I1358" s="18">
        <f ca="1">((I1357 + G1358) - H1358)</f>
        <v>0</v>
      </c>
      <c r="J1358" s="18">
        <v>0</v>
      </c>
      <c r="K1358" s="19">
        <v>0</v>
      </c>
      <c r="L1358" s="17"/>
    </row>
    <row r="1359" ht="10.95" customHeight="true" customFormat="true" s="9">
      <c r="A1359" s="16">
        <v>45173</v>
      </c>
      <c r="B1359" s="17" t="s">
        <v>424</v>
      </c>
      <c r="C1359" s="17" t="s">
        <v>425</v>
      </c>
      <c r="D1359" s="17" t="s">
        <v>22</v>
      </c>
      <c r="E1359" s="17" t="s">
        <v>426</v>
      </c>
      <c r="F1359" s="17" t="s">
        <v>456</v>
      </c>
      <c r="G1359" s="18">
        <v>0</v>
      </c>
      <c r="H1359" s="18">
        <v>63.0000</v>
      </c>
      <c r="I1359" s="18">
        <f ca="1">((I1358 + G1359) - H1359)</f>
        <v>0</v>
      </c>
      <c r="J1359" s="18">
        <v>0</v>
      </c>
      <c r="K1359" s="19">
        <v>0</v>
      </c>
      <c r="L1359" s="17"/>
    </row>
    <row r="1360" ht="10.95" customHeight="true" customFormat="true" s="9">
      <c r="A1360" s="16">
        <v>45173</v>
      </c>
      <c r="B1360" s="17" t="s">
        <v>424</v>
      </c>
      <c r="C1360" s="17" t="s">
        <v>425</v>
      </c>
      <c r="D1360" s="17" t="s">
        <v>19</v>
      </c>
      <c r="E1360" s="17" t="s">
        <v>428</v>
      </c>
      <c r="F1360" s="17"/>
      <c r="G1360" s="18">
        <v>3173.9500</v>
      </c>
      <c r="H1360" s="18">
        <v>0</v>
      </c>
      <c r="I1360" s="18">
        <f ca="1">((I1359 + G1360) - H1360)</f>
        <v>0</v>
      </c>
      <c r="J1360" s="18">
        <v>0</v>
      </c>
      <c r="K1360" s="19">
        <v>0</v>
      </c>
      <c r="L1360" s="17"/>
    </row>
    <row r="1361" ht="10.95" customHeight="true" customFormat="true" s="9">
      <c r="A1361" s="16">
        <v>45173</v>
      </c>
      <c r="B1361" s="17" t="s">
        <v>424</v>
      </c>
      <c r="C1361" s="17" t="s">
        <v>425</v>
      </c>
      <c r="D1361" s="17" t="s">
        <v>19</v>
      </c>
      <c r="E1361" s="17" t="s">
        <v>428</v>
      </c>
      <c r="F1361" s="17"/>
      <c r="G1361" s="18">
        <v>7722.4500</v>
      </c>
      <c r="H1361" s="18">
        <v>0</v>
      </c>
      <c r="I1361" s="18">
        <f ca="1">((I1360 + G1361) - H1361)</f>
        <v>0</v>
      </c>
      <c r="J1361" s="18">
        <v>0</v>
      </c>
      <c r="K1361" s="19">
        <v>0</v>
      </c>
      <c r="L1361" s="17"/>
    </row>
    <row r="1362" ht="10.95" customHeight="true" customFormat="true" s="9">
      <c r="A1362" s="16">
        <v>45173</v>
      </c>
      <c r="B1362" s="17" t="s">
        <v>424</v>
      </c>
      <c r="C1362" s="17" t="s">
        <v>425</v>
      </c>
      <c r="D1362" s="17" t="s">
        <v>22</v>
      </c>
      <c r="E1362" s="17" t="s">
        <v>426</v>
      </c>
      <c r="F1362" s="17" t="s">
        <v>456</v>
      </c>
      <c r="G1362" s="18">
        <v>0</v>
      </c>
      <c r="H1362" s="18">
        <v>2000.0000</v>
      </c>
      <c r="I1362" s="18">
        <f ca="1">((I1361 + G1362) - H1362)</f>
        <v>0</v>
      </c>
      <c r="J1362" s="18">
        <v>0</v>
      </c>
      <c r="K1362" s="19">
        <v>0</v>
      </c>
      <c r="L1362" s="17"/>
    </row>
    <row r="1363" ht="10.95" customHeight="true" customFormat="true" s="9">
      <c r="A1363" s="16">
        <v>45174</v>
      </c>
      <c r="B1363" s="17" t="s">
        <v>424</v>
      </c>
      <c r="C1363" s="17" t="s">
        <v>425</v>
      </c>
      <c r="D1363" s="17" t="s">
        <v>19</v>
      </c>
      <c r="E1363" s="17" t="s">
        <v>428</v>
      </c>
      <c r="F1363" s="17"/>
      <c r="G1363" s="18">
        <v>13.5000</v>
      </c>
      <c r="H1363" s="18">
        <v>0</v>
      </c>
      <c r="I1363" s="18">
        <f ca="1">((I1362 + G1363) - H1363)</f>
        <v>0</v>
      </c>
      <c r="J1363" s="18">
        <v>0</v>
      </c>
      <c r="K1363" s="19">
        <v>0</v>
      </c>
      <c r="L1363" s="17"/>
    </row>
    <row r="1364" ht="10.95" customHeight="true" customFormat="true" s="9">
      <c r="A1364" s="16">
        <v>45174</v>
      </c>
      <c r="B1364" s="17" t="s">
        <v>424</v>
      </c>
      <c r="C1364" s="17" t="s">
        <v>425</v>
      </c>
      <c r="D1364" s="17" t="s">
        <v>22</v>
      </c>
      <c r="E1364" s="17" t="s">
        <v>431</v>
      </c>
      <c r="F1364" s="17"/>
      <c r="G1364" s="18">
        <v>0</v>
      </c>
      <c r="H1364" s="18">
        <v>65.0000</v>
      </c>
      <c r="I1364" s="18">
        <f ca="1">((I1363 + G1364) - H1364)</f>
        <v>0</v>
      </c>
      <c r="J1364" s="18">
        <v>0</v>
      </c>
      <c r="K1364" s="19">
        <v>0</v>
      </c>
      <c r="L1364" s="17"/>
    </row>
    <row r="1365" ht="10.95" customHeight="true" customFormat="true" s="9">
      <c r="A1365" s="16">
        <v>45174</v>
      </c>
      <c r="B1365" s="17" t="s">
        <v>424</v>
      </c>
      <c r="C1365" s="17" t="s">
        <v>425</v>
      </c>
      <c r="D1365" s="17" t="s">
        <v>22</v>
      </c>
      <c r="E1365" s="17" t="s">
        <v>430</v>
      </c>
      <c r="F1365" s="17"/>
      <c r="G1365" s="18">
        <v>0</v>
      </c>
      <c r="H1365" s="18">
        <v>1660.6100</v>
      </c>
      <c r="I1365" s="18">
        <f ca="1">((I1364 + G1365) - H1365)</f>
        <v>0</v>
      </c>
      <c r="J1365" s="18">
        <v>0</v>
      </c>
      <c r="K1365" s="19">
        <v>0</v>
      </c>
      <c r="L1365" s="17"/>
    </row>
    <row r="1366" ht="10.95" customHeight="true" customFormat="true" s="9">
      <c r="A1366" s="16">
        <v>45175</v>
      </c>
      <c r="B1366" s="17" t="s">
        <v>424</v>
      </c>
      <c r="C1366" s="17" t="s">
        <v>425</v>
      </c>
      <c r="D1366" s="17" t="s">
        <v>19</v>
      </c>
      <c r="E1366" s="17" t="s">
        <v>428</v>
      </c>
      <c r="F1366" s="17"/>
      <c r="G1366" s="18">
        <v>2393.0500</v>
      </c>
      <c r="H1366" s="18">
        <v>0</v>
      </c>
      <c r="I1366" s="18">
        <f ca="1">((I1365 + G1366) - H1366)</f>
        <v>0</v>
      </c>
      <c r="J1366" s="18">
        <v>0</v>
      </c>
      <c r="K1366" s="19">
        <v>0</v>
      </c>
      <c r="L1366" s="17"/>
    </row>
    <row r="1367" ht="10.95" customHeight="true" customFormat="true" s="9">
      <c r="A1367" s="16">
        <v>45176</v>
      </c>
      <c r="B1367" s="17" t="s">
        <v>424</v>
      </c>
      <c r="C1367" s="17" t="s">
        <v>425</v>
      </c>
      <c r="D1367" s="17" t="s">
        <v>19</v>
      </c>
      <c r="E1367" s="17" t="s">
        <v>428</v>
      </c>
      <c r="F1367" s="17"/>
      <c r="G1367" s="18">
        <v>2319.0500</v>
      </c>
      <c r="H1367" s="18">
        <v>0</v>
      </c>
      <c r="I1367" s="18">
        <f ca="1">((I1366 + G1367) - H1367)</f>
        <v>0</v>
      </c>
      <c r="J1367" s="18">
        <v>0</v>
      </c>
      <c r="K1367" s="19">
        <v>0</v>
      </c>
      <c r="L1367" s="17"/>
    </row>
    <row r="1368" ht="10.95" customHeight="true" customFormat="true" s="9">
      <c r="A1368" s="16">
        <v>45177</v>
      </c>
      <c r="B1368" s="17" t="s">
        <v>424</v>
      </c>
      <c r="C1368" s="17" t="s">
        <v>425</v>
      </c>
      <c r="D1368" s="17" t="s">
        <v>22</v>
      </c>
      <c r="E1368" s="17" t="s">
        <v>430</v>
      </c>
      <c r="F1368" s="17"/>
      <c r="G1368" s="18">
        <v>0</v>
      </c>
      <c r="H1368" s="18">
        <v>2070.9100</v>
      </c>
      <c r="I1368" s="18">
        <f ca="1">((I1367 + G1368) - H1368)</f>
        <v>0</v>
      </c>
      <c r="J1368" s="18">
        <v>0</v>
      </c>
      <c r="K1368" s="19">
        <v>0</v>
      </c>
      <c r="L1368" s="17"/>
    </row>
    <row r="1369" ht="10.95" customHeight="true" customFormat="true" s="9">
      <c r="A1369" s="16">
        <v>45177</v>
      </c>
      <c r="B1369" s="17" t="s">
        <v>424</v>
      </c>
      <c r="C1369" s="17" t="s">
        <v>425</v>
      </c>
      <c r="D1369" s="17" t="s">
        <v>19</v>
      </c>
      <c r="E1369" s="17" t="s">
        <v>428</v>
      </c>
      <c r="F1369" s="17"/>
      <c r="G1369" s="18">
        <v>2827.0500</v>
      </c>
      <c r="H1369" s="18">
        <v>0</v>
      </c>
      <c r="I1369" s="18">
        <f ca="1">((I1368 + G1369) - H1369)</f>
        <v>0</v>
      </c>
      <c r="J1369" s="18">
        <v>0</v>
      </c>
      <c r="K1369" s="19">
        <v>0</v>
      </c>
      <c r="L1369" s="17"/>
    </row>
    <row r="1370" ht="10.95" customHeight="true" customFormat="true" s="9">
      <c r="A1370" s="16">
        <v>45180</v>
      </c>
      <c r="B1370" s="17" t="s">
        <v>424</v>
      </c>
      <c r="C1370" s="17" t="s">
        <v>425</v>
      </c>
      <c r="D1370" s="17" t="s">
        <v>22</v>
      </c>
      <c r="E1370" s="17" t="s">
        <v>426</v>
      </c>
      <c r="F1370" s="17" t="s">
        <v>457</v>
      </c>
      <c r="G1370" s="18">
        <v>0</v>
      </c>
      <c r="H1370" s="18">
        <v>434.7800</v>
      </c>
      <c r="I1370" s="18">
        <f ca="1">((I1369 + G1370) - H1370)</f>
        <v>0</v>
      </c>
      <c r="J1370" s="18">
        <v>0</v>
      </c>
      <c r="K1370" s="19">
        <v>0</v>
      </c>
      <c r="L1370" s="17"/>
    </row>
    <row r="1371" ht="10.95" customHeight="true" customFormat="true" s="9">
      <c r="A1371" s="16">
        <v>45180</v>
      </c>
      <c r="B1371" s="17" t="s">
        <v>424</v>
      </c>
      <c r="C1371" s="17" t="s">
        <v>425</v>
      </c>
      <c r="D1371" s="17" t="s">
        <v>22</v>
      </c>
      <c r="E1371" s="17" t="s">
        <v>426</v>
      </c>
      <c r="F1371" s="17" t="s">
        <v>457</v>
      </c>
      <c r="G1371" s="18">
        <v>0</v>
      </c>
      <c r="H1371" s="18">
        <v>138.0000</v>
      </c>
      <c r="I1371" s="18">
        <f ca="1">((I1370 + G1371) - H1371)</f>
        <v>0</v>
      </c>
      <c r="J1371" s="18">
        <v>0</v>
      </c>
      <c r="K1371" s="19">
        <v>0</v>
      </c>
      <c r="L1371" s="17"/>
    </row>
    <row r="1372" ht="10.95" customHeight="true" customFormat="true" s="9">
      <c r="A1372" s="16">
        <v>45180</v>
      </c>
      <c r="B1372" s="17" t="s">
        <v>424</v>
      </c>
      <c r="C1372" s="17" t="s">
        <v>425</v>
      </c>
      <c r="D1372" s="17" t="s">
        <v>22</v>
      </c>
      <c r="E1372" s="17" t="s">
        <v>426</v>
      </c>
      <c r="F1372" s="17" t="s">
        <v>457</v>
      </c>
      <c r="G1372" s="18">
        <v>0</v>
      </c>
      <c r="H1372" s="18">
        <v>841.0000</v>
      </c>
      <c r="I1372" s="18">
        <f ca="1">((I1371 + G1372) - H1372)</f>
        <v>0</v>
      </c>
      <c r="J1372" s="18">
        <v>0</v>
      </c>
      <c r="K1372" s="19">
        <v>0</v>
      </c>
      <c r="L1372" s="17"/>
    </row>
    <row r="1373" ht="10.95" customHeight="true" customFormat="true" s="9">
      <c r="A1373" s="16">
        <v>45180</v>
      </c>
      <c r="B1373" s="17" t="s">
        <v>424</v>
      </c>
      <c r="C1373" s="17" t="s">
        <v>425</v>
      </c>
      <c r="D1373" s="17" t="s">
        <v>22</v>
      </c>
      <c r="E1373" s="17" t="s">
        <v>34</v>
      </c>
      <c r="F1373" s="17"/>
      <c r="G1373" s="18">
        <v>0</v>
      </c>
      <c r="H1373" s="18">
        <v>1850.0000</v>
      </c>
      <c r="I1373" s="18">
        <f ca="1">((I1372 + G1373) - H1373)</f>
        <v>0</v>
      </c>
      <c r="J1373" s="18">
        <v>0</v>
      </c>
      <c r="K1373" s="19">
        <v>0</v>
      </c>
      <c r="L1373" s="17"/>
    </row>
    <row r="1374" ht="10.95" customHeight="true" customFormat="true" s="9">
      <c r="A1374" s="16">
        <v>45180</v>
      </c>
      <c r="B1374" s="17" t="s">
        <v>424</v>
      </c>
      <c r="C1374" s="17" t="s">
        <v>425</v>
      </c>
      <c r="D1374" s="17" t="s">
        <v>22</v>
      </c>
      <c r="E1374" s="17" t="s">
        <v>438</v>
      </c>
      <c r="F1374" s="17"/>
      <c r="G1374" s="18">
        <v>0</v>
      </c>
      <c r="H1374" s="18">
        <v>16.6000</v>
      </c>
      <c r="I1374" s="18">
        <f ca="1">((I1373 + G1374) - H1374)</f>
        <v>0</v>
      </c>
      <c r="J1374" s="18">
        <v>0</v>
      </c>
      <c r="K1374" s="19">
        <v>0</v>
      </c>
      <c r="L1374" s="17"/>
    </row>
    <row r="1375" ht="10.95" customHeight="true" customFormat="true" s="9">
      <c r="A1375" s="16">
        <v>45180</v>
      </c>
      <c r="B1375" s="17" t="s">
        <v>424</v>
      </c>
      <c r="C1375" s="17" t="s">
        <v>425</v>
      </c>
      <c r="D1375" s="17" t="s">
        <v>19</v>
      </c>
      <c r="E1375" s="17" t="s">
        <v>428</v>
      </c>
      <c r="F1375" s="17"/>
      <c r="G1375" s="18">
        <v>3027.3500</v>
      </c>
      <c r="H1375" s="18">
        <v>0</v>
      </c>
      <c r="I1375" s="18">
        <f ca="1">((I1374 + G1375) - H1375)</f>
        <v>0</v>
      </c>
      <c r="J1375" s="18">
        <v>0</v>
      </c>
      <c r="K1375" s="19">
        <v>0</v>
      </c>
      <c r="L1375" s="17"/>
    </row>
    <row r="1376" ht="10.95" customHeight="true" customFormat="true" s="9">
      <c r="A1376" s="16">
        <v>45180</v>
      </c>
      <c r="B1376" s="17" t="s">
        <v>424</v>
      </c>
      <c r="C1376" s="17" t="s">
        <v>425</v>
      </c>
      <c r="D1376" s="17" t="s">
        <v>22</v>
      </c>
      <c r="E1376" s="17" t="s">
        <v>426</v>
      </c>
      <c r="F1376" s="17" t="s">
        <v>457</v>
      </c>
      <c r="G1376" s="18">
        <v>0</v>
      </c>
      <c r="H1376" s="18">
        <v>1158.1500</v>
      </c>
      <c r="I1376" s="18">
        <f ca="1">((I1375 + G1376) - H1376)</f>
        <v>0</v>
      </c>
      <c r="J1376" s="18">
        <v>0</v>
      </c>
      <c r="K1376" s="19">
        <v>0</v>
      </c>
      <c r="L1376" s="17"/>
    </row>
    <row r="1377" ht="10.95" customHeight="true" customFormat="true" s="9">
      <c r="A1377" s="16">
        <v>45180</v>
      </c>
      <c r="B1377" s="17" t="s">
        <v>424</v>
      </c>
      <c r="C1377" s="17" t="s">
        <v>425</v>
      </c>
      <c r="D1377" s="17" t="s">
        <v>22</v>
      </c>
      <c r="E1377" s="17" t="s">
        <v>426</v>
      </c>
      <c r="F1377" s="17" t="s">
        <v>457</v>
      </c>
      <c r="G1377" s="18">
        <v>0</v>
      </c>
      <c r="H1377" s="18">
        <v>2000.0000</v>
      </c>
      <c r="I1377" s="18">
        <f ca="1">((I1376 + G1377) - H1377)</f>
        <v>0</v>
      </c>
      <c r="J1377" s="18">
        <v>0</v>
      </c>
      <c r="K1377" s="19">
        <v>0</v>
      </c>
      <c r="L1377" s="17"/>
    </row>
    <row r="1378" ht="10.95" customHeight="true" customFormat="true" s="9">
      <c r="A1378" s="16">
        <v>45180</v>
      </c>
      <c r="B1378" s="17" t="s">
        <v>424</v>
      </c>
      <c r="C1378" s="17" t="s">
        <v>425</v>
      </c>
      <c r="D1378" s="17" t="s">
        <v>19</v>
      </c>
      <c r="E1378" s="17" t="s">
        <v>428</v>
      </c>
      <c r="F1378" s="17"/>
      <c r="G1378" s="18">
        <v>6419.8000</v>
      </c>
      <c r="H1378" s="18">
        <v>0</v>
      </c>
      <c r="I1378" s="18">
        <f ca="1">((I1377 + G1378) - H1378)</f>
        <v>0</v>
      </c>
      <c r="J1378" s="18">
        <v>0</v>
      </c>
      <c r="K1378" s="19">
        <v>0</v>
      </c>
      <c r="L1378" s="17"/>
    </row>
    <row r="1379" ht="10.95" customHeight="true" customFormat="true" s="9">
      <c r="A1379" s="16">
        <v>45180</v>
      </c>
      <c r="B1379" s="17" t="s">
        <v>424</v>
      </c>
      <c r="C1379" s="17" t="s">
        <v>425</v>
      </c>
      <c r="D1379" s="17" t="s">
        <v>19</v>
      </c>
      <c r="E1379" s="17" t="s">
        <v>428</v>
      </c>
      <c r="F1379" s="17"/>
      <c r="G1379" s="18">
        <v>5618.2000</v>
      </c>
      <c r="H1379" s="18">
        <v>0</v>
      </c>
      <c r="I1379" s="18">
        <f ca="1">((I1378 + G1379) - H1379)</f>
        <v>0</v>
      </c>
      <c r="J1379" s="18">
        <v>0</v>
      </c>
      <c r="K1379" s="19">
        <v>0</v>
      </c>
      <c r="L1379" s="17"/>
    </row>
    <row r="1380" ht="10.95" customHeight="true" customFormat="true" s="9">
      <c r="A1380" s="16">
        <v>45181</v>
      </c>
      <c r="B1380" s="17" t="s">
        <v>424</v>
      </c>
      <c r="C1380" s="17" t="s">
        <v>425</v>
      </c>
      <c r="D1380" s="17" t="s">
        <v>22</v>
      </c>
      <c r="E1380" s="17" t="s">
        <v>431</v>
      </c>
      <c r="F1380" s="17"/>
      <c r="G1380" s="18">
        <v>0</v>
      </c>
      <c r="H1380" s="18">
        <v>71.9900</v>
      </c>
      <c r="I1380" s="18">
        <f ca="1">((I1379 + G1380) - H1380)</f>
        <v>0</v>
      </c>
      <c r="J1380" s="18">
        <v>0</v>
      </c>
      <c r="K1380" s="19">
        <v>0</v>
      </c>
      <c r="L1380" s="17"/>
    </row>
    <row r="1381" ht="10.95" customHeight="true" customFormat="true" s="9">
      <c r="A1381" s="16">
        <v>45181</v>
      </c>
      <c r="B1381" s="17" t="s">
        <v>424</v>
      </c>
      <c r="C1381" s="17" t="s">
        <v>425</v>
      </c>
      <c r="D1381" s="17" t="s">
        <v>22</v>
      </c>
      <c r="E1381" s="17" t="s">
        <v>430</v>
      </c>
      <c r="F1381" s="17"/>
      <c r="G1381" s="18">
        <v>0</v>
      </c>
      <c r="H1381" s="18">
        <v>1845.4000</v>
      </c>
      <c r="I1381" s="18">
        <f ca="1">((I1380 + G1381) - H1381)</f>
        <v>0</v>
      </c>
      <c r="J1381" s="18">
        <v>0</v>
      </c>
      <c r="K1381" s="19">
        <v>0</v>
      </c>
      <c r="L1381" s="17"/>
    </row>
    <row r="1382" ht="10.95" customHeight="true" customFormat="true" s="9">
      <c r="A1382" s="16">
        <v>45181</v>
      </c>
      <c r="B1382" s="17" t="s">
        <v>424</v>
      </c>
      <c r="C1382" s="17" t="s">
        <v>425</v>
      </c>
      <c r="D1382" s="17" t="s">
        <v>22</v>
      </c>
      <c r="E1382" s="17" t="s">
        <v>433</v>
      </c>
      <c r="F1382" s="17"/>
      <c r="G1382" s="18">
        <v>0</v>
      </c>
      <c r="H1382" s="18">
        <v>865.1300</v>
      </c>
      <c r="I1382" s="18">
        <f ca="1">((I1381 + G1382) - H1382)</f>
        <v>0</v>
      </c>
      <c r="J1382" s="18">
        <v>0</v>
      </c>
      <c r="K1382" s="19">
        <v>0</v>
      </c>
      <c r="L1382" s="17"/>
    </row>
    <row r="1383" ht="10.95" customHeight="true" customFormat="true" s="9">
      <c r="A1383" s="16">
        <v>45182</v>
      </c>
      <c r="B1383" s="17" t="s">
        <v>424</v>
      </c>
      <c r="C1383" s="17" t="s">
        <v>425</v>
      </c>
      <c r="D1383" s="17" t="s">
        <v>19</v>
      </c>
      <c r="E1383" s="17" t="s">
        <v>428</v>
      </c>
      <c r="F1383" s="17"/>
      <c r="G1383" s="18">
        <v>2623.7500</v>
      </c>
      <c r="H1383" s="18">
        <v>0</v>
      </c>
      <c r="I1383" s="18">
        <f ca="1">((I1382 + G1383) - H1383)</f>
        <v>0</v>
      </c>
      <c r="J1383" s="18">
        <v>0</v>
      </c>
      <c r="K1383" s="19">
        <v>0</v>
      </c>
      <c r="L1383" s="17"/>
    </row>
    <row r="1384" ht="10.95" customHeight="true" customFormat="true" s="9">
      <c r="A1384" s="16">
        <v>45182</v>
      </c>
      <c r="B1384" s="17" t="s">
        <v>424</v>
      </c>
      <c r="C1384" s="17" t="s">
        <v>425</v>
      </c>
      <c r="D1384" s="17" t="s">
        <v>22</v>
      </c>
      <c r="E1384" s="17" t="s">
        <v>458</v>
      </c>
      <c r="F1384" s="17"/>
      <c r="G1384" s="18">
        <v>0</v>
      </c>
      <c r="H1384" s="18">
        <v>9258.5000</v>
      </c>
      <c r="I1384" s="18">
        <f ca="1">((I1383 + G1384) - H1384)</f>
        <v>0</v>
      </c>
      <c r="J1384" s="18">
        <v>0</v>
      </c>
      <c r="K1384" s="19">
        <v>0</v>
      </c>
      <c r="L1384" s="17"/>
    </row>
    <row r="1385" ht="10.95" customHeight="true" customFormat="true" s="9">
      <c r="A1385" s="16">
        <v>45183</v>
      </c>
      <c r="B1385" s="17" t="s">
        <v>424</v>
      </c>
      <c r="C1385" s="17" t="s">
        <v>425</v>
      </c>
      <c r="D1385" s="17" t="s">
        <v>19</v>
      </c>
      <c r="E1385" s="17" t="s">
        <v>24</v>
      </c>
      <c r="F1385" s="17"/>
      <c r="G1385" s="18">
        <v>199.9500</v>
      </c>
      <c r="H1385" s="18">
        <v>0</v>
      </c>
      <c r="I1385" s="18">
        <f ca="1">((I1384 + G1385) - H1385)</f>
        <v>0</v>
      </c>
      <c r="J1385" s="18">
        <v>0</v>
      </c>
      <c r="K1385" s="19">
        <v>0</v>
      </c>
      <c r="L1385" s="17"/>
    </row>
    <row r="1386" ht="10.95" customHeight="true" customFormat="true" s="9">
      <c r="A1386" s="16">
        <v>45183</v>
      </c>
      <c r="B1386" s="17" t="s">
        <v>424</v>
      </c>
      <c r="C1386" s="17" t="s">
        <v>425</v>
      </c>
      <c r="D1386" s="17" t="s">
        <v>22</v>
      </c>
      <c r="E1386" s="17" t="s">
        <v>298</v>
      </c>
      <c r="F1386" s="17"/>
      <c r="G1386" s="18">
        <v>0</v>
      </c>
      <c r="H1386" s="18">
        <v>5983.9500</v>
      </c>
      <c r="I1386" s="18">
        <f ca="1">((I1385 + G1386) - H1386)</f>
        <v>0</v>
      </c>
      <c r="J1386" s="18">
        <v>0</v>
      </c>
      <c r="K1386" s="19">
        <v>0</v>
      </c>
      <c r="L1386" s="17"/>
    </row>
    <row r="1387" ht="10.95" customHeight="true" customFormat="true" s="9">
      <c r="A1387" s="16">
        <v>45183</v>
      </c>
      <c r="B1387" s="17" t="s">
        <v>424</v>
      </c>
      <c r="C1387" s="17" t="s">
        <v>425</v>
      </c>
      <c r="D1387" s="17" t="s">
        <v>22</v>
      </c>
      <c r="E1387" s="17" t="s">
        <v>66</v>
      </c>
      <c r="F1387" s="17"/>
      <c r="G1387" s="18">
        <v>0</v>
      </c>
      <c r="H1387" s="18">
        <v>5431.0000</v>
      </c>
      <c r="I1387" s="18">
        <f ca="1">((I1386 + G1387) - H1387)</f>
        <v>0</v>
      </c>
      <c r="J1387" s="18">
        <v>0</v>
      </c>
      <c r="K1387" s="19">
        <v>0</v>
      </c>
      <c r="L1387" s="17"/>
    </row>
    <row r="1388" ht="10.95" customHeight="true" customFormat="true" s="9">
      <c r="A1388" s="16">
        <v>45183</v>
      </c>
      <c r="B1388" s="17" t="s">
        <v>424</v>
      </c>
      <c r="C1388" s="17" t="s">
        <v>425</v>
      </c>
      <c r="D1388" s="17" t="s">
        <v>19</v>
      </c>
      <c r="E1388" s="17" t="s">
        <v>428</v>
      </c>
      <c r="F1388" s="17"/>
      <c r="G1388" s="18">
        <v>2621.2500</v>
      </c>
      <c r="H1388" s="18">
        <v>0</v>
      </c>
      <c r="I1388" s="18">
        <f ca="1">((I1387 + G1388) - H1388)</f>
        <v>0</v>
      </c>
      <c r="J1388" s="18">
        <v>0</v>
      </c>
      <c r="K1388" s="19">
        <v>0</v>
      </c>
      <c r="L1388" s="17"/>
    </row>
    <row r="1389" ht="10.95" customHeight="true" customFormat="true" s="9">
      <c r="A1389" s="16">
        <v>45184</v>
      </c>
      <c r="B1389" s="17" t="s">
        <v>424</v>
      </c>
      <c r="C1389" s="17" t="s">
        <v>425</v>
      </c>
      <c r="D1389" s="17" t="s">
        <v>22</v>
      </c>
      <c r="E1389" s="17" t="s">
        <v>430</v>
      </c>
      <c r="F1389" s="17"/>
      <c r="G1389" s="18">
        <v>0</v>
      </c>
      <c r="H1389" s="18">
        <v>1937.6900</v>
      </c>
      <c r="I1389" s="18">
        <f ca="1">((I1388 + G1389) - H1389)</f>
        <v>0</v>
      </c>
      <c r="J1389" s="18">
        <v>0</v>
      </c>
      <c r="K1389" s="19">
        <v>0</v>
      </c>
      <c r="L1389" s="17"/>
    </row>
    <row r="1390" ht="10.95" customHeight="true" customFormat="true" s="9">
      <c r="A1390" s="16">
        <v>45184</v>
      </c>
      <c r="B1390" s="17" t="s">
        <v>424</v>
      </c>
      <c r="C1390" s="17" t="s">
        <v>425</v>
      </c>
      <c r="D1390" s="17" t="s">
        <v>22</v>
      </c>
      <c r="E1390" s="17" t="s">
        <v>459</v>
      </c>
      <c r="F1390" s="17"/>
      <c r="G1390" s="18">
        <v>0</v>
      </c>
      <c r="H1390" s="18">
        <v>207.9000</v>
      </c>
      <c r="I1390" s="18">
        <f ca="1">((I1389 + G1390) - H1390)</f>
        <v>0</v>
      </c>
      <c r="J1390" s="18">
        <v>0</v>
      </c>
      <c r="K1390" s="19">
        <v>0</v>
      </c>
      <c r="L1390" s="17"/>
    </row>
    <row r="1391" ht="10.95" customHeight="true" customFormat="true" s="9">
      <c r="A1391" s="16">
        <v>45184</v>
      </c>
      <c r="B1391" s="17" t="s">
        <v>424</v>
      </c>
      <c r="C1391" s="17" t="s">
        <v>425</v>
      </c>
      <c r="D1391" s="17" t="s">
        <v>22</v>
      </c>
      <c r="E1391" s="17" t="s">
        <v>434</v>
      </c>
      <c r="F1391" s="17"/>
      <c r="G1391" s="18">
        <v>0</v>
      </c>
      <c r="H1391" s="18">
        <v>365.0000</v>
      </c>
      <c r="I1391" s="18">
        <f ca="1">((I1390 + G1391) - H1391)</f>
        <v>0</v>
      </c>
      <c r="J1391" s="18">
        <v>0</v>
      </c>
      <c r="K1391" s="19">
        <v>0</v>
      </c>
      <c r="L1391" s="17"/>
    </row>
    <row r="1392" ht="10.95" customHeight="true" customFormat="true" s="9">
      <c r="A1392" s="16">
        <v>45184</v>
      </c>
      <c r="B1392" s="17" t="s">
        <v>424</v>
      </c>
      <c r="C1392" s="17" t="s">
        <v>425</v>
      </c>
      <c r="D1392" s="17" t="s">
        <v>19</v>
      </c>
      <c r="E1392" s="17" t="s">
        <v>428</v>
      </c>
      <c r="F1392" s="17"/>
      <c r="G1392" s="18">
        <v>2574.1000</v>
      </c>
      <c r="H1392" s="18">
        <v>0</v>
      </c>
      <c r="I1392" s="18">
        <f ca="1">((I1391 + G1392) - H1392)</f>
        <v>0</v>
      </c>
      <c r="J1392" s="18">
        <v>0</v>
      </c>
      <c r="K1392" s="19">
        <v>0</v>
      </c>
      <c r="L1392" s="17"/>
    </row>
    <row r="1393" ht="10.95" customHeight="true" customFormat="true" s="9">
      <c r="A1393" s="16">
        <v>45187</v>
      </c>
      <c r="B1393" s="17" t="s">
        <v>424</v>
      </c>
      <c r="C1393" s="17" t="s">
        <v>425</v>
      </c>
      <c r="D1393" s="17" t="s">
        <v>22</v>
      </c>
      <c r="E1393" s="17" t="s">
        <v>426</v>
      </c>
      <c r="F1393" s="17" t="s">
        <v>460</v>
      </c>
      <c r="G1393" s="18">
        <v>0</v>
      </c>
      <c r="H1393" s="18">
        <v>1158.1500</v>
      </c>
      <c r="I1393" s="18">
        <f ca="1">((I1392 + G1393) - H1393)</f>
        <v>0</v>
      </c>
      <c r="J1393" s="18">
        <v>0</v>
      </c>
      <c r="K1393" s="19">
        <v>0</v>
      </c>
      <c r="L1393" s="17"/>
    </row>
    <row r="1394" ht="10.95" customHeight="true" customFormat="true" s="9">
      <c r="A1394" s="16">
        <v>45187</v>
      </c>
      <c r="B1394" s="17" t="s">
        <v>424</v>
      </c>
      <c r="C1394" s="17" t="s">
        <v>425</v>
      </c>
      <c r="D1394" s="17" t="s">
        <v>22</v>
      </c>
      <c r="E1394" s="17" t="s">
        <v>426</v>
      </c>
      <c r="F1394" s="17" t="s">
        <v>460</v>
      </c>
      <c r="G1394" s="18">
        <v>0</v>
      </c>
      <c r="H1394" s="18">
        <v>674.5000</v>
      </c>
      <c r="I1394" s="18">
        <f ca="1">((I1393 + G1394) - H1394)</f>
        <v>0</v>
      </c>
      <c r="J1394" s="18">
        <v>0</v>
      </c>
      <c r="K1394" s="19">
        <v>0</v>
      </c>
      <c r="L1394" s="17"/>
    </row>
    <row r="1395" ht="10.95" customHeight="true" customFormat="true" s="9">
      <c r="A1395" s="16">
        <v>45187</v>
      </c>
      <c r="B1395" s="17" t="s">
        <v>424</v>
      </c>
      <c r="C1395" s="17" t="s">
        <v>425</v>
      </c>
      <c r="D1395" s="17" t="s">
        <v>22</v>
      </c>
      <c r="E1395" s="17" t="s">
        <v>426</v>
      </c>
      <c r="F1395" s="17" t="s">
        <v>460</v>
      </c>
      <c r="G1395" s="18">
        <v>0</v>
      </c>
      <c r="H1395" s="18">
        <v>63.0000</v>
      </c>
      <c r="I1395" s="18">
        <f ca="1">((I1394 + G1395) - H1395)</f>
        <v>0</v>
      </c>
      <c r="J1395" s="18">
        <v>0</v>
      </c>
      <c r="K1395" s="19">
        <v>0</v>
      </c>
      <c r="L1395" s="17"/>
    </row>
    <row r="1396" ht="10.95" customHeight="true" customFormat="true" s="9">
      <c r="A1396" s="16">
        <v>45187</v>
      </c>
      <c r="B1396" s="17" t="s">
        <v>424</v>
      </c>
      <c r="C1396" s="17" t="s">
        <v>425</v>
      </c>
      <c r="D1396" s="17" t="s">
        <v>19</v>
      </c>
      <c r="E1396" s="17" t="s">
        <v>24</v>
      </c>
      <c r="F1396" s="17"/>
      <c r="G1396" s="18">
        <v>250.0000</v>
      </c>
      <c r="H1396" s="18">
        <v>0</v>
      </c>
      <c r="I1396" s="18">
        <f ca="1">((I1395 + G1396) - H1396)</f>
        <v>0</v>
      </c>
      <c r="J1396" s="18">
        <v>0</v>
      </c>
      <c r="K1396" s="19">
        <v>0</v>
      </c>
      <c r="L1396" s="17"/>
    </row>
    <row r="1397" ht="10.95" customHeight="true" customFormat="true" s="9">
      <c r="A1397" s="16">
        <v>45187</v>
      </c>
      <c r="B1397" s="17" t="s">
        <v>424</v>
      </c>
      <c r="C1397" s="17" t="s">
        <v>425</v>
      </c>
      <c r="D1397" s="17" t="s">
        <v>22</v>
      </c>
      <c r="E1397" s="17" t="s">
        <v>426</v>
      </c>
      <c r="F1397" s="17" t="s">
        <v>460</v>
      </c>
      <c r="G1397" s="18">
        <v>0</v>
      </c>
      <c r="H1397" s="18">
        <v>636.6500</v>
      </c>
      <c r="I1397" s="18">
        <f ca="1">((I1396 + G1397) - H1397)</f>
        <v>0</v>
      </c>
      <c r="J1397" s="18">
        <v>0</v>
      </c>
      <c r="K1397" s="19">
        <v>0</v>
      </c>
      <c r="L1397" s="17"/>
    </row>
    <row r="1398" ht="10.95" customHeight="true" customFormat="true" s="9">
      <c r="A1398" s="16">
        <v>45187</v>
      </c>
      <c r="B1398" s="17" t="s">
        <v>424</v>
      </c>
      <c r="C1398" s="17" t="s">
        <v>425</v>
      </c>
      <c r="D1398" s="17" t="s">
        <v>22</v>
      </c>
      <c r="E1398" s="17" t="s">
        <v>426</v>
      </c>
      <c r="F1398" s="17" t="s">
        <v>460</v>
      </c>
      <c r="G1398" s="18">
        <v>0</v>
      </c>
      <c r="H1398" s="18">
        <v>2000.0000</v>
      </c>
      <c r="I1398" s="18">
        <f ca="1">((I1397 + G1398) - H1398)</f>
        <v>0</v>
      </c>
      <c r="J1398" s="18">
        <v>0</v>
      </c>
      <c r="K1398" s="19">
        <v>0</v>
      </c>
      <c r="L1398" s="17"/>
    </row>
    <row r="1399" ht="10.95" customHeight="true" customFormat="true" s="9">
      <c r="A1399" s="16">
        <v>45187</v>
      </c>
      <c r="B1399" s="17" t="s">
        <v>424</v>
      </c>
      <c r="C1399" s="17" t="s">
        <v>425</v>
      </c>
      <c r="D1399" s="17" t="s">
        <v>19</v>
      </c>
      <c r="E1399" s="17" t="s">
        <v>428</v>
      </c>
      <c r="F1399" s="17"/>
      <c r="G1399" s="18">
        <v>6257.2000</v>
      </c>
      <c r="H1399" s="18">
        <v>0</v>
      </c>
      <c r="I1399" s="18">
        <f ca="1">((I1398 + G1399) - H1399)</f>
        <v>0</v>
      </c>
      <c r="J1399" s="18">
        <v>0</v>
      </c>
      <c r="K1399" s="19">
        <v>0</v>
      </c>
      <c r="L1399" s="17"/>
    </row>
    <row r="1400" ht="10.95" customHeight="true" customFormat="true" s="9">
      <c r="A1400" s="16">
        <v>45187</v>
      </c>
      <c r="B1400" s="17" t="s">
        <v>424</v>
      </c>
      <c r="C1400" s="17" t="s">
        <v>425</v>
      </c>
      <c r="D1400" s="17" t="s">
        <v>22</v>
      </c>
      <c r="E1400" s="17" t="s">
        <v>436</v>
      </c>
      <c r="F1400" s="17"/>
      <c r="G1400" s="18">
        <v>0</v>
      </c>
      <c r="H1400" s="18">
        <v>108.0000</v>
      </c>
      <c r="I1400" s="18">
        <f ca="1">((I1399 + G1400) - H1400)</f>
        <v>0</v>
      </c>
      <c r="J1400" s="18">
        <v>0</v>
      </c>
      <c r="K1400" s="19">
        <v>0</v>
      </c>
      <c r="L1400" s="17"/>
    </row>
    <row r="1401" ht="10.95" customHeight="true" customFormat="true" s="9">
      <c r="A1401" s="16">
        <v>45187</v>
      </c>
      <c r="B1401" s="17" t="s">
        <v>424</v>
      </c>
      <c r="C1401" s="17" t="s">
        <v>425</v>
      </c>
      <c r="D1401" s="17" t="s">
        <v>22</v>
      </c>
      <c r="E1401" s="17" t="s">
        <v>34</v>
      </c>
      <c r="F1401" s="17"/>
      <c r="G1401" s="18">
        <v>0</v>
      </c>
      <c r="H1401" s="18">
        <v>1900.0000</v>
      </c>
      <c r="I1401" s="18">
        <f ca="1">((I1400 + G1401) - H1401)</f>
        <v>0</v>
      </c>
      <c r="J1401" s="18">
        <v>0</v>
      </c>
      <c r="K1401" s="19">
        <v>0</v>
      </c>
      <c r="L1401" s="17"/>
    </row>
    <row r="1402" ht="10.95" customHeight="true" customFormat="true" s="9">
      <c r="A1402" s="16">
        <v>45187</v>
      </c>
      <c r="B1402" s="17" t="s">
        <v>424</v>
      </c>
      <c r="C1402" s="17" t="s">
        <v>425</v>
      </c>
      <c r="D1402" s="17" t="s">
        <v>22</v>
      </c>
      <c r="E1402" s="17" t="s">
        <v>426</v>
      </c>
      <c r="F1402" s="17" t="s">
        <v>460</v>
      </c>
      <c r="G1402" s="18">
        <v>0</v>
      </c>
      <c r="H1402" s="18">
        <v>69.0000</v>
      </c>
      <c r="I1402" s="18">
        <f ca="1">((I1401 + G1402) - H1402)</f>
        <v>0</v>
      </c>
      <c r="J1402" s="18">
        <v>0</v>
      </c>
      <c r="K1402" s="19">
        <v>0</v>
      </c>
      <c r="L1402" s="17"/>
    </row>
    <row r="1403" ht="10.95" customHeight="true" customFormat="true" s="9">
      <c r="A1403" s="16">
        <v>45187</v>
      </c>
      <c r="B1403" s="17" t="s">
        <v>424</v>
      </c>
      <c r="C1403" s="17" t="s">
        <v>425</v>
      </c>
      <c r="D1403" s="17" t="s">
        <v>19</v>
      </c>
      <c r="E1403" s="17" t="s">
        <v>428</v>
      </c>
      <c r="F1403" s="17"/>
      <c r="G1403" s="18">
        <v>5190.7800</v>
      </c>
      <c r="H1403" s="18">
        <v>0</v>
      </c>
      <c r="I1403" s="18">
        <f ca="1">((I1402 + G1403) - H1403)</f>
        <v>0</v>
      </c>
      <c r="J1403" s="18">
        <v>0</v>
      </c>
      <c r="K1403" s="19">
        <v>0</v>
      </c>
      <c r="L1403" s="17"/>
    </row>
    <row r="1404" ht="10.95" customHeight="true" customFormat="true" s="9">
      <c r="A1404" s="16">
        <v>45187</v>
      </c>
      <c r="B1404" s="17" t="s">
        <v>424</v>
      </c>
      <c r="C1404" s="17" t="s">
        <v>425</v>
      </c>
      <c r="D1404" s="17" t="s">
        <v>19</v>
      </c>
      <c r="E1404" s="17" t="s">
        <v>428</v>
      </c>
      <c r="F1404" s="17"/>
      <c r="G1404" s="18">
        <v>3097.7800</v>
      </c>
      <c r="H1404" s="18">
        <v>0</v>
      </c>
      <c r="I1404" s="18">
        <f ca="1">((I1403 + G1404) - H1404)</f>
        <v>0</v>
      </c>
      <c r="J1404" s="18">
        <v>0</v>
      </c>
      <c r="K1404" s="19">
        <v>0</v>
      </c>
      <c r="L1404" s="17"/>
    </row>
    <row r="1405" ht="10.95" customHeight="true" customFormat="true" s="9">
      <c r="A1405" s="16">
        <v>45187</v>
      </c>
      <c r="B1405" s="17" t="s">
        <v>424</v>
      </c>
      <c r="C1405" s="17" t="s">
        <v>425</v>
      </c>
      <c r="D1405" s="17" t="s">
        <v>22</v>
      </c>
      <c r="E1405" s="17" t="s">
        <v>438</v>
      </c>
      <c r="F1405" s="17"/>
      <c r="G1405" s="18">
        <v>0</v>
      </c>
      <c r="H1405" s="18">
        <v>15.0000</v>
      </c>
      <c r="I1405" s="18">
        <f ca="1">((I1404 + G1405) - H1405)</f>
        <v>0</v>
      </c>
      <c r="J1405" s="18">
        <v>0</v>
      </c>
      <c r="K1405" s="19">
        <v>0</v>
      </c>
      <c r="L1405" s="17"/>
    </row>
    <row r="1406" ht="10.95" customHeight="true" customFormat="true" s="9">
      <c r="A1406" s="16">
        <v>45188</v>
      </c>
      <c r="B1406" s="17" t="s">
        <v>424</v>
      </c>
      <c r="C1406" s="17" t="s">
        <v>425</v>
      </c>
      <c r="D1406" s="17" t="s">
        <v>22</v>
      </c>
      <c r="E1406" s="17" t="s">
        <v>430</v>
      </c>
      <c r="F1406" s="17"/>
      <c r="G1406" s="18">
        <v>0</v>
      </c>
      <c r="H1406" s="18">
        <v>2017.4200</v>
      </c>
      <c r="I1406" s="18">
        <f ca="1">((I1405 + G1406) - H1406)</f>
        <v>0</v>
      </c>
      <c r="J1406" s="18">
        <v>0</v>
      </c>
      <c r="K1406" s="19">
        <v>0</v>
      </c>
      <c r="L1406" s="17"/>
    </row>
    <row r="1407" ht="10.95" customHeight="true" customFormat="true" s="9">
      <c r="A1407" s="16">
        <v>45189</v>
      </c>
      <c r="B1407" s="17" t="s">
        <v>424</v>
      </c>
      <c r="C1407" s="17" t="s">
        <v>425</v>
      </c>
      <c r="D1407" s="17" t="s">
        <v>19</v>
      </c>
      <c r="E1407" s="17" t="s">
        <v>24</v>
      </c>
      <c r="F1407" s="17"/>
      <c r="G1407" s="18">
        <v>344.9500</v>
      </c>
      <c r="H1407" s="18">
        <v>0</v>
      </c>
      <c r="I1407" s="18">
        <f ca="1">((I1406 + G1407) - H1407)</f>
        <v>0</v>
      </c>
      <c r="J1407" s="18">
        <v>0</v>
      </c>
      <c r="K1407" s="19">
        <v>0</v>
      </c>
      <c r="L1407" s="17"/>
    </row>
    <row r="1408" ht="10.95" customHeight="true" customFormat="true" s="9">
      <c r="A1408" s="16">
        <v>45189</v>
      </c>
      <c r="B1408" s="17" t="s">
        <v>424</v>
      </c>
      <c r="C1408" s="17" t="s">
        <v>425</v>
      </c>
      <c r="D1408" s="17" t="s">
        <v>19</v>
      </c>
      <c r="E1408" s="17" t="s">
        <v>428</v>
      </c>
      <c r="F1408" s="17"/>
      <c r="G1408" s="18">
        <v>2263.9800</v>
      </c>
      <c r="H1408" s="18">
        <v>0</v>
      </c>
      <c r="I1408" s="18">
        <f ca="1">((I1407 + G1408) - H1408)</f>
        <v>0</v>
      </c>
      <c r="J1408" s="18">
        <v>0</v>
      </c>
      <c r="K1408" s="19">
        <v>0</v>
      </c>
      <c r="L1408" s="17"/>
    </row>
    <row r="1409" ht="10.95" customHeight="true" customFormat="true" s="9">
      <c r="A1409" s="16">
        <v>45190</v>
      </c>
      <c r="B1409" s="17" t="s">
        <v>424</v>
      </c>
      <c r="C1409" s="17" t="s">
        <v>425</v>
      </c>
      <c r="D1409" s="17" t="s">
        <v>19</v>
      </c>
      <c r="E1409" s="17" t="s">
        <v>428</v>
      </c>
      <c r="F1409" s="17"/>
      <c r="G1409" s="18">
        <v>2116.4000</v>
      </c>
      <c r="H1409" s="18">
        <v>0</v>
      </c>
      <c r="I1409" s="18">
        <f ca="1">((I1408 + G1409) - H1409)</f>
        <v>0</v>
      </c>
      <c r="J1409" s="18">
        <v>0</v>
      </c>
      <c r="K1409" s="19">
        <v>0</v>
      </c>
      <c r="L1409" s="17"/>
    </row>
    <row r="1410" ht="10.95" customHeight="true" customFormat="true" s="9">
      <c r="A1410" s="16">
        <v>45191</v>
      </c>
      <c r="B1410" s="17" t="s">
        <v>424</v>
      </c>
      <c r="C1410" s="17" t="s">
        <v>425</v>
      </c>
      <c r="D1410" s="17" t="s">
        <v>19</v>
      </c>
      <c r="E1410" s="17" t="s">
        <v>428</v>
      </c>
      <c r="F1410" s="17"/>
      <c r="G1410" s="18">
        <v>2496.0500</v>
      </c>
      <c r="H1410" s="18">
        <v>0</v>
      </c>
      <c r="I1410" s="18">
        <f ca="1">((I1409 + G1410) - H1410)</f>
        <v>0</v>
      </c>
      <c r="J1410" s="18">
        <v>0</v>
      </c>
      <c r="K1410" s="19">
        <v>0</v>
      </c>
      <c r="L1410" s="17"/>
    </row>
    <row r="1411" ht="10.95" customHeight="true" customFormat="true" s="9">
      <c r="A1411" s="16">
        <v>45191</v>
      </c>
      <c r="B1411" s="17" t="s">
        <v>424</v>
      </c>
      <c r="C1411" s="17" t="s">
        <v>425</v>
      </c>
      <c r="D1411" s="17" t="s">
        <v>22</v>
      </c>
      <c r="E1411" s="17" t="s">
        <v>461</v>
      </c>
      <c r="F1411" s="17"/>
      <c r="G1411" s="18">
        <v>0</v>
      </c>
      <c r="H1411" s="18">
        <v>3302.5400</v>
      </c>
      <c r="I1411" s="18">
        <f ca="1">((I1410 + G1411) - H1411)</f>
        <v>0</v>
      </c>
      <c r="J1411" s="18">
        <v>0</v>
      </c>
      <c r="K1411" s="19">
        <v>0</v>
      </c>
      <c r="L1411" s="17"/>
    </row>
    <row r="1412" ht="10.95" customHeight="true" customFormat="true" s="9">
      <c r="A1412" s="16">
        <v>45191</v>
      </c>
      <c r="B1412" s="17" t="s">
        <v>424</v>
      </c>
      <c r="C1412" s="17" t="s">
        <v>425</v>
      </c>
      <c r="D1412" s="17" t="s">
        <v>22</v>
      </c>
      <c r="E1412" s="17" t="s">
        <v>430</v>
      </c>
      <c r="F1412" s="17"/>
      <c r="G1412" s="18">
        <v>0</v>
      </c>
      <c r="H1412" s="18">
        <v>1623.5800</v>
      </c>
      <c r="I1412" s="18">
        <f ca="1">((I1411 + G1412) - H1412)</f>
        <v>0</v>
      </c>
      <c r="J1412" s="18">
        <v>0</v>
      </c>
      <c r="K1412" s="19">
        <v>0</v>
      </c>
      <c r="L1412" s="17"/>
    </row>
    <row r="1413" ht="10.95" customHeight="true" customFormat="true" s="9">
      <c r="A1413" s="16">
        <v>45194</v>
      </c>
      <c r="B1413" s="17" t="s">
        <v>424</v>
      </c>
      <c r="C1413" s="17" t="s">
        <v>425</v>
      </c>
      <c r="D1413" s="17" t="s">
        <v>22</v>
      </c>
      <c r="E1413" s="17" t="s">
        <v>34</v>
      </c>
      <c r="F1413" s="17"/>
      <c r="G1413" s="18">
        <v>0</v>
      </c>
      <c r="H1413" s="18">
        <v>2511.5000</v>
      </c>
      <c r="I1413" s="18">
        <f ca="1">((I1412 + G1413) - H1413)</f>
        <v>0</v>
      </c>
      <c r="J1413" s="18">
        <v>0</v>
      </c>
      <c r="K1413" s="19">
        <v>0</v>
      </c>
      <c r="L1413" s="17"/>
    </row>
    <row r="1414" ht="10.95" customHeight="true" customFormat="true" s="9">
      <c r="A1414" s="16">
        <v>45194</v>
      </c>
      <c r="B1414" s="17" t="s">
        <v>424</v>
      </c>
      <c r="C1414" s="17" t="s">
        <v>425</v>
      </c>
      <c r="D1414" s="17" t="s">
        <v>22</v>
      </c>
      <c r="E1414" s="17" t="s">
        <v>426</v>
      </c>
      <c r="F1414" s="17" t="s">
        <v>462</v>
      </c>
      <c r="G1414" s="18">
        <v>0</v>
      </c>
      <c r="H1414" s="18">
        <v>594.5800</v>
      </c>
      <c r="I1414" s="18">
        <f ca="1">((I1413 + G1414) - H1414)</f>
        <v>0</v>
      </c>
      <c r="J1414" s="18">
        <v>0</v>
      </c>
      <c r="K1414" s="19">
        <v>0</v>
      </c>
      <c r="L1414" s="17"/>
    </row>
    <row r="1415" ht="10.95" customHeight="true" customFormat="true" s="9">
      <c r="A1415" s="16">
        <v>45194</v>
      </c>
      <c r="B1415" s="17" t="s">
        <v>424</v>
      </c>
      <c r="C1415" s="17" t="s">
        <v>425</v>
      </c>
      <c r="D1415" s="17" t="s">
        <v>22</v>
      </c>
      <c r="E1415" s="17" t="s">
        <v>426</v>
      </c>
      <c r="F1415" s="17" t="s">
        <v>462</v>
      </c>
      <c r="G1415" s="18">
        <v>0</v>
      </c>
      <c r="H1415" s="18">
        <v>1158.1500</v>
      </c>
      <c r="I1415" s="18">
        <f ca="1">((I1414 + G1415) - H1415)</f>
        <v>0</v>
      </c>
      <c r="J1415" s="18">
        <v>0</v>
      </c>
      <c r="K1415" s="19">
        <v>0</v>
      </c>
      <c r="L1415" s="17"/>
    </row>
    <row r="1416" ht="10.95" customHeight="true" customFormat="true" s="9">
      <c r="A1416" s="16">
        <v>45194</v>
      </c>
      <c r="B1416" s="17" t="s">
        <v>424</v>
      </c>
      <c r="C1416" s="17" t="s">
        <v>425</v>
      </c>
      <c r="D1416" s="17" t="s">
        <v>22</v>
      </c>
      <c r="E1416" s="17" t="s">
        <v>433</v>
      </c>
      <c r="F1416" s="17"/>
      <c r="G1416" s="18">
        <v>0</v>
      </c>
      <c r="H1416" s="18">
        <v>882.0000</v>
      </c>
      <c r="I1416" s="18">
        <f ca="1">((I1415 + G1416) - H1416)</f>
        <v>0</v>
      </c>
      <c r="J1416" s="18">
        <v>0</v>
      </c>
      <c r="K1416" s="19">
        <v>0</v>
      </c>
      <c r="L1416" s="17"/>
    </row>
    <row r="1417" ht="10.95" customHeight="true" customFormat="true" s="9">
      <c r="A1417" s="16">
        <v>45194</v>
      </c>
      <c r="B1417" s="17" t="s">
        <v>424</v>
      </c>
      <c r="C1417" s="17" t="s">
        <v>425</v>
      </c>
      <c r="D1417" s="17" t="s">
        <v>19</v>
      </c>
      <c r="E1417" s="17" t="s">
        <v>428</v>
      </c>
      <c r="F1417" s="17"/>
      <c r="G1417" s="18">
        <v>3568.1500</v>
      </c>
      <c r="H1417" s="18">
        <v>0</v>
      </c>
      <c r="I1417" s="18">
        <f ca="1">((I1416 + G1417) - H1417)</f>
        <v>0</v>
      </c>
      <c r="J1417" s="18">
        <v>0</v>
      </c>
      <c r="K1417" s="19">
        <v>0</v>
      </c>
      <c r="L1417" s="17"/>
    </row>
    <row r="1418" ht="10.95" customHeight="true" customFormat="true" s="9">
      <c r="A1418" s="16">
        <v>45194</v>
      </c>
      <c r="B1418" s="17" t="s">
        <v>424</v>
      </c>
      <c r="C1418" s="17" t="s">
        <v>425</v>
      </c>
      <c r="D1418" s="17" t="s">
        <v>19</v>
      </c>
      <c r="E1418" s="17" t="s">
        <v>428</v>
      </c>
      <c r="F1418" s="17"/>
      <c r="G1418" s="18">
        <v>5944.5000</v>
      </c>
      <c r="H1418" s="18">
        <v>0</v>
      </c>
      <c r="I1418" s="18">
        <f ca="1">((I1417 + G1418) - H1418)</f>
        <v>0</v>
      </c>
      <c r="J1418" s="18">
        <v>0</v>
      </c>
      <c r="K1418" s="19">
        <v>0</v>
      </c>
      <c r="L1418" s="17"/>
    </row>
    <row r="1419" ht="10.95" customHeight="true" customFormat="true" s="9">
      <c r="A1419" s="16">
        <v>45194</v>
      </c>
      <c r="B1419" s="17" t="s">
        <v>424</v>
      </c>
      <c r="C1419" s="17" t="s">
        <v>425</v>
      </c>
      <c r="D1419" s="17" t="s">
        <v>19</v>
      </c>
      <c r="E1419" s="17" t="s">
        <v>428</v>
      </c>
      <c r="F1419" s="17"/>
      <c r="G1419" s="18">
        <v>6440.8000</v>
      </c>
      <c r="H1419" s="18">
        <v>0</v>
      </c>
      <c r="I1419" s="18">
        <f ca="1">((I1418 + G1419) - H1419)</f>
        <v>0</v>
      </c>
      <c r="J1419" s="18">
        <v>0</v>
      </c>
      <c r="K1419" s="19">
        <v>0</v>
      </c>
      <c r="L1419" s="17"/>
    </row>
    <row r="1420" ht="10.95" customHeight="true" customFormat="true" s="9">
      <c r="A1420" s="16">
        <v>45194</v>
      </c>
      <c r="B1420" s="17" t="s">
        <v>424</v>
      </c>
      <c r="C1420" s="17" t="s">
        <v>425</v>
      </c>
      <c r="D1420" s="17" t="s">
        <v>22</v>
      </c>
      <c r="E1420" s="17" t="s">
        <v>442</v>
      </c>
      <c r="F1420" s="17"/>
      <c r="G1420" s="18">
        <v>0</v>
      </c>
      <c r="H1420" s="18">
        <v>169.5700</v>
      </c>
      <c r="I1420" s="18">
        <f ca="1">((I1419 + G1420) - H1420)</f>
        <v>0</v>
      </c>
      <c r="J1420" s="18">
        <v>0</v>
      </c>
      <c r="K1420" s="19">
        <v>0</v>
      </c>
      <c r="L1420" s="17"/>
    </row>
    <row r="1421" ht="10.95" customHeight="true" customFormat="true" s="9">
      <c r="A1421" s="16">
        <v>45194</v>
      </c>
      <c r="B1421" s="17" t="s">
        <v>424</v>
      </c>
      <c r="C1421" s="17" t="s">
        <v>425</v>
      </c>
      <c r="D1421" s="17" t="s">
        <v>22</v>
      </c>
      <c r="E1421" s="17" t="s">
        <v>426</v>
      </c>
      <c r="F1421" s="17" t="s">
        <v>462</v>
      </c>
      <c r="G1421" s="18">
        <v>0</v>
      </c>
      <c r="H1421" s="18">
        <v>2000.0000</v>
      </c>
      <c r="I1421" s="18">
        <f ca="1">((I1420 + G1421) - H1421)</f>
        <v>0</v>
      </c>
      <c r="J1421" s="18">
        <v>0</v>
      </c>
      <c r="K1421" s="19">
        <v>0</v>
      </c>
      <c r="L1421" s="17"/>
    </row>
    <row r="1422" ht="10.95" customHeight="true" customFormat="true" s="9">
      <c r="A1422" s="16">
        <v>45194</v>
      </c>
      <c r="B1422" s="17" t="s">
        <v>424</v>
      </c>
      <c r="C1422" s="17" t="s">
        <v>425</v>
      </c>
      <c r="D1422" s="17" t="s">
        <v>22</v>
      </c>
      <c r="E1422" s="17" t="s">
        <v>426</v>
      </c>
      <c r="F1422" s="17" t="s">
        <v>463</v>
      </c>
      <c r="G1422" s="18">
        <v>0</v>
      </c>
      <c r="H1422" s="18">
        <v>138.0000</v>
      </c>
      <c r="I1422" s="18">
        <f ca="1">((I1421 + G1422) - H1422)</f>
        <v>0</v>
      </c>
      <c r="J1422" s="18">
        <v>0</v>
      </c>
      <c r="K1422" s="19">
        <v>0</v>
      </c>
      <c r="L1422" s="17"/>
    </row>
    <row r="1423" ht="10.95" customHeight="true" customFormat="true" s="9">
      <c r="A1423" s="16">
        <v>45194</v>
      </c>
      <c r="B1423" s="17" t="s">
        <v>424</v>
      </c>
      <c r="C1423" s="17" t="s">
        <v>425</v>
      </c>
      <c r="D1423" s="17" t="s">
        <v>22</v>
      </c>
      <c r="E1423" s="17" t="s">
        <v>426</v>
      </c>
      <c r="F1423" s="17" t="s">
        <v>462</v>
      </c>
      <c r="G1423" s="18">
        <v>0</v>
      </c>
      <c r="H1423" s="18">
        <v>63.0000</v>
      </c>
      <c r="I1423" s="18">
        <f ca="1">((I1422 + G1423) - H1423)</f>
        <v>0</v>
      </c>
      <c r="J1423" s="18">
        <v>0</v>
      </c>
      <c r="K1423" s="19">
        <v>0</v>
      </c>
      <c r="L1423" s="17"/>
    </row>
    <row r="1424" ht="10.95" customHeight="true" customFormat="true" s="9">
      <c r="A1424" s="16">
        <v>45194</v>
      </c>
      <c r="B1424" s="17" t="s">
        <v>424</v>
      </c>
      <c r="C1424" s="17" t="s">
        <v>425</v>
      </c>
      <c r="D1424" s="17" t="s">
        <v>22</v>
      </c>
      <c r="E1424" s="17" t="s">
        <v>426</v>
      </c>
      <c r="F1424" s="17" t="s">
        <v>462</v>
      </c>
      <c r="G1424" s="18">
        <v>0</v>
      </c>
      <c r="H1424" s="18">
        <v>674.5000</v>
      </c>
      <c r="I1424" s="18">
        <f ca="1">((I1423 + G1424) - H1424)</f>
        <v>0</v>
      </c>
      <c r="J1424" s="18">
        <v>0</v>
      </c>
      <c r="K1424" s="19">
        <v>0</v>
      </c>
      <c r="L1424" s="17"/>
    </row>
    <row r="1425" ht="10.95" customHeight="true" customFormat="true" s="9">
      <c r="A1425" s="16">
        <v>45196</v>
      </c>
      <c r="B1425" s="17" t="s">
        <v>424</v>
      </c>
      <c r="C1425" s="17" t="s">
        <v>425</v>
      </c>
      <c r="D1425" s="17" t="s">
        <v>22</v>
      </c>
      <c r="E1425" s="17" t="s">
        <v>430</v>
      </c>
      <c r="F1425" s="17"/>
      <c r="G1425" s="18">
        <v>0</v>
      </c>
      <c r="H1425" s="18">
        <v>2031.4200</v>
      </c>
      <c r="I1425" s="18">
        <f ca="1">((I1424 + G1425) - H1425)</f>
        <v>0</v>
      </c>
      <c r="J1425" s="18">
        <v>0</v>
      </c>
      <c r="K1425" s="19">
        <v>0</v>
      </c>
      <c r="L1425" s="17"/>
    </row>
    <row r="1426" ht="10.95" customHeight="true" customFormat="true" s="9">
      <c r="A1426" s="16">
        <v>45196</v>
      </c>
      <c r="B1426" s="17" t="s">
        <v>424</v>
      </c>
      <c r="C1426" s="17" t="s">
        <v>425</v>
      </c>
      <c r="D1426" s="17" t="s">
        <v>19</v>
      </c>
      <c r="E1426" s="17" t="s">
        <v>428</v>
      </c>
      <c r="F1426" s="17"/>
      <c r="G1426" s="18">
        <v>2488.3500</v>
      </c>
      <c r="H1426" s="18">
        <v>0</v>
      </c>
      <c r="I1426" s="18">
        <f ca="1">((I1425 + G1426) - H1426)</f>
        <v>0</v>
      </c>
      <c r="J1426" s="18">
        <v>0</v>
      </c>
      <c r="K1426" s="19">
        <v>0</v>
      </c>
      <c r="L1426" s="17"/>
    </row>
    <row r="1427" ht="10.95" customHeight="true" customFormat="true" s="9">
      <c r="A1427" s="16">
        <v>45197</v>
      </c>
      <c r="B1427" s="17" t="s">
        <v>424</v>
      </c>
      <c r="C1427" s="17" t="s">
        <v>425</v>
      </c>
      <c r="D1427" s="17" t="s">
        <v>19</v>
      </c>
      <c r="E1427" s="17" t="s">
        <v>428</v>
      </c>
      <c r="F1427" s="17"/>
      <c r="G1427" s="18">
        <v>2477.8000</v>
      </c>
      <c r="H1427" s="18">
        <v>0</v>
      </c>
      <c r="I1427" s="18">
        <f ca="1">((I1426 + G1427) - H1427)</f>
        <v>0</v>
      </c>
      <c r="J1427" s="18">
        <v>0</v>
      </c>
      <c r="K1427" s="19">
        <v>0</v>
      </c>
      <c r="L1427" s="17"/>
    </row>
    <row r="1428" ht="10.95" customHeight="true" customFormat="true" s="9">
      <c r="A1428" s="16">
        <v>45198</v>
      </c>
      <c r="B1428" s="17" t="s">
        <v>424</v>
      </c>
      <c r="C1428" s="17" t="s">
        <v>425</v>
      </c>
      <c r="D1428" s="17" t="s">
        <v>19</v>
      </c>
      <c r="E1428" s="17" t="s">
        <v>428</v>
      </c>
      <c r="F1428" s="17"/>
      <c r="G1428" s="18">
        <v>2848.3500</v>
      </c>
      <c r="H1428" s="18">
        <v>0</v>
      </c>
      <c r="I1428" s="18">
        <f ca="1">((I1427 + G1428) - H1428)</f>
        <v>0</v>
      </c>
      <c r="J1428" s="18">
        <v>0</v>
      </c>
      <c r="K1428" s="19">
        <v>0</v>
      </c>
      <c r="L1428" s="17"/>
    </row>
    <row r="1429" ht="10.95" customHeight="true" customFormat="true" s="9">
      <c r="A1429" s="16">
        <v>45198</v>
      </c>
      <c r="B1429" s="17" t="s">
        <v>424</v>
      </c>
      <c r="C1429" s="17" t="s">
        <v>425</v>
      </c>
      <c r="D1429" s="17" t="s">
        <v>22</v>
      </c>
      <c r="E1429" s="17" t="s">
        <v>447</v>
      </c>
      <c r="F1429" s="17"/>
      <c r="G1429" s="18">
        <v>0</v>
      </c>
      <c r="H1429" s="18">
        <v>10.0000</v>
      </c>
      <c r="I1429" s="18">
        <f ca="1">((I1428 + G1429) - H1429)</f>
        <v>0</v>
      </c>
      <c r="J1429" s="18">
        <v>0</v>
      </c>
      <c r="K1429" s="19">
        <v>0</v>
      </c>
      <c r="L1429" s="17"/>
    </row>
    <row r="1430" ht="10.95" customHeight="true" customFormat="true" s="9">
      <c r="A1430" s="16">
        <v>45198</v>
      </c>
      <c r="B1430" s="17" t="s">
        <v>424</v>
      </c>
      <c r="C1430" s="17" t="s">
        <v>425</v>
      </c>
      <c r="D1430" s="17" t="s">
        <v>22</v>
      </c>
      <c r="E1430" s="17" t="s">
        <v>444</v>
      </c>
      <c r="F1430" s="17"/>
      <c r="G1430" s="18">
        <v>0</v>
      </c>
      <c r="H1430" s="18">
        <v>12500.0000</v>
      </c>
      <c r="I1430" s="18">
        <f ca="1">((I1429 + G1430) - H1430)</f>
        <v>0</v>
      </c>
      <c r="J1430" s="18">
        <v>0</v>
      </c>
      <c r="K1430" s="19">
        <v>0</v>
      </c>
      <c r="L1430" s="17"/>
    </row>
    <row r="1431" ht="10.95" customHeight="true" customFormat="true" s="9">
      <c r="A1431" s="16">
        <v>45198</v>
      </c>
      <c r="B1431" s="17" t="s">
        <v>424</v>
      </c>
      <c r="C1431" s="17" t="s">
        <v>425</v>
      </c>
      <c r="D1431" s="17" t="s">
        <v>22</v>
      </c>
      <c r="E1431" s="17" t="s">
        <v>445</v>
      </c>
      <c r="F1431" s="17"/>
      <c r="G1431" s="18">
        <v>0</v>
      </c>
      <c r="H1431" s="18">
        <v>2411.4400</v>
      </c>
      <c r="I1431" s="18">
        <f ca="1">((I1430 + G1431) - H1431)</f>
        <v>0</v>
      </c>
      <c r="J1431" s="18">
        <v>0</v>
      </c>
      <c r="K1431" s="19">
        <v>0</v>
      </c>
      <c r="L1431" s="17"/>
    </row>
    <row r="1432" ht="10.95" customHeight="true" customFormat="true" s="9">
      <c r="A1432" s="16">
        <v>45201</v>
      </c>
      <c r="B1432" s="17" t="s">
        <v>424</v>
      </c>
      <c r="C1432" s="17" t="s">
        <v>425</v>
      </c>
      <c r="D1432" s="17" t="s">
        <v>22</v>
      </c>
      <c r="E1432" s="17" t="s">
        <v>426</v>
      </c>
      <c r="F1432" s="17" t="s">
        <v>464</v>
      </c>
      <c r="G1432" s="18">
        <v>0</v>
      </c>
      <c r="H1432" s="18">
        <v>1158.1500</v>
      </c>
      <c r="I1432" s="18">
        <f ca="1">((I1431 + G1432) - H1432)</f>
        <v>0</v>
      </c>
      <c r="J1432" s="18">
        <v>0</v>
      </c>
      <c r="K1432" s="19">
        <v>0</v>
      </c>
      <c r="L1432" s="17"/>
    </row>
    <row r="1433" ht="10.95" customHeight="true" customFormat="true" s="9">
      <c r="A1433" s="16">
        <v>45201</v>
      </c>
      <c r="B1433" s="17" t="s">
        <v>424</v>
      </c>
      <c r="C1433" s="17" t="s">
        <v>425</v>
      </c>
      <c r="D1433" s="17" t="s">
        <v>22</v>
      </c>
      <c r="E1433" s="17" t="s">
        <v>426</v>
      </c>
      <c r="F1433" s="17" t="s">
        <v>464</v>
      </c>
      <c r="G1433" s="18">
        <v>0</v>
      </c>
      <c r="H1433" s="18">
        <v>674.5000</v>
      </c>
      <c r="I1433" s="18">
        <f ca="1">((I1432 + G1433) - H1433)</f>
        <v>0</v>
      </c>
      <c r="J1433" s="18">
        <v>0</v>
      </c>
      <c r="K1433" s="19">
        <v>0</v>
      </c>
      <c r="L1433" s="17"/>
    </row>
    <row r="1434" ht="10.95" customHeight="true" customFormat="true" s="9">
      <c r="A1434" s="16">
        <v>45201</v>
      </c>
      <c r="B1434" s="17" t="s">
        <v>424</v>
      </c>
      <c r="C1434" s="17" t="s">
        <v>425</v>
      </c>
      <c r="D1434" s="17" t="s">
        <v>22</v>
      </c>
      <c r="E1434" s="17" t="s">
        <v>426</v>
      </c>
      <c r="F1434" s="17" t="s">
        <v>464</v>
      </c>
      <c r="G1434" s="18">
        <v>0</v>
      </c>
      <c r="H1434" s="18">
        <v>664.7000</v>
      </c>
      <c r="I1434" s="18">
        <f ca="1">((I1433 + G1434) - H1434)</f>
        <v>0</v>
      </c>
      <c r="J1434" s="18">
        <v>0</v>
      </c>
      <c r="K1434" s="19">
        <v>0</v>
      </c>
      <c r="L1434" s="17"/>
    </row>
    <row r="1435" ht="10.95" customHeight="true" customFormat="true" s="9">
      <c r="A1435" s="16">
        <v>45201</v>
      </c>
      <c r="B1435" s="17" t="s">
        <v>424</v>
      </c>
      <c r="C1435" s="17" t="s">
        <v>425</v>
      </c>
      <c r="D1435" s="17" t="s">
        <v>22</v>
      </c>
      <c r="E1435" s="17" t="s">
        <v>430</v>
      </c>
      <c r="F1435" s="17"/>
      <c r="G1435" s="18">
        <v>0</v>
      </c>
      <c r="H1435" s="18">
        <v>2391.3600</v>
      </c>
      <c r="I1435" s="18">
        <f ca="1">((I1434 + G1435) - H1435)</f>
        <v>0</v>
      </c>
      <c r="J1435" s="18">
        <v>0</v>
      </c>
      <c r="K1435" s="19">
        <v>0</v>
      </c>
      <c r="L1435" s="17"/>
    </row>
    <row r="1436" ht="10.95" customHeight="true" customFormat="true" s="9">
      <c r="A1436" s="16">
        <v>45201</v>
      </c>
      <c r="B1436" s="17" t="s">
        <v>424</v>
      </c>
      <c r="C1436" s="17" t="s">
        <v>425</v>
      </c>
      <c r="D1436" s="17" t="s">
        <v>22</v>
      </c>
      <c r="E1436" s="17" t="s">
        <v>426</v>
      </c>
      <c r="F1436" s="17" t="s">
        <v>464</v>
      </c>
      <c r="G1436" s="18">
        <v>0</v>
      </c>
      <c r="H1436" s="18">
        <v>63.0000</v>
      </c>
      <c r="I1436" s="18">
        <f ca="1">((I1435 + G1436) - H1436)</f>
        <v>0</v>
      </c>
      <c r="J1436" s="18">
        <v>0</v>
      </c>
      <c r="K1436" s="19">
        <v>0</v>
      </c>
      <c r="L1436" s="17"/>
    </row>
    <row r="1437" ht="10.95" customHeight="true" customFormat="true" s="9">
      <c r="A1437" s="16">
        <v>45201</v>
      </c>
      <c r="B1437" s="17" t="s">
        <v>424</v>
      </c>
      <c r="C1437" s="17" t="s">
        <v>425</v>
      </c>
      <c r="D1437" s="17" t="s">
        <v>19</v>
      </c>
      <c r="E1437" s="17" t="s">
        <v>428</v>
      </c>
      <c r="F1437" s="17"/>
      <c r="G1437" s="18">
        <v>4477.2500</v>
      </c>
      <c r="H1437" s="18">
        <v>0</v>
      </c>
      <c r="I1437" s="18">
        <f ca="1">((I1436 + G1437) - H1437)</f>
        <v>0</v>
      </c>
      <c r="J1437" s="18">
        <v>0</v>
      </c>
      <c r="K1437" s="19">
        <v>0</v>
      </c>
      <c r="L1437" s="17"/>
    </row>
    <row r="1438" ht="10.95" customHeight="true" customFormat="true" s="9">
      <c r="A1438" s="16">
        <v>45201</v>
      </c>
      <c r="B1438" s="17" t="s">
        <v>424</v>
      </c>
      <c r="C1438" s="17" t="s">
        <v>425</v>
      </c>
      <c r="D1438" s="17" t="s">
        <v>19</v>
      </c>
      <c r="E1438" s="17" t="s">
        <v>428</v>
      </c>
      <c r="F1438" s="17"/>
      <c r="G1438" s="18">
        <v>3368.7500</v>
      </c>
      <c r="H1438" s="18">
        <v>0</v>
      </c>
      <c r="I1438" s="18">
        <f ca="1">((I1437 + G1438) - H1438)</f>
        <v>0</v>
      </c>
      <c r="J1438" s="18">
        <v>0</v>
      </c>
      <c r="K1438" s="19">
        <v>0</v>
      </c>
      <c r="L1438" s="17"/>
    </row>
    <row r="1439" ht="10.95" customHeight="true" customFormat="true" s="9">
      <c r="A1439" s="16">
        <v>45201</v>
      </c>
      <c r="B1439" s="17" t="s">
        <v>424</v>
      </c>
      <c r="C1439" s="17" t="s">
        <v>425</v>
      </c>
      <c r="D1439" s="17" t="s">
        <v>19</v>
      </c>
      <c r="E1439" s="17" t="s">
        <v>428</v>
      </c>
      <c r="F1439" s="17"/>
      <c r="G1439" s="18">
        <v>5504.9500</v>
      </c>
      <c r="H1439" s="18">
        <v>0</v>
      </c>
      <c r="I1439" s="18">
        <f ca="1">((I1438 + G1439) - H1439)</f>
        <v>0</v>
      </c>
      <c r="J1439" s="18">
        <v>0</v>
      </c>
      <c r="K1439" s="19">
        <v>0</v>
      </c>
      <c r="L1439" s="17"/>
    </row>
    <row r="1440" ht="10.95" customHeight="true" customFormat="true" s="9">
      <c r="A1440" s="16">
        <v>45201</v>
      </c>
      <c r="B1440" s="17" t="s">
        <v>424</v>
      </c>
      <c r="C1440" s="17" t="s">
        <v>425</v>
      </c>
      <c r="D1440" s="17" t="s">
        <v>22</v>
      </c>
      <c r="E1440" s="17" t="s">
        <v>34</v>
      </c>
      <c r="F1440" s="17"/>
      <c r="G1440" s="18">
        <v>0</v>
      </c>
      <c r="H1440" s="18">
        <v>1400.0000</v>
      </c>
      <c r="I1440" s="18">
        <f ca="1">((I1439 + G1440) - H1440)</f>
        <v>0</v>
      </c>
      <c r="J1440" s="18">
        <v>0</v>
      </c>
      <c r="K1440" s="19">
        <v>0</v>
      </c>
      <c r="L1440" s="17"/>
    </row>
    <row r="1441" ht="10.95" customHeight="true" customFormat="true" s="9">
      <c r="A1441" s="16">
        <v>45201</v>
      </c>
      <c r="B1441" s="17" t="s">
        <v>424</v>
      </c>
      <c r="C1441" s="17" t="s">
        <v>425</v>
      </c>
      <c r="D1441" s="17" t="s">
        <v>22</v>
      </c>
      <c r="E1441" s="17" t="s">
        <v>429</v>
      </c>
      <c r="F1441" s="17"/>
      <c r="G1441" s="18">
        <v>0</v>
      </c>
      <c r="H1441" s="18">
        <v>3946.2500</v>
      </c>
      <c r="I1441" s="18">
        <f ca="1">((I1440 + G1441) - H1441)</f>
        <v>0</v>
      </c>
      <c r="J1441" s="18">
        <v>0</v>
      </c>
      <c r="K1441" s="19">
        <v>0</v>
      </c>
      <c r="L1441" s="17"/>
    </row>
    <row r="1442" ht="10.95" customHeight="true" customFormat="true" s="9">
      <c r="A1442" s="16">
        <v>45201</v>
      </c>
      <c r="B1442" s="17" t="s">
        <v>424</v>
      </c>
      <c r="C1442" s="17" t="s">
        <v>425</v>
      </c>
      <c r="D1442" s="17" t="s">
        <v>22</v>
      </c>
      <c r="E1442" s="17" t="s">
        <v>426</v>
      </c>
      <c r="F1442" s="17" t="s">
        <v>464</v>
      </c>
      <c r="G1442" s="18">
        <v>0</v>
      </c>
      <c r="H1442" s="18">
        <v>2000.0000</v>
      </c>
      <c r="I1442" s="18">
        <f ca="1">((I1441 + G1442) - H1442)</f>
        <v>0</v>
      </c>
      <c r="J1442" s="18">
        <v>0</v>
      </c>
      <c r="K1442" s="19">
        <v>0</v>
      </c>
      <c r="L1442" s="17"/>
    </row>
    <row r="1443" ht="10.95" customHeight="true" customFormat="true" s="9">
      <c r="A1443" s="16">
        <v>45201</v>
      </c>
      <c r="B1443" s="17" t="s">
        <v>424</v>
      </c>
      <c r="C1443" s="17" t="s">
        <v>425</v>
      </c>
      <c r="D1443" s="17" t="s">
        <v>22</v>
      </c>
      <c r="E1443" s="17" t="s">
        <v>426</v>
      </c>
      <c r="F1443" s="17" t="s">
        <v>464</v>
      </c>
      <c r="G1443" s="18">
        <v>0</v>
      </c>
      <c r="H1443" s="18">
        <v>69.0000</v>
      </c>
      <c r="I1443" s="18">
        <f ca="1">((I1442 + G1443) - H1443)</f>
        <v>0</v>
      </c>
      <c r="J1443" s="18">
        <v>0</v>
      </c>
      <c r="K1443" s="19">
        <v>0</v>
      </c>
      <c r="L1443" s="17"/>
    </row>
    <row r="1444" ht="10.95" customHeight="true" customFormat="true" s="9">
      <c r="A1444" s="16">
        <v>45201</v>
      </c>
      <c r="B1444" s="17" t="s">
        <v>424</v>
      </c>
      <c r="C1444" s="17" t="s">
        <v>425</v>
      </c>
      <c r="D1444" s="17" t="s">
        <v>22</v>
      </c>
      <c r="E1444" s="17" t="s">
        <v>465</v>
      </c>
      <c r="F1444" s="17"/>
      <c r="G1444" s="18">
        <v>0</v>
      </c>
      <c r="H1444" s="18">
        <v>310.0000</v>
      </c>
      <c r="I1444" s="18">
        <f ca="1">((I1443 + G1444) - H1444)</f>
        <v>0</v>
      </c>
      <c r="J1444" s="18">
        <v>0</v>
      </c>
      <c r="K1444" s="19">
        <v>0</v>
      </c>
      <c r="L1444" s="17"/>
    </row>
    <row r="1445" ht="10.95" customHeight="true" customFormat="true" s="9">
      <c r="A1445" s="16">
        <v>45201</v>
      </c>
      <c r="B1445" s="17" t="s">
        <v>424</v>
      </c>
      <c r="C1445" s="17" t="s">
        <v>425</v>
      </c>
      <c r="D1445" s="17" t="s">
        <v>22</v>
      </c>
      <c r="E1445" s="17" t="s">
        <v>438</v>
      </c>
      <c r="F1445" s="17"/>
      <c r="G1445" s="18">
        <v>0</v>
      </c>
      <c r="H1445" s="18">
        <v>22.8000</v>
      </c>
      <c r="I1445" s="18">
        <f ca="1">((I1444 + G1445) - H1445)</f>
        <v>0</v>
      </c>
      <c r="J1445" s="18">
        <v>0</v>
      </c>
      <c r="K1445" s="19">
        <v>0</v>
      </c>
      <c r="L1445" s="17"/>
    </row>
    <row r="1446" ht="10.95" customHeight="true" customFormat="true" s="9">
      <c r="A1446" s="16">
        <v>45202</v>
      </c>
      <c r="B1446" s="17" t="s">
        <v>424</v>
      </c>
      <c r="C1446" s="17" t="s">
        <v>425</v>
      </c>
      <c r="D1446" s="17" t="s">
        <v>22</v>
      </c>
      <c r="E1446" s="17" t="s">
        <v>430</v>
      </c>
      <c r="F1446" s="17"/>
      <c r="G1446" s="18">
        <v>0</v>
      </c>
      <c r="H1446" s="18">
        <v>1605.3600</v>
      </c>
      <c r="I1446" s="18">
        <f ca="1">((I1445 + G1446) - H1446)</f>
        <v>0</v>
      </c>
      <c r="J1446" s="18">
        <v>0</v>
      </c>
      <c r="K1446" s="19">
        <v>0</v>
      </c>
      <c r="L1446" s="17"/>
    </row>
    <row r="1447" ht="10.95" customHeight="true" customFormat="true" s="9">
      <c r="A1447" s="16">
        <v>45203</v>
      </c>
      <c r="B1447" s="17" t="s">
        <v>424</v>
      </c>
      <c r="C1447" s="17" t="s">
        <v>425</v>
      </c>
      <c r="D1447" s="17" t="s">
        <v>19</v>
      </c>
      <c r="E1447" s="17" t="s">
        <v>24</v>
      </c>
      <c r="F1447" s="17"/>
      <c r="G1447" s="18">
        <v>220.1000</v>
      </c>
      <c r="H1447" s="18">
        <v>0</v>
      </c>
      <c r="I1447" s="18">
        <f ca="1">((I1446 + G1447) - H1447)</f>
        <v>0</v>
      </c>
      <c r="J1447" s="18">
        <v>0</v>
      </c>
      <c r="K1447" s="19">
        <v>0</v>
      </c>
      <c r="L1447" s="17"/>
    </row>
    <row r="1448" ht="10.95" customHeight="true" customFormat="true" s="9">
      <c r="A1448" s="16">
        <v>45203</v>
      </c>
      <c r="B1448" s="17" t="s">
        <v>424</v>
      </c>
      <c r="C1448" s="17" t="s">
        <v>425</v>
      </c>
      <c r="D1448" s="17" t="s">
        <v>19</v>
      </c>
      <c r="E1448" s="17" t="s">
        <v>428</v>
      </c>
      <c r="F1448" s="17"/>
      <c r="G1448" s="18">
        <v>2401.6500</v>
      </c>
      <c r="H1448" s="18">
        <v>0</v>
      </c>
      <c r="I1448" s="18">
        <f ca="1">((I1447 + G1448) - H1448)</f>
        <v>0</v>
      </c>
      <c r="J1448" s="18">
        <v>0</v>
      </c>
      <c r="K1448" s="19">
        <v>0</v>
      </c>
      <c r="L1448" s="17"/>
    </row>
    <row r="1449" ht="10.95" customHeight="true" customFormat="true" s="9">
      <c r="A1449" s="16">
        <v>45204</v>
      </c>
      <c r="B1449" s="17" t="s">
        <v>424</v>
      </c>
      <c r="C1449" s="17" t="s">
        <v>425</v>
      </c>
      <c r="D1449" s="17" t="s">
        <v>22</v>
      </c>
      <c r="E1449" s="17" t="s">
        <v>466</v>
      </c>
      <c r="F1449" s="17"/>
      <c r="G1449" s="18">
        <v>0</v>
      </c>
      <c r="H1449" s="18">
        <v>9026.4900</v>
      </c>
      <c r="I1449" s="18">
        <f ca="1">((I1448 + G1449) - H1449)</f>
        <v>0</v>
      </c>
      <c r="J1449" s="18">
        <v>0</v>
      </c>
      <c r="K1449" s="19">
        <v>0</v>
      </c>
      <c r="L1449" s="17"/>
    </row>
    <row r="1450" ht="10.95" customHeight="true" customFormat="true" s="9">
      <c r="A1450" s="16">
        <v>45204</v>
      </c>
      <c r="B1450" s="17" t="s">
        <v>424</v>
      </c>
      <c r="C1450" s="17" t="s">
        <v>425</v>
      </c>
      <c r="D1450" s="17" t="s">
        <v>19</v>
      </c>
      <c r="E1450" s="17" t="s">
        <v>428</v>
      </c>
      <c r="F1450" s="17"/>
      <c r="G1450" s="18">
        <v>2454.9500</v>
      </c>
      <c r="H1450" s="18">
        <v>0</v>
      </c>
      <c r="I1450" s="18">
        <f ca="1">((I1449 + G1450) - H1450)</f>
        <v>0</v>
      </c>
      <c r="J1450" s="18">
        <v>0</v>
      </c>
      <c r="K1450" s="19">
        <v>0</v>
      </c>
      <c r="L1450" s="17"/>
    </row>
    <row r="1451" ht="10.95" customHeight="true" customFormat="true" s="9">
      <c r="A1451" s="16">
        <v>45205</v>
      </c>
      <c r="B1451" s="17" t="s">
        <v>424</v>
      </c>
      <c r="C1451" s="17" t="s">
        <v>425</v>
      </c>
      <c r="D1451" s="17" t="s">
        <v>22</v>
      </c>
      <c r="E1451" s="17" t="s">
        <v>430</v>
      </c>
      <c r="F1451" s="17"/>
      <c r="G1451" s="18">
        <v>0</v>
      </c>
      <c r="H1451" s="18">
        <v>2145.1300</v>
      </c>
      <c r="I1451" s="18">
        <f ca="1">((I1450 + G1451) - H1451)</f>
        <v>0</v>
      </c>
      <c r="J1451" s="18">
        <v>0</v>
      </c>
      <c r="K1451" s="19">
        <v>0</v>
      </c>
      <c r="L1451" s="17"/>
    </row>
    <row r="1452" ht="10.95" customHeight="true" customFormat="true" s="9">
      <c r="A1452" s="16">
        <v>45205</v>
      </c>
      <c r="B1452" s="17" t="s">
        <v>424</v>
      </c>
      <c r="C1452" s="17" t="s">
        <v>425</v>
      </c>
      <c r="D1452" s="17" t="s">
        <v>19</v>
      </c>
      <c r="E1452" s="17" t="s">
        <v>428</v>
      </c>
      <c r="F1452" s="17"/>
      <c r="G1452" s="18">
        <v>2553.9000</v>
      </c>
      <c r="H1452" s="18">
        <v>0</v>
      </c>
      <c r="I1452" s="18">
        <f ca="1">((I1451 + G1452) - H1452)</f>
        <v>0</v>
      </c>
      <c r="J1452" s="18">
        <v>0</v>
      </c>
      <c r="K1452" s="19">
        <v>0</v>
      </c>
      <c r="L1452" s="17"/>
    </row>
    <row r="1453" ht="10.95" customHeight="true" customFormat="true" s="9">
      <c r="A1453" s="16">
        <v>45205</v>
      </c>
      <c r="B1453" s="17" t="s">
        <v>424</v>
      </c>
      <c r="C1453" s="17" t="s">
        <v>425</v>
      </c>
      <c r="D1453" s="17" t="s">
        <v>22</v>
      </c>
      <c r="E1453" s="17" t="s">
        <v>434</v>
      </c>
      <c r="F1453" s="17"/>
      <c r="G1453" s="18">
        <v>0</v>
      </c>
      <c r="H1453" s="18">
        <v>398.0000</v>
      </c>
      <c r="I1453" s="18">
        <f ca="1">((I1452 + G1453) - H1453)</f>
        <v>0</v>
      </c>
      <c r="J1453" s="18">
        <v>0</v>
      </c>
      <c r="K1453" s="19">
        <v>0</v>
      </c>
      <c r="L1453" s="17"/>
    </row>
    <row r="1454" ht="10.95" customHeight="true" customFormat="true" s="9">
      <c r="A1454" s="16">
        <v>45208</v>
      </c>
      <c r="B1454" s="17" t="s">
        <v>424</v>
      </c>
      <c r="C1454" s="17" t="s">
        <v>425</v>
      </c>
      <c r="D1454" s="17" t="s">
        <v>22</v>
      </c>
      <c r="E1454" s="17" t="s">
        <v>426</v>
      </c>
      <c r="F1454" s="17" t="s">
        <v>467</v>
      </c>
      <c r="G1454" s="18">
        <v>0</v>
      </c>
      <c r="H1454" s="18">
        <v>2000.0000</v>
      </c>
      <c r="I1454" s="18">
        <f ca="1">((I1453 + G1454) - H1454)</f>
        <v>0</v>
      </c>
      <c r="J1454" s="18">
        <v>0</v>
      </c>
      <c r="K1454" s="19">
        <v>0</v>
      </c>
      <c r="L1454" s="17"/>
    </row>
    <row r="1455" ht="10.95" customHeight="true" customFormat="true" s="9">
      <c r="A1455" s="16">
        <v>45208</v>
      </c>
      <c r="B1455" s="17" t="s">
        <v>424</v>
      </c>
      <c r="C1455" s="17" t="s">
        <v>425</v>
      </c>
      <c r="D1455" s="17" t="s">
        <v>19</v>
      </c>
      <c r="E1455" s="17" t="s">
        <v>428</v>
      </c>
      <c r="F1455" s="17"/>
      <c r="G1455" s="18">
        <v>5559.7000</v>
      </c>
      <c r="H1455" s="18">
        <v>0</v>
      </c>
      <c r="I1455" s="18">
        <f ca="1">((I1454 + G1455) - H1455)</f>
        <v>0</v>
      </c>
      <c r="J1455" s="18">
        <v>0</v>
      </c>
      <c r="K1455" s="19">
        <v>0</v>
      </c>
      <c r="L1455" s="17"/>
    </row>
    <row r="1456" ht="10.95" customHeight="true" customFormat="true" s="9">
      <c r="A1456" s="16">
        <v>45208</v>
      </c>
      <c r="B1456" s="17" t="s">
        <v>424</v>
      </c>
      <c r="C1456" s="17" t="s">
        <v>425</v>
      </c>
      <c r="D1456" s="17" t="s">
        <v>19</v>
      </c>
      <c r="E1456" s="17" t="s">
        <v>428</v>
      </c>
      <c r="F1456" s="17"/>
      <c r="G1456" s="18">
        <v>3164.1500</v>
      </c>
      <c r="H1456" s="18">
        <v>0</v>
      </c>
      <c r="I1456" s="18">
        <f ca="1">((I1455 + G1456) - H1456)</f>
        <v>0</v>
      </c>
      <c r="J1456" s="18">
        <v>0</v>
      </c>
      <c r="K1456" s="19">
        <v>0</v>
      </c>
      <c r="L1456" s="17"/>
    </row>
    <row r="1457" ht="10.95" customHeight="true" customFormat="true" s="9">
      <c r="A1457" s="16">
        <v>45208</v>
      </c>
      <c r="B1457" s="17" t="s">
        <v>424</v>
      </c>
      <c r="C1457" s="17" t="s">
        <v>425</v>
      </c>
      <c r="D1457" s="17" t="s">
        <v>22</v>
      </c>
      <c r="E1457" s="17" t="s">
        <v>34</v>
      </c>
      <c r="F1457" s="17"/>
      <c r="G1457" s="18">
        <v>0</v>
      </c>
      <c r="H1457" s="18">
        <v>2050.0000</v>
      </c>
      <c r="I1457" s="18">
        <f ca="1">((I1456 + G1457) - H1457)</f>
        <v>0</v>
      </c>
      <c r="J1457" s="18">
        <v>0</v>
      </c>
      <c r="K1457" s="19">
        <v>0</v>
      </c>
      <c r="L1457" s="17"/>
    </row>
    <row r="1458" ht="10.95" customHeight="true" customFormat="true" s="9">
      <c r="A1458" s="16">
        <v>45208</v>
      </c>
      <c r="B1458" s="17" t="s">
        <v>424</v>
      </c>
      <c r="C1458" s="17" t="s">
        <v>425</v>
      </c>
      <c r="D1458" s="17" t="s">
        <v>22</v>
      </c>
      <c r="E1458" s="17" t="s">
        <v>426</v>
      </c>
      <c r="F1458" s="17" t="s">
        <v>467</v>
      </c>
      <c r="G1458" s="18">
        <v>0</v>
      </c>
      <c r="H1458" s="18">
        <v>674.5000</v>
      </c>
      <c r="I1458" s="18">
        <f ca="1">((I1457 + G1458) - H1458)</f>
        <v>0</v>
      </c>
      <c r="J1458" s="18">
        <v>0</v>
      </c>
      <c r="K1458" s="19">
        <v>0</v>
      </c>
      <c r="L1458" s="17"/>
    </row>
    <row r="1459" ht="10.95" customHeight="true" customFormat="true" s="9">
      <c r="A1459" s="16">
        <v>45208</v>
      </c>
      <c r="B1459" s="17" t="s">
        <v>424</v>
      </c>
      <c r="C1459" s="17" t="s">
        <v>425</v>
      </c>
      <c r="D1459" s="17" t="s">
        <v>22</v>
      </c>
      <c r="E1459" s="17" t="s">
        <v>426</v>
      </c>
      <c r="F1459" s="17" t="s">
        <v>467</v>
      </c>
      <c r="G1459" s="18">
        <v>0</v>
      </c>
      <c r="H1459" s="18">
        <v>636.6500</v>
      </c>
      <c r="I1459" s="18">
        <f ca="1">((I1458 + G1459) - H1459)</f>
        <v>0</v>
      </c>
      <c r="J1459" s="18">
        <v>0</v>
      </c>
      <c r="K1459" s="19">
        <v>0</v>
      </c>
      <c r="L1459" s="17"/>
    </row>
    <row r="1460" ht="10.95" customHeight="true" customFormat="true" s="9">
      <c r="A1460" s="16">
        <v>45208</v>
      </c>
      <c r="B1460" s="17" t="s">
        <v>424</v>
      </c>
      <c r="C1460" s="17" t="s">
        <v>425</v>
      </c>
      <c r="D1460" s="17" t="s">
        <v>22</v>
      </c>
      <c r="E1460" s="17" t="s">
        <v>426</v>
      </c>
      <c r="F1460" s="17" t="s">
        <v>467</v>
      </c>
      <c r="G1460" s="18">
        <v>0</v>
      </c>
      <c r="H1460" s="18">
        <v>1342.9000</v>
      </c>
      <c r="I1460" s="18">
        <f ca="1">((I1459 + G1460) - H1460)</f>
        <v>0</v>
      </c>
      <c r="J1460" s="18">
        <v>0</v>
      </c>
      <c r="K1460" s="19">
        <v>0</v>
      </c>
      <c r="L1460" s="17"/>
    </row>
    <row r="1461" ht="10.95" customHeight="true" customFormat="true" s="9">
      <c r="A1461" s="16">
        <v>45208</v>
      </c>
      <c r="B1461" s="17" t="s">
        <v>424</v>
      </c>
      <c r="C1461" s="17" t="s">
        <v>425</v>
      </c>
      <c r="D1461" s="17" t="s">
        <v>22</v>
      </c>
      <c r="E1461" s="17" t="s">
        <v>426</v>
      </c>
      <c r="F1461" s="17" t="s">
        <v>467</v>
      </c>
      <c r="G1461" s="18">
        <v>0</v>
      </c>
      <c r="H1461" s="18">
        <v>138.0000</v>
      </c>
      <c r="I1461" s="18">
        <f ca="1">((I1460 + G1461) - H1461)</f>
        <v>0</v>
      </c>
      <c r="J1461" s="18">
        <v>0</v>
      </c>
      <c r="K1461" s="19">
        <v>0</v>
      </c>
      <c r="L1461" s="17"/>
    </row>
    <row r="1462" ht="10.95" customHeight="true" customFormat="true" s="9">
      <c r="A1462" s="16">
        <v>45208</v>
      </c>
      <c r="B1462" s="17" t="s">
        <v>424</v>
      </c>
      <c r="C1462" s="17" t="s">
        <v>425</v>
      </c>
      <c r="D1462" s="17" t="s">
        <v>19</v>
      </c>
      <c r="E1462" s="17" t="s">
        <v>428</v>
      </c>
      <c r="F1462" s="17"/>
      <c r="G1462" s="18">
        <v>5864.4400</v>
      </c>
      <c r="H1462" s="18">
        <v>0</v>
      </c>
      <c r="I1462" s="18">
        <f ca="1">((I1461 + G1462) - H1462)</f>
        <v>0</v>
      </c>
      <c r="J1462" s="18">
        <v>0</v>
      </c>
      <c r="K1462" s="19">
        <v>0</v>
      </c>
      <c r="L1462" s="17"/>
    </row>
    <row r="1463" ht="10.95" customHeight="true" customFormat="true" s="9">
      <c r="A1463" s="16">
        <v>45208</v>
      </c>
      <c r="B1463" s="17" t="s">
        <v>424</v>
      </c>
      <c r="C1463" s="17" t="s">
        <v>425</v>
      </c>
      <c r="D1463" s="17" t="s">
        <v>22</v>
      </c>
      <c r="E1463" s="17" t="s">
        <v>426</v>
      </c>
      <c r="F1463" s="17" t="s">
        <v>467</v>
      </c>
      <c r="G1463" s="18">
        <v>0</v>
      </c>
      <c r="H1463" s="18">
        <v>63.0000</v>
      </c>
      <c r="I1463" s="18">
        <f ca="1">((I1462 + G1463) - H1463)</f>
        <v>0</v>
      </c>
      <c r="J1463" s="18">
        <v>0</v>
      </c>
      <c r="K1463" s="19">
        <v>0</v>
      </c>
      <c r="L1463" s="17"/>
    </row>
    <row r="1464" ht="10.95" customHeight="true" customFormat="true" s="9">
      <c r="A1464" s="16">
        <v>45208</v>
      </c>
      <c r="B1464" s="17" t="s">
        <v>424</v>
      </c>
      <c r="C1464" s="17" t="s">
        <v>425</v>
      </c>
      <c r="D1464" s="17" t="s">
        <v>22</v>
      </c>
      <c r="E1464" s="17" t="s">
        <v>431</v>
      </c>
      <c r="F1464" s="17"/>
      <c r="G1464" s="18">
        <v>0</v>
      </c>
      <c r="H1464" s="18">
        <v>65.0000</v>
      </c>
      <c r="I1464" s="18">
        <f ca="1">((I1463 + G1464) - H1464)</f>
        <v>0</v>
      </c>
      <c r="J1464" s="18">
        <v>0</v>
      </c>
      <c r="K1464" s="19">
        <v>0</v>
      </c>
      <c r="L1464" s="17"/>
    </row>
    <row r="1465" ht="10.95" customHeight="true" customFormat="true" s="9">
      <c r="A1465" s="16">
        <v>45208</v>
      </c>
      <c r="B1465" s="17" t="s">
        <v>424</v>
      </c>
      <c r="C1465" s="17" t="s">
        <v>425</v>
      </c>
      <c r="D1465" s="17" t="s">
        <v>22</v>
      </c>
      <c r="E1465" s="17" t="s">
        <v>468</v>
      </c>
      <c r="F1465" s="17"/>
      <c r="G1465" s="18">
        <v>0</v>
      </c>
      <c r="H1465" s="18">
        <v>28.5000</v>
      </c>
      <c r="I1465" s="18">
        <f ca="1">((I1464 + G1465) - H1465)</f>
        <v>0</v>
      </c>
      <c r="J1465" s="18">
        <v>0</v>
      </c>
      <c r="K1465" s="19">
        <v>0</v>
      </c>
      <c r="L1465" s="17"/>
    </row>
    <row r="1466" ht="10.95" customHeight="true" customFormat="true" s="9">
      <c r="A1466" s="16">
        <v>45208</v>
      </c>
      <c r="B1466" s="17" t="s">
        <v>424</v>
      </c>
      <c r="C1466" s="17" t="s">
        <v>425</v>
      </c>
      <c r="D1466" s="17" t="s">
        <v>22</v>
      </c>
      <c r="E1466" s="17" t="s">
        <v>469</v>
      </c>
      <c r="F1466" s="17"/>
      <c r="G1466" s="18">
        <v>0</v>
      </c>
      <c r="H1466" s="18">
        <v>225.5500</v>
      </c>
      <c r="I1466" s="18">
        <f ca="1">((I1465 + G1466) - H1466)</f>
        <v>0</v>
      </c>
      <c r="J1466" s="18">
        <v>0</v>
      </c>
      <c r="K1466" s="19">
        <v>0</v>
      </c>
      <c r="L1466" s="17"/>
    </row>
    <row r="1467" ht="10.95" customHeight="true" customFormat="true" s="9">
      <c r="A1467" s="16">
        <v>45208</v>
      </c>
      <c r="B1467" s="17" t="s">
        <v>424</v>
      </c>
      <c r="C1467" s="17" t="s">
        <v>425</v>
      </c>
      <c r="D1467" s="17" t="s">
        <v>22</v>
      </c>
      <c r="E1467" s="17" t="s">
        <v>470</v>
      </c>
      <c r="F1467" s="17"/>
      <c r="G1467" s="18">
        <v>0</v>
      </c>
      <c r="H1467" s="18">
        <v>2976.0000</v>
      </c>
      <c r="I1467" s="18">
        <f ca="1">((I1466 + G1467) - H1467)</f>
        <v>0</v>
      </c>
      <c r="J1467" s="18">
        <v>0</v>
      </c>
      <c r="K1467" s="19">
        <v>0</v>
      </c>
      <c r="L1467" s="17"/>
    </row>
    <row r="1468" ht="10.95" customHeight="true" customFormat="true" s="9">
      <c r="A1468" s="16">
        <v>45209</v>
      </c>
      <c r="B1468" s="17" t="s">
        <v>424</v>
      </c>
      <c r="C1468" s="17" t="s">
        <v>425</v>
      </c>
      <c r="D1468" s="17" t="s">
        <v>22</v>
      </c>
      <c r="E1468" s="17" t="s">
        <v>433</v>
      </c>
      <c r="F1468" s="17"/>
      <c r="G1468" s="18">
        <v>0</v>
      </c>
      <c r="H1468" s="18">
        <v>653.8700</v>
      </c>
      <c r="I1468" s="18">
        <f ca="1">((I1467 + G1468) - H1468)</f>
        <v>0</v>
      </c>
      <c r="J1468" s="18">
        <v>0</v>
      </c>
      <c r="K1468" s="19">
        <v>0</v>
      </c>
      <c r="L1468" s="17"/>
    </row>
    <row r="1469" ht="10.95" customHeight="true" customFormat="true" s="9">
      <c r="A1469" s="16">
        <v>45209</v>
      </c>
      <c r="B1469" s="17" t="s">
        <v>424</v>
      </c>
      <c r="C1469" s="17" t="s">
        <v>425</v>
      </c>
      <c r="D1469" s="17" t="s">
        <v>22</v>
      </c>
      <c r="E1469" s="17" t="s">
        <v>430</v>
      </c>
      <c r="F1469" s="17"/>
      <c r="G1469" s="18">
        <v>0</v>
      </c>
      <c r="H1469" s="18">
        <v>1787.0900</v>
      </c>
      <c r="I1469" s="18">
        <f ca="1">((I1468 + G1469) - H1469)</f>
        <v>0</v>
      </c>
      <c r="J1469" s="18">
        <v>0</v>
      </c>
      <c r="K1469" s="19">
        <v>0</v>
      </c>
      <c r="L1469" s="17"/>
    </row>
    <row r="1470" ht="10.95" customHeight="true" customFormat="true" s="9">
      <c r="A1470" s="16">
        <v>45209</v>
      </c>
      <c r="B1470" s="17" t="s">
        <v>424</v>
      </c>
      <c r="C1470" s="17" t="s">
        <v>425</v>
      </c>
      <c r="D1470" s="17" t="s">
        <v>22</v>
      </c>
      <c r="E1470" s="17" t="s">
        <v>449</v>
      </c>
      <c r="F1470" s="17"/>
      <c r="G1470" s="18">
        <v>0</v>
      </c>
      <c r="H1470" s="18">
        <v>2012.9100</v>
      </c>
      <c r="I1470" s="18">
        <f ca="1">((I1469 + G1470) - H1470)</f>
        <v>0</v>
      </c>
      <c r="J1470" s="18">
        <v>0</v>
      </c>
      <c r="K1470" s="19">
        <v>0</v>
      </c>
      <c r="L1470" s="17"/>
    </row>
    <row r="1471" ht="10.95" customHeight="true" customFormat="true" s="9">
      <c r="A1471" s="16">
        <v>45210</v>
      </c>
      <c r="B1471" s="17" t="s">
        <v>424</v>
      </c>
      <c r="C1471" s="17" t="s">
        <v>425</v>
      </c>
      <c r="D1471" s="17" t="s">
        <v>19</v>
      </c>
      <c r="E1471" s="17" t="s">
        <v>428</v>
      </c>
      <c r="F1471" s="17"/>
      <c r="G1471" s="18">
        <v>2434.1500</v>
      </c>
      <c r="H1471" s="18">
        <v>0</v>
      </c>
      <c r="I1471" s="18">
        <f ca="1">((I1470 + G1471) - H1471)</f>
        <v>0</v>
      </c>
      <c r="J1471" s="18">
        <v>0</v>
      </c>
      <c r="K1471" s="19">
        <v>0</v>
      </c>
      <c r="L1471" s="17"/>
    </row>
    <row r="1472" ht="10.95" customHeight="true" customFormat="true" s="9">
      <c r="A1472" s="16">
        <v>45210</v>
      </c>
      <c r="B1472" s="17" t="s">
        <v>424</v>
      </c>
      <c r="C1472" s="17" t="s">
        <v>425</v>
      </c>
      <c r="D1472" s="17" t="s">
        <v>19</v>
      </c>
      <c r="E1472" s="17" t="s">
        <v>24</v>
      </c>
      <c r="F1472" s="17"/>
      <c r="G1472" s="18">
        <v>200.0000</v>
      </c>
      <c r="H1472" s="18">
        <v>0</v>
      </c>
      <c r="I1472" s="18">
        <f ca="1">((I1471 + G1472) - H1472)</f>
        <v>0</v>
      </c>
      <c r="J1472" s="18">
        <v>0</v>
      </c>
      <c r="K1472" s="19">
        <v>0</v>
      </c>
      <c r="L1472" s="17"/>
    </row>
    <row r="1473" ht="10.95" customHeight="true" customFormat="true" s="9">
      <c r="A1473" s="16">
        <v>45211</v>
      </c>
      <c r="B1473" s="17" t="s">
        <v>424</v>
      </c>
      <c r="C1473" s="17" t="s">
        <v>425</v>
      </c>
      <c r="D1473" s="17" t="s">
        <v>19</v>
      </c>
      <c r="E1473" s="17" t="s">
        <v>428</v>
      </c>
      <c r="F1473" s="17"/>
      <c r="G1473" s="18">
        <v>2130.0000</v>
      </c>
      <c r="H1473" s="18">
        <v>0</v>
      </c>
      <c r="I1473" s="18">
        <f ca="1">((I1472 + G1473) - H1473)</f>
        <v>0</v>
      </c>
      <c r="J1473" s="18">
        <v>0</v>
      </c>
      <c r="K1473" s="19">
        <v>0</v>
      </c>
      <c r="L1473" s="17"/>
    </row>
    <row r="1474" ht="10.95" customHeight="true" customFormat="true" s="9">
      <c r="A1474" s="16">
        <v>45212</v>
      </c>
      <c r="B1474" s="17" t="s">
        <v>424</v>
      </c>
      <c r="C1474" s="17" t="s">
        <v>425</v>
      </c>
      <c r="D1474" s="17" t="s">
        <v>22</v>
      </c>
      <c r="E1474" s="17" t="s">
        <v>298</v>
      </c>
      <c r="F1474" s="17"/>
      <c r="G1474" s="18">
        <v>0</v>
      </c>
      <c r="H1474" s="18">
        <v>5983.9500</v>
      </c>
      <c r="I1474" s="18">
        <f ca="1">((I1473 + G1474) - H1474)</f>
        <v>0</v>
      </c>
      <c r="J1474" s="18">
        <v>0</v>
      </c>
      <c r="K1474" s="19">
        <v>0</v>
      </c>
      <c r="L1474" s="17"/>
    </row>
    <row r="1475" ht="10.95" customHeight="true" customFormat="true" s="9">
      <c r="A1475" s="16">
        <v>45212</v>
      </c>
      <c r="B1475" s="17" t="s">
        <v>424</v>
      </c>
      <c r="C1475" s="17" t="s">
        <v>425</v>
      </c>
      <c r="D1475" s="17" t="s">
        <v>19</v>
      </c>
      <c r="E1475" s="17" t="s">
        <v>428</v>
      </c>
      <c r="F1475" s="17"/>
      <c r="G1475" s="18">
        <v>2559.6400</v>
      </c>
      <c r="H1475" s="18">
        <v>0</v>
      </c>
      <c r="I1475" s="18">
        <f ca="1">((I1474 + G1475) - H1475)</f>
        <v>0</v>
      </c>
      <c r="J1475" s="18">
        <v>0</v>
      </c>
      <c r="K1475" s="19">
        <v>0</v>
      </c>
      <c r="L1475" s="17"/>
    </row>
    <row r="1476" ht="10.95" customHeight="true" customFormat="true" s="9">
      <c r="A1476" s="16">
        <v>45212</v>
      </c>
      <c r="B1476" s="17" t="s">
        <v>424</v>
      </c>
      <c r="C1476" s="17" t="s">
        <v>425</v>
      </c>
      <c r="D1476" s="17" t="s">
        <v>22</v>
      </c>
      <c r="E1476" s="17" t="s">
        <v>435</v>
      </c>
      <c r="F1476" s="17"/>
      <c r="G1476" s="18">
        <v>0</v>
      </c>
      <c r="H1476" s="18">
        <v>672.5900</v>
      </c>
      <c r="I1476" s="18">
        <f ca="1">((I1475 + G1476) - H1476)</f>
        <v>0</v>
      </c>
      <c r="J1476" s="18">
        <v>0</v>
      </c>
      <c r="K1476" s="19">
        <v>0</v>
      </c>
      <c r="L1476" s="17"/>
    </row>
    <row r="1477" ht="10.95" customHeight="true" customFormat="true" s="9">
      <c r="A1477" s="16">
        <v>45215</v>
      </c>
      <c r="B1477" s="17" t="s">
        <v>424</v>
      </c>
      <c r="C1477" s="17" t="s">
        <v>425</v>
      </c>
      <c r="D1477" s="17" t="s">
        <v>22</v>
      </c>
      <c r="E1477" s="17" t="s">
        <v>34</v>
      </c>
      <c r="F1477" s="17"/>
      <c r="G1477" s="18">
        <v>0</v>
      </c>
      <c r="H1477" s="18">
        <v>2000.0000</v>
      </c>
      <c r="I1477" s="18">
        <f ca="1">((I1476 + G1477) - H1477)</f>
        <v>0</v>
      </c>
      <c r="J1477" s="18">
        <v>0</v>
      </c>
      <c r="K1477" s="19">
        <v>0</v>
      </c>
      <c r="L1477" s="17"/>
    </row>
    <row r="1478" ht="10.95" customHeight="true" customFormat="true" s="9">
      <c r="A1478" s="16">
        <v>45215</v>
      </c>
      <c r="B1478" s="17" t="s">
        <v>424</v>
      </c>
      <c r="C1478" s="17" t="s">
        <v>425</v>
      </c>
      <c r="D1478" s="17" t="s">
        <v>22</v>
      </c>
      <c r="E1478" s="17" t="s">
        <v>426</v>
      </c>
      <c r="F1478" s="17" t="s">
        <v>471</v>
      </c>
      <c r="G1478" s="18">
        <v>0</v>
      </c>
      <c r="H1478" s="18">
        <v>678.7300</v>
      </c>
      <c r="I1478" s="18">
        <f ca="1">((I1477 + G1478) - H1478)</f>
        <v>0</v>
      </c>
      <c r="J1478" s="18">
        <v>0</v>
      </c>
      <c r="K1478" s="19">
        <v>0</v>
      </c>
      <c r="L1478" s="17"/>
    </row>
    <row r="1479" ht="10.95" customHeight="true" customFormat="true" s="9">
      <c r="A1479" s="16">
        <v>45215</v>
      </c>
      <c r="B1479" s="17" t="s">
        <v>424</v>
      </c>
      <c r="C1479" s="17" t="s">
        <v>425</v>
      </c>
      <c r="D1479" s="17" t="s">
        <v>22</v>
      </c>
      <c r="E1479" s="17" t="s">
        <v>426</v>
      </c>
      <c r="F1479" s="17" t="s">
        <v>471</v>
      </c>
      <c r="G1479" s="18">
        <v>0</v>
      </c>
      <c r="H1479" s="18">
        <v>2000.0000</v>
      </c>
      <c r="I1479" s="18">
        <f ca="1">((I1478 + G1479) - H1479)</f>
        <v>0</v>
      </c>
      <c r="J1479" s="18">
        <v>0</v>
      </c>
      <c r="K1479" s="19">
        <v>0</v>
      </c>
      <c r="L1479" s="17"/>
    </row>
    <row r="1480" ht="10.95" customHeight="true" customFormat="true" s="9">
      <c r="A1480" s="16">
        <v>45215</v>
      </c>
      <c r="B1480" s="17" t="s">
        <v>424</v>
      </c>
      <c r="C1480" s="17" t="s">
        <v>425</v>
      </c>
      <c r="D1480" s="17" t="s">
        <v>22</v>
      </c>
      <c r="E1480" s="17" t="s">
        <v>426</v>
      </c>
      <c r="F1480" s="17" t="s">
        <v>471</v>
      </c>
      <c r="G1480" s="18">
        <v>0</v>
      </c>
      <c r="H1480" s="18">
        <v>487.0000</v>
      </c>
      <c r="I1480" s="18">
        <f ca="1">((I1479 + G1480) - H1480)</f>
        <v>0</v>
      </c>
      <c r="J1480" s="18">
        <v>0</v>
      </c>
      <c r="K1480" s="19">
        <v>0</v>
      </c>
      <c r="L1480" s="17"/>
    </row>
    <row r="1481" ht="10.95" customHeight="true" customFormat="true" s="9">
      <c r="A1481" s="16">
        <v>45215</v>
      </c>
      <c r="B1481" s="17" t="s">
        <v>424</v>
      </c>
      <c r="C1481" s="17" t="s">
        <v>425</v>
      </c>
      <c r="D1481" s="17" t="s">
        <v>19</v>
      </c>
      <c r="E1481" s="17" t="s">
        <v>428</v>
      </c>
      <c r="F1481" s="17"/>
      <c r="G1481" s="18">
        <v>5414.6000</v>
      </c>
      <c r="H1481" s="18">
        <v>0</v>
      </c>
      <c r="I1481" s="18">
        <f ca="1">((I1480 + G1481) - H1481)</f>
        <v>0</v>
      </c>
      <c r="J1481" s="18">
        <v>0</v>
      </c>
      <c r="K1481" s="19">
        <v>0</v>
      </c>
      <c r="L1481" s="17"/>
    </row>
    <row r="1482" ht="10.95" customHeight="true" customFormat="true" s="9">
      <c r="A1482" s="16">
        <v>45215</v>
      </c>
      <c r="B1482" s="17" t="s">
        <v>424</v>
      </c>
      <c r="C1482" s="17" t="s">
        <v>425</v>
      </c>
      <c r="D1482" s="17" t="s">
        <v>22</v>
      </c>
      <c r="E1482" s="17" t="s">
        <v>426</v>
      </c>
      <c r="F1482" s="17" t="s">
        <v>471</v>
      </c>
      <c r="G1482" s="18">
        <v>0</v>
      </c>
      <c r="H1482" s="18">
        <v>63.0000</v>
      </c>
      <c r="I1482" s="18">
        <f ca="1">((I1481 + G1482) - H1482)</f>
        <v>0</v>
      </c>
      <c r="J1482" s="18">
        <v>0</v>
      </c>
      <c r="K1482" s="19">
        <v>0</v>
      </c>
      <c r="L1482" s="17"/>
    </row>
    <row r="1483" ht="10.95" customHeight="true" customFormat="true" s="9">
      <c r="A1483" s="16">
        <v>45215</v>
      </c>
      <c r="B1483" s="17" t="s">
        <v>424</v>
      </c>
      <c r="C1483" s="17" t="s">
        <v>425</v>
      </c>
      <c r="D1483" s="17" t="s">
        <v>19</v>
      </c>
      <c r="E1483" s="17" t="s">
        <v>428</v>
      </c>
      <c r="F1483" s="17"/>
      <c r="G1483" s="18">
        <v>5791.1000</v>
      </c>
      <c r="H1483" s="18">
        <v>0</v>
      </c>
      <c r="I1483" s="18">
        <f ca="1">((I1482 + G1483) - H1483)</f>
        <v>0</v>
      </c>
      <c r="J1483" s="18">
        <v>0</v>
      </c>
      <c r="K1483" s="19">
        <v>0</v>
      </c>
      <c r="L1483" s="17"/>
    </row>
    <row r="1484" ht="10.95" customHeight="true" customFormat="true" s="9">
      <c r="A1484" s="16">
        <v>45215</v>
      </c>
      <c r="B1484" s="17" t="s">
        <v>424</v>
      </c>
      <c r="C1484" s="17" t="s">
        <v>425</v>
      </c>
      <c r="D1484" s="17" t="s">
        <v>19</v>
      </c>
      <c r="E1484" s="17" t="s">
        <v>428</v>
      </c>
      <c r="F1484" s="17"/>
      <c r="G1484" s="18">
        <v>2888.5500</v>
      </c>
      <c r="H1484" s="18">
        <v>0</v>
      </c>
      <c r="I1484" s="18">
        <f ca="1">((I1483 + G1484) - H1484)</f>
        <v>0</v>
      </c>
      <c r="J1484" s="18">
        <v>0</v>
      </c>
      <c r="K1484" s="19">
        <v>0</v>
      </c>
      <c r="L1484" s="17"/>
    </row>
    <row r="1485" ht="10.95" customHeight="true" customFormat="true" s="9">
      <c r="A1485" s="16">
        <v>45215</v>
      </c>
      <c r="B1485" s="17" t="s">
        <v>424</v>
      </c>
      <c r="C1485" s="17" t="s">
        <v>425</v>
      </c>
      <c r="D1485" s="17" t="s">
        <v>22</v>
      </c>
      <c r="E1485" s="17" t="s">
        <v>426</v>
      </c>
      <c r="F1485" s="17" t="s">
        <v>471</v>
      </c>
      <c r="G1485" s="18">
        <v>0</v>
      </c>
      <c r="H1485" s="18">
        <v>1342.9000</v>
      </c>
      <c r="I1485" s="18">
        <f ca="1">((I1484 + G1485) - H1485)</f>
        <v>0</v>
      </c>
      <c r="J1485" s="18">
        <v>0</v>
      </c>
      <c r="K1485" s="19">
        <v>0</v>
      </c>
      <c r="L1485" s="17"/>
    </row>
    <row r="1486" ht="10.95" customHeight="true" customFormat="true" s="9">
      <c r="A1486" s="16">
        <v>45215</v>
      </c>
      <c r="B1486" s="17" t="s">
        <v>424</v>
      </c>
      <c r="C1486" s="17" t="s">
        <v>425</v>
      </c>
      <c r="D1486" s="17" t="s">
        <v>22</v>
      </c>
      <c r="E1486" s="17" t="s">
        <v>426</v>
      </c>
      <c r="F1486" s="17" t="s">
        <v>471</v>
      </c>
      <c r="G1486" s="18">
        <v>0</v>
      </c>
      <c r="H1486" s="18">
        <v>674.5000</v>
      </c>
      <c r="I1486" s="18">
        <f ca="1">((I1485 + G1486) - H1486)</f>
        <v>0</v>
      </c>
      <c r="J1486" s="18">
        <v>0</v>
      </c>
      <c r="K1486" s="19">
        <v>0</v>
      </c>
      <c r="L1486" s="17"/>
    </row>
    <row r="1487" ht="10.95" customHeight="true" customFormat="true" s="9">
      <c r="A1487" s="16">
        <v>45215</v>
      </c>
      <c r="B1487" s="17" t="s">
        <v>424</v>
      </c>
      <c r="C1487" s="17" t="s">
        <v>425</v>
      </c>
      <c r="D1487" s="17" t="s">
        <v>22</v>
      </c>
      <c r="E1487" s="17" t="s">
        <v>426</v>
      </c>
      <c r="F1487" s="17" t="s">
        <v>471</v>
      </c>
      <c r="G1487" s="18">
        <v>0</v>
      </c>
      <c r="H1487" s="18">
        <v>69.0000</v>
      </c>
      <c r="I1487" s="18">
        <f ca="1">((I1486 + G1487) - H1487)</f>
        <v>0</v>
      </c>
      <c r="J1487" s="18">
        <v>0</v>
      </c>
      <c r="K1487" s="19">
        <v>0</v>
      </c>
      <c r="L1487" s="17"/>
    </row>
    <row r="1488" ht="10.95" customHeight="true" customFormat="true" s="9">
      <c r="A1488" s="16">
        <v>45216</v>
      </c>
      <c r="B1488" s="17" t="s">
        <v>424</v>
      </c>
      <c r="C1488" s="17" t="s">
        <v>425</v>
      </c>
      <c r="D1488" s="17" t="s">
        <v>22</v>
      </c>
      <c r="E1488" s="17" t="s">
        <v>430</v>
      </c>
      <c r="F1488" s="17"/>
      <c r="G1488" s="18">
        <v>0</v>
      </c>
      <c r="H1488" s="18">
        <v>1791.9000</v>
      </c>
      <c r="I1488" s="18">
        <f ca="1">((I1487 + G1488) - H1488)</f>
        <v>0</v>
      </c>
      <c r="J1488" s="18">
        <v>0</v>
      </c>
      <c r="K1488" s="19">
        <v>0</v>
      </c>
      <c r="L1488" s="17"/>
    </row>
    <row r="1489" ht="10.95" customHeight="true" customFormat="true" s="9">
      <c r="A1489" s="16">
        <v>45217</v>
      </c>
      <c r="B1489" s="17" t="s">
        <v>424</v>
      </c>
      <c r="C1489" s="17" t="s">
        <v>425</v>
      </c>
      <c r="D1489" s="17" t="s">
        <v>19</v>
      </c>
      <c r="E1489" s="17" t="s">
        <v>24</v>
      </c>
      <c r="F1489" s="17"/>
      <c r="G1489" s="18">
        <v>150.0000</v>
      </c>
      <c r="H1489" s="18">
        <v>0</v>
      </c>
      <c r="I1489" s="18">
        <f ca="1">((I1488 + G1489) - H1489)</f>
        <v>0</v>
      </c>
      <c r="J1489" s="18">
        <v>0</v>
      </c>
      <c r="K1489" s="19">
        <v>0</v>
      </c>
      <c r="L1489" s="17"/>
    </row>
    <row r="1490" ht="10.95" customHeight="true" customFormat="true" s="9">
      <c r="A1490" s="16">
        <v>45217</v>
      </c>
      <c r="B1490" s="17" t="s">
        <v>424</v>
      </c>
      <c r="C1490" s="17" t="s">
        <v>425</v>
      </c>
      <c r="D1490" s="17" t="s">
        <v>22</v>
      </c>
      <c r="E1490" s="17" t="s">
        <v>436</v>
      </c>
      <c r="F1490" s="17"/>
      <c r="G1490" s="18">
        <v>0</v>
      </c>
      <c r="H1490" s="18">
        <v>108.0000</v>
      </c>
      <c r="I1490" s="18">
        <f ca="1">((I1489 + G1490) - H1490)</f>
        <v>0</v>
      </c>
      <c r="J1490" s="18">
        <v>0</v>
      </c>
      <c r="K1490" s="19">
        <v>0</v>
      </c>
      <c r="L1490" s="17"/>
    </row>
    <row r="1491" ht="10.95" customHeight="true" customFormat="true" s="9">
      <c r="A1491" s="16">
        <v>45217</v>
      </c>
      <c r="B1491" s="17" t="s">
        <v>424</v>
      </c>
      <c r="C1491" s="17" t="s">
        <v>425</v>
      </c>
      <c r="D1491" s="17" t="s">
        <v>22</v>
      </c>
      <c r="E1491" s="17" t="s">
        <v>472</v>
      </c>
      <c r="F1491" s="17"/>
      <c r="G1491" s="18">
        <v>0</v>
      </c>
      <c r="H1491" s="18">
        <v>52.3100</v>
      </c>
      <c r="I1491" s="18">
        <f ca="1">((I1490 + G1491) - H1491)</f>
        <v>0</v>
      </c>
      <c r="J1491" s="18">
        <v>0</v>
      </c>
      <c r="K1491" s="19">
        <v>0</v>
      </c>
      <c r="L1491" s="17"/>
    </row>
    <row r="1492" ht="10.95" customHeight="true" customFormat="true" s="9">
      <c r="A1492" s="16">
        <v>45217</v>
      </c>
      <c r="B1492" s="17" t="s">
        <v>424</v>
      </c>
      <c r="C1492" s="17" t="s">
        <v>425</v>
      </c>
      <c r="D1492" s="17" t="s">
        <v>19</v>
      </c>
      <c r="E1492" s="17" t="s">
        <v>428</v>
      </c>
      <c r="F1492" s="17"/>
      <c r="G1492" s="18">
        <v>2670.5000</v>
      </c>
      <c r="H1492" s="18">
        <v>0</v>
      </c>
      <c r="I1492" s="18">
        <f ca="1">((I1491 + G1492) - H1492)</f>
        <v>0</v>
      </c>
      <c r="J1492" s="18">
        <v>0</v>
      </c>
      <c r="K1492" s="19">
        <v>0</v>
      </c>
      <c r="L1492" s="17"/>
    </row>
    <row r="1493" ht="10.95" customHeight="true" customFormat="true" s="9">
      <c r="A1493" s="16">
        <v>45218</v>
      </c>
      <c r="B1493" s="17" t="s">
        <v>424</v>
      </c>
      <c r="C1493" s="17" t="s">
        <v>425</v>
      </c>
      <c r="D1493" s="17" t="s">
        <v>19</v>
      </c>
      <c r="E1493" s="17" t="s">
        <v>428</v>
      </c>
      <c r="F1493" s="17"/>
      <c r="G1493" s="18">
        <v>2481.7500</v>
      </c>
      <c r="H1493" s="18">
        <v>0</v>
      </c>
      <c r="I1493" s="18">
        <f ca="1">((I1492 + G1493) - H1493)</f>
        <v>0</v>
      </c>
      <c r="J1493" s="18">
        <v>0</v>
      </c>
      <c r="K1493" s="19">
        <v>0</v>
      </c>
      <c r="L1493" s="17"/>
    </row>
    <row r="1494" ht="10.95" customHeight="true" customFormat="true" s="9">
      <c r="A1494" s="16">
        <v>45218</v>
      </c>
      <c r="B1494" s="17" t="s">
        <v>424</v>
      </c>
      <c r="C1494" s="17" t="s">
        <v>425</v>
      </c>
      <c r="D1494" s="17" t="s">
        <v>22</v>
      </c>
      <c r="E1494" s="17" t="s">
        <v>430</v>
      </c>
      <c r="F1494" s="17"/>
      <c r="G1494" s="18">
        <v>0</v>
      </c>
      <c r="H1494" s="18">
        <v>1718.0400</v>
      </c>
      <c r="I1494" s="18">
        <f ca="1">((I1493 + G1494) - H1494)</f>
        <v>0</v>
      </c>
      <c r="J1494" s="18">
        <v>0</v>
      </c>
      <c r="K1494" s="19">
        <v>0</v>
      </c>
      <c r="L1494" s="17"/>
    </row>
    <row r="1495" ht="10.95" customHeight="true" customFormat="true" s="9">
      <c r="A1495" s="16">
        <v>45219</v>
      </c>
      <c r="B1495" s="17" t="s">
        <v>424</v>
      </c>
      <c r="C1495" s="17" t="s">
        <v>425</v>
      </c>
      <c r="D1495" s="17" t="s">
        <v>22</v>
      </c>
      <c r="E1495" s="17" t="s">
        <v>459</v>
      </c>
      <c r="F1495" s="17"/>
      <c r="G1495" s="18">
        <v>0</v>
      </c>
      <c r="H1495" s="18">
        <v>284.9000</v>
      </c>
      <c r="I1495" s="18">
        <f ca="1">((I1494 + G1495) - H1495)</f>
        <v>0</v>
      </c>
      <c r="J1495" s="18">
        <v>0</v>
      </c>
      <c r="K1495" s="19">
        <v>0</v>
      </c>
      <c r="L1495" s="17"/>
    </row>
    <row r="1496" ht="10.95" customHeight="true" customFormat="true" s="9">
      <c r="A1496" s="16">
        <v>45219</v>
      </c>
      <c r="B1496" s="17" t="s">
        <v>424</v>
      </c>
      <c r="C1496" s="17" t="s">
        <v>425</v>
      </c>
      <c r="D1496" s="17" t="s">
        <v>19</v>
      </c>
      <c r="E1496" s="17" t="s">
        <v>428</v>
      </c>
      <c r="F1496" s="17"/>
      <c r="G1496" s="18">
        <v>2687.8500</v>
      </c>
      <c r="H1496" s="18">
        <v>0</v>
      </c>
      <c r="I1496" s="18">
        <f ca="1">((I1495 + G1496) - H1496)</f>
        <v>0</v>
      </c>
      <c r="J1496" s="18">
        <v>0</v>
      </c>
      <c r="K1496" s="19">
        <v>0</v>
      </c>
      <c r="L1496" s="17"/>
    </row>
    <row r="1497" ht="10.95" customHeight="true" customFormat="true" s="9">
      <c r="A1497" s="16">
        <v>45219</v>
      </c>
      <c r="B1497" s="17" t="s">
        <v>424</v>
      </c>
      <c r="C1497" s="17" t="s">
        <v>425</v>
      </c>
      <c r="D1497" s="17" t="s">
        <v>22</v>
      </c>
      <c r="E1497" s="17" t="s">
        <v>430</v>
      </c>
      <c r="F1497" s="17"/>
      <c r="G1497" s="18">
        <v>0</v>
      </c>
      <c r="H1497" s="18">
        <v>1893.0200</v>
      </c>
      <c r="I1497" s="18">
        <f ca="1">((I1496 + G1497) - H1497)</f>
        <v>0</v>
      </c>
      <c r="J1497" s="18">
        <v>0</v>
      </c>
      <c r="K1497" s="19">
        <v>0</v>
      </c>
      <c r="L1497" s="17"/>
    </row>
    <row r="1498" ht="10.95" customHeight="true" customFormat="true" s="9">
      <c r="A1498" s="16">
        <v>45222</v>
      </c>
      <c r="B1498" s="17" t="s">
        <v>424</v>
      </c>
      <c r="C1498" s="17" t="s">
        <v>425</v>
      </c>
      <c r="D1498" s="17" t="s">
        <v>22</v>
      </c>
      <c r="E1498" s="17" t="s">
        <v>426</v>
      </c>
      <c r="F1498" s="17" t="s">
        <v>473</v>
      </c>
      <c r="G1498" s="18">
        <v>0</v>
      </c>
      <c r="H1498" s="18">
        <v>674.5000</v>
      </c>
      <c r="I1498" s="18">
        <f ca="1">((I1497 + G1498) - H1498)</f>
        <v>0</v>
      </c>
      <c r="J1498" s="18">
        <v>0</v>
      </c>
      <c r="K1498" s="19">
        <v>0</v>
      </c>
      <c r="L1498" s="17"/>
    </row>
    <row r="1499" ht="10.95" customHeight="true" customFormat="true" s="9">
      <c r="A1499" s="16">
        <v>45222</v>
      </c>
      <c r="B1499" s="17" t="s">
        <v>424</v>
      </c>
      <c r="C1499" s="17" t="s">
        <v>425</v>
      </c>
      <c r="D1499" s="17" t="s">
        <v>22</v>
      </c>
      <c r="E1499" s="17" t="s">
        <v>426</v>
      </c>
      <c r="F1499" s="17" t="s">
        <v>473</v>
      </c>
      <c r="G1499" s="18">
        <v>0</v>
      </c>
      <c r="H1499" s="18">
        <v>138.0000</v>
      </c>
      <c r="I1499" s="18">
        <f ca="1">((I1498 + G1499) - H1499)</f>
        <v>0</v>
      </c>
      <c r="J1499" s="18">
        <v>0</v>
      </c>
      <c r="K1499" s="19">
        <v>0</v>
      </c>
      <c r="L1499" s="17"/>
    </row>
    <row r="1500" ht="10.95" customHeight="true" customFormat="true" s="9">
      <c r="A1500" s="16">
        <v>45222</v>
      </c>
      <c r="B1500" s="17" t="s">
        <v>424</v>
      </c>
      <c r="C1500" s="17" t="s">
        <v>425</v>
      </c>
      <c r="D1500" s="17" t="s">
        <v>22</v>
      </c>
      <c r="E1500" s="17" t="s">
        <v>426</v>
      </c>
      <c r="F1500" s="17" t="s">
        <v>473</v>
      </c>
      <c r="G1500" s="18">
        <v>0</v>
      </c>
      <c r="H1500" s="18">
        <v>63.0000</v>
      </c>
      <c r="I1500" s="18">
        <f ca="1">((I1499 + G1500) - H1500)</f>
        <v>0</v>
      </c>
      <c r="J1500" s="18">
        <v>0</v>
      </c>
      <c r="K1500" s="19">
        <v>0</v>
      </c>
      <c r="L1500" s="17"/>
    </row>
    <row r="1501" ht="10.95" customHeight="true" customFormat="true" s="9">
      <c r="A1501" s="16">
        <v>45222</v>
      </c>
      <c r="B1501" s="17" t="s">
        <v>424</v>
      </c>
      <c r="C1501" s="17" t="s">
        <v>425</v>
      </c>
      <c r="D1501" s="17" t="s">
        <v>19</v>
      </c>
      <c r="E1501" s="17" t="s">
        <v>428</v>
      </c>
      <c r="F1501" s="17"/>
      <c r="G1501" s="18">
        <v>5757.7000</v>
      </c>
      <c r="H1501" s="18">
        <v>0</v>
      </c>
      <c r="I1501" s="18">
        <f ca="1">((I1500 + G1501) - H1501)</f>
        <v>0</v>
      </c>
      <c r="J1501" s="18">
        <v>0</v>
      </c>
      <c r="K1501" s="19">
        <v>0</v>
      </c>
      <c r="L1501" s="17"/>
    </row>
    <row r="1502" ht="10.95" customHeight="true" customFormat="true" s="9">
      <c r="A1502" s="16">
        <v>45222</v>
      </c>
      <c r="B1502" s="17" t="s">
        <v>424</v>
      </c>
      <c r="C1502" s="17" t="s">
        <v>425</v>
      </c>
      <c r="D1502" s="17" t="s">
        <v>19</v>
      </c>
      <c r="E1502" s="17" t="s">
        <v>428</v>
      </c>
      <c r="F1502" s="17"/>
      <c r="G1502" s="18">
        <v>3136.9500</v>
      </c>
      <c r="H1502" s="18">
        <v>0</v>
      </c>
      <c r="I1502" s="18">
        <f ca="1">((I1501 + G1502) - H1502)</f>
        <v>0</v>
      </c>
      <c r="J1502" s="18">
        <v>0</v>
      </c>
      <c r="K1502" s="19">
        <v>0</v>
      </c>
      <c r="L1502" s="17"/>
    </row>
    <row r="1503" ht="10.95" customHeight="true" customFormat="true" s="9">
      <c r="A1503" s="16">
        <v>45222</v>
      </c>
      <c r="B1503" s="17" t="s">
        <v>424</v>
      </c>
      <c r="C1503" s="17" t="s">
        <v>425</v>
      </c>
      <c r="D1503" s="17" t="s">
        <v>19</v>
      </c>
      <c r="E1503" s="17" t="s">
        <v>428</v>
      </c>
      <c r="F1503" s="17"/>
      <c r="G1503" s="18">
        <v>4908.0000</v>
      </c>
      <c r="H1503" s="18">
        <v>0</v>
      </c>
      <c r="I1503" s="18">
        <f ca="1">((I1502 + G1503) - H1503)</f>
        <v>0</v>
      </c>
      <c r="J1503" s="18">
        <v>0</v>
      </c>
      <c r="K1503" s="19">
        <v>0</v>
      </c>
      <c r="L1503" s="17"/>
    </row>
    <row r="1504" ht="10.95" customHeight="true" customFormat="true" s="9">
      <c r="A1504" s="16">
        <v>45222</v>
      </c>
      <c r="B1504" s="17" t="s">
        <v>424</v>
      </c>
      <c r="C1504" s="17" t="s">
        <v>425</v>
      </c>
      <c r="D1504" s="17" t="s">
        <v>22</v>
      </c>
      <c r="E1504" s="17" t="s">
        <v>426</v>
      </c>
      <c r="F1504" s="17" t="s">
        <v>473</v>
      </c>
      <c r="G1504" s="18">
        <v>0</v>
      </c>
      <c r="H1504" s="18">
        <v>1342.9000</v>
      </c>
      <c r="I1504" s="18">
        <f ca="1">((I1503 + G1504) - H1504)</f>
        <v>0</v>
      </c>
      <c r="J1504" s="18">
        <v>0</v>
      </c>
      <c r="K1504" s="19">
        <v>0</v>
      </c>
      <c r="L1504" s="17"/>
    </row>
    <row r="1505" ht="10.95" customHeight="true" customFormat="true" s="9">
      <c r="A1505" s="16">
        <v>45222</v>
      </c>
      <c r="B1505" s="17" t="s">
        <v>424</v>
      </c>
      <c r="C1505" s="17" t="s">
        <v>425</v>
      </c>
      <c r="D1505" s="17" t="s">
        <v>22</v>
      </c>
      <c r="E1505" s="17" t="s">
        <v>34</v>
      </c>
      <c r="F1505" s="17"/>
      <c r="G1505" s="18">
        <v>0</v>
      </c>
      <c r="H1505" s="18">
        <v>1754.3800</v>
      </c>
      <c r="I1505" s="18">
        <f ca="1">((I1504 + G1505) - H1505)</f>
        <v>0</v>
      </c>
      <c r="J1505" s="18">
        <v>0</v>
      </c>
      <c r="K1505" s="19">
        <v>0</v>
      </c>
      <c r="L1505" s="17"/>
    </row>
    <row r="1506" ht="10.95" customHeight="true" customFormat="true" s="9">
      <c r="A1506" s="16">
        <v>45222</v>
      </c>
      <c r="B1506" s="17" t="s">
        <v>424</v>
      </c>
      <c r="C1506" s="17" t="s">
        <v>425</v>
      </c>
      <c r="D1506" s="17" t="s">
        <v>22</v>
      </c>
      <c r="E1506" s="17" t="s">
        <v>426</v>
      </c>
      <c r="F1506" s="17" t="s">
        <v>473</v>
      </c>
      <c r="G1506" s="18">
        <v>0</v>
      </c>
      <c r="H1506" s="18">
        <v>636.6500</v>
      </c>
      <c r="I1506" s="18">
        <f ca="1">((I1505 + G1506) - H1506)</f>
        <v>0</v>
      </c>
      <c r="J1506" s="18">
        <v>0</v>
      </c>
      <c r="K1506" s="19">
        <v>0</v>
      </c>
      <c r="L1506" s="17"/>
    </row>
    <row r="1507" ht="10.95" customHeight="true" customFormat="true" s="9">
      <c r="A1507" s="16">
        <v>45222</v>
      </c>
      <c r="B1507" s="17" t="s">
        <v>424</v>
      </c>
      <c r="C1507" s="17" t="s">
        <v>425</v>
      </c>
      <c r="D1507" s="17" t="s">
        <v>22</v>
      </c>
      <c r="E1507" s="17" t="s">
        <v>426</v>
      </c>
      <c r="F1507" s="17" t="s">
        <v>473</v>
      </c>
      <c r="G1507" s="18">
        <v>0</v>
      </c>
      <c r="H1507" s="18">
        <v>2000.0000</v>
      </c>
      <c r="I1507" s="18">
        <f ca="1">((I1506 + G1507) - H1507)</f>
        <v>0</v>
      </c>
      <c r="J1507" s="18">
        <v>0</v>
      </c>
      <c r="K1507" s="19">
        <v>0</v>
      </c>
      <c r="L1507" s="17"/>
    </row>
    <row r="1508" ht="10.95" customHeight="true" customFormat="true" s="9">
      <c r="A1508" s="16">
        <v>45223</v>
      </c>
      <c r="B1508" s="17" t="s">
        <v>424</v>
      </c>
      <c r="C1508" s="17" t="s">
        <v>425</v>
      </c>
      <c r="D1508" s="17" t="s">
        <v>22</v>
      </c>
      <c r="E1508" s="17" t="s">
        <v>430</v>
      </c>
      <c r="F1508" s="17"/>
      <c r="G1508" s="18">
        <v>0</v>
      </c>
      <c r="H1508" s="18">
        <v>1714.0900</v>
      </c>
      <c r="I1508" s="18">
        <f ca="1">((I1507 + G1508) - H1508)</f>
        <v>0</v>
      </c>
      <c r="J1508" s="18">
        <v>0</v>
      </c>
      <c r="K1508" s="19">
        <v>0</v>
      </c>
      <c r="L1508" s="17"/>
    </row>
    <row r="1509" ht="10.95" customHeight="true" customFormat="true" s="9">
      <c r="A1509" s="16">
        <v>45223</v>
      </c>
      <c r="B1509" s="17" t="s">
        <v>424</v>
      </c>
      <c r="C1509" s="17" t="s">
        <v>425</v>
      </c>
      <c r="D1509" s="17" t="s">
        <v>22</v>
      </c>
      <c r="E1509" s="17" t="s">
        <v>442</v>
      </c>
      <c r="F1509" s="17"/>
      <c r="G1509" s="18">
        <v>0</v>
      </c>
      <c r="H1509" s="18">
        <v>169.5700</v>
      </c>
      <c r="I1509" s="18">
        <f ca="1">((I1508 + G1509) - H1509)</f>
        <v>0</v>
      </c>
      <c r="J1509" s="18">
        <v>0</v>
      </c>
      <c r="K1509" s="19">
        <v>0</v>
      </c>
      <c r="L1509" s="17"/>
    </row>
    <row r="1510" ht="10.95" customHeight="true" customFormat="true" s="9">
      <c r="A1510" s="16">
        <v>45223</v>
      </c>
      <c r="B1510" s="17" t="s">
        <v>424</v>
      </c>
      <c r="C1510" s="17" t="s">
        <v>425</v>
      </c>
      <c r="D1510" s="17" t="s">
        <v>22</v>
      </c>
      <c r="E1510" s="17" t="s">
        <v>434</v>
      </c>
      <c r="F1510" s="17"/>
      <c r="G1510" s="18">
        <v>0</v>
      </c>
      <c r="H1510" s="18">
        <v>584.4500</v>
      </c>
      <c r="I1510" s="18">
        <f ca="1">((I1509 + G1510) - H1510)</f>
        <v>0</v>
      </c>
      <c r="J1510" s="18">
        <v>0</v>
      </c>
      <c r="K1510" s="19">
        <v>0</v>
      </c>
      <c r="L1510" s="17"/>
    </row>
    <row r="1511" ht="10.95" customHeight="true" customFormat="true" s="9">
      <c r="A1511" s="16">
        <v>45224</v>
      </c>
      <c r="B1511" s="17" t="s">
        <v>424</v>
      </c>
      <c r="C1511" s="17" t="s">
        <v>425</v>
      </c>
      <c r="D1511" s="17" t="s">
        <v>22</v>
      </c>
      <c r="E1511" s="17" t="s">
        <v>433</v>
      </c>
      <c r="F1511" s="17"/>
      <c r="G1511" s="18">
        <v>0</v>
      </c>
      <c r="H1511" s="18">
        <v>752.7600</v>
      </c>
      <c r="I1511" s="18">
        <f ca="1">((I1510 + G1511) - H1511)</f>
        <v>0</v>
      </c>
      <c r="J1511" s="18">
        <v>0</v>
      </c>
      <c r="K1511" s="19">
        <v>0</v>
      </c>
      <c r="L1511" s="17"/>
    </row>
    <row r="1512" ht="10.95" customHeight="true" customFormat="true" s="9">
      <c r="A1512" s="16">
        <v>45224</v>
      </c>
      <c r="B1512" s="17" t="s">
        <v>424</v>
      </c>
      <c r="C1512" s="17" t="s">
        <v>425</v>
      </c>
      <c r="D1512" s="17" t="s">
        <v>19</v>
      </c>
      <c r="E1512" s="17" t="s">
        <v>428</v>
      </c>
      <c r="F1512" s="17"/>
      <c r="G1512" s="18">
        <v>2692.5000</v>
      </c>
      <c r="H1512" s="18">
        <v>0</v>
      </c>
      <c r="I1512" s="18">
        <f ca="1">((I1511 + G1512) - H1512)</f>
        <v>0</v>
      </c>
      <c r="J1512" s="18">
        <v>0</v>
      </c>
      <c r="K1512" s="19">
        <v>0</v>
      </c>
      <c r="L1512" s="17"/>
    </row>
    <row r="1513" ht="10.95" customHeight="true" customFormat="true" s="9">
      <c r="A1513" s="16">
        <v>45225</v>
      </c>
      <c r="B1513" s="17" t="s">
        <v>424</v>
      </c>
      <c r="C1513" s="17" t="s">
        <v>425</v>
      </c>
      <c r="D1513" s="17" t="s">
        <v>19</v>
      </c>
      <c r="E1513" s="17" t="s">
        <v>428</v>
      </c>
      <c r="F1513" s="17"/>
      <c r="G1513" s="18">
        <v>2464.0300</v>
      </c>
      <c r="H1513" s="18">
        <v>0</v>
      </c>
      <c r="I1513" s="18">
        <f ca="1">((I1512 + G1513) - H1513)</f>
        <v>0</v>
      </c>
      <c r="J1513" s="18">
        <v>0</v>
      </c>
      <c r="K1513" s="19">
        <v>0</v>
      </c>
      <c r="L1513" s="17"/>
    </row>
    <row r="1514" ht="10.95" customHeight="true" customFormat="true" s="9">
      <c r="A1514" s="16">
        <v>45226</v>
      </c>
      <c r="B1514" s="17" t="s">
        <v>424</v>
      </c>
      <c r="C1514" s="17" t="s">
        <v>425</v>
      </c>
      <c r="D1514" s="17" t="s">
        <v>19</v>
      </c>
      <c r="E1514" s="17" t="s">
        <v>428</v>
      </c>
      <c r="F1514" s="17"/>
      <c r="G1514" s="18">
        <v>2796.3000</v>
      </c>
      <c r="H1514" s="18">
        <v>0</v>
      </c>
      <c r="I1514" s="18">
        <f ca="1">((I1513 + G1514) - H1514)</f>
        <v>0</v>
      </c>
      <c r="J1514" s="18">
        <v>0</v>
      </c>
      <c r="K1514" s="19">
        <v>0</v>
      </c>
      <c r="L1514" s="17"/>
    </row>
    <row r="1515" ht="10.95" customHeight="true" customFormat="true" s="9">
      <c r="A1515" s="16">
        <v>45226</v>
      </c>
      <c r="B1515" s="17" t="s">
        <v>424</v>
      </c>
      <c r="C1515" s="17" t="s">
        <v>425</v>
      </c>
      <c r="D1515" s="17" t="s">
        <v>22</v>
      </c>
      <c r="E1515" s="17" t="s">
        <v>431</v>
      </c>
      <c r="F1515" s="17"/>
      <c r="G1515" s="18">
        <v>0</v>
      </c>
      <c r="H1515" s="18">
        <v>65.0000</v>
      </c>
      <c r="I1515" s="18">
        <f ca="1">((I1514 + G1515) - H1515)</f>
        <v>0</v>
      </c>
      <c r="J1515" s="18">
        <v>0</v>
      </c>
      <c r="K1515" s="19">
        <v>0</v>
      </c>
      <c r="L1515" s="17"/>
    </row>
    <row r="1516" ht="10.95" customHeight="true" customFormat="true" s="9">
      <c r="A1516" s="16">
        <v>45229</v>
      </c>
      <c r="B1516" s="17" t="s">
        <v>424</v>
      </c>
      <c r="C1516" s="17" t="s">
        <v>425</v>
      </c>
      <c r="D1516" s="17" t="s">
        <v>22</v>
      </c>
      <c r="E1516" s="17" t="s">
        <v>474</v>
      </c>
      <c r="F1516" s="17"/>
      <c r="G1516" s="18">
        <v>0</v>
      </c>
      <c r="H1516" s="18">
        <v>55.3900</v>
      </c>
      <c r="I1516" s="18">
        <f ca="1">((I1515 + G1516) - H1516)</f>
        <v>0</v>
      </c>
      <c r="J1516" s="18">
        <v>0</v>
      </c>
      <c r="K1516" s="19">
        <v>0</v>
      </c>
      <c r="L1516" s="17"/>
    </row>
    <row r="1517" ht="10.95" customHeight="true" customFormat="true" s="9">
      <c r="A1517" s="16">
        <v>45229</v>
      </c>
      <c r="B1517" s="17" t="s">
        <v>424</v>
      </c>
      <c r="C1517" s="17" t="s">
        <v>425</v>
      </c>
      <c r="D1517" s="17" t="s">
        <v>22</v>
      </c>
      <c r="E1517" s="17" t="s">
        <v>426</v>
      </c>
      <c r="F1517" s="17" t="s">
        <v>475</v>
      </c>
      <c r="G1517" s="18">
        <v>0</v>
      </c>
      <c r="H1517" s="18">
        <v>1342.9000</v>
      </c>
      <c r="I1517" s="18">
        <f ca="1">((I1516 + G1517) - H1517)</f>
        <v>0</v>
      </c>
      <c r="J1517" s="18">
        <v>0</v>
      </c>
      <c r="K1517" s="19">
        <v>0</v>
      </c>
      <c r="L1517" s="17"/>
    </row>
    <row r="1518" ht="10.95" customHeight="true" customFormat="true" s="9">
      <c r="A1518" s="16">
        <v>45229</v>
      </c>
      <c r="B1518" s="17" t="s">
        <v>424</v>
      </c>
      <c r="C1518" s="17" t="s">
        <v>425</v>
      </c>
      <c r="D1518" s="17" t="s">
        <v>22</v>
      </c>
      <c r="E1518" s="17" t="s">
        <v>426</v>
      </c>
      <c r="F1518" s="17" t="s">
        <v>475</v>
      </c>
      <c r="G1518" s="18">
        <v>0</v>
      </c>
      <c r="H1518" s="18">
        <v>63.0000</v>
      </c>
      <c r="I1518" s="18">
        <f ca="1">((I1517 + G1518) - H1518)</f>
        <v>0</v>
      </c>
      <c r="J1518" s="18">
        <v>0</v>
      </c>
      <c r="K1518" s="19">
        <v>0</v>
      </c>
      <c r="L1518" s="17"/>
    </row>
    <row r="1519" ht="10.95" customHeight="true" customFormat="true" s="9">
      <c r="A1519" s="16">
        <v>45229</v>
      </c>
      <c r="B1519" s="17" t="s">
        <v>424</v>
      </c>
      <c r="C1519" s="17" t="s">
        <v>425</v>
      </c>
      <c r="D1519" s="17" t="s">
        <v>19</v>
      </c>
      <c r="E1519" s="17" t="s">
        <v>428</v>
      </c>
      <c r="F1519" s="17"/>
      <c r="G1519" s="18">
        <v>5229.1500</v>
      </c>
      <c r="H1519" s="18">
        <v>0</v>
      </c>
      <c r="I1519" s="18">
        <f ca="1">((I1518 + G1519) - H1519)</f>
        <v>0</v>
      </c>
      <c r="J1519" s="18">
        <v>0</v>
      </c>
      <c r="K1519" s="19">
        <v>0</v>
      </c>
      <c r="L1519" s="17"/>
    </row>
    <row r="1520" ht="10.95" customHeight="true" customFormat="true" s="9">
      <c r="A1520" s="16">
        <v>45229</v>
      </c>
      <c r="B1520" s="17" t="s">
        <v>424</v>
      </c>
      <c r="C1520" s="17" t="s">
        <v>425</v>
      </c>
      <c r="D1520" s="17" t="s">
        <v>22</v>
      </c>
      <c r="E1520" s="17" t="s">
        <v>426</v>
      </c>
      <c r="F1520" s="17" t="s">
        <v>475</v>
      </c>
      <c r="G1520" s="18">
        <v>0</v>
      </c>
      <c r="H1520" s="18">
        <v>2000.0000</v>
      </c>
      <c r="I1520" s="18">
        <f ca="1">((I1519 + G1520) - H1520)</f>
        <v>0</v>
      </c>
      <c r="J1520" s="18">
        <v>0</v>
      </c>
      <c r="K1520" s="19">
        <v>0</v>
      </c>
      <c r="L1520" s="17"/>
    </row>
    <row r="1521" ht="10.95" customHeight="true" customFormat="true" s="9">
      <c r="A1521" s="16">
        <v>45229</v>
      </c>
      <c r="B1521" s="17" t="s">
        <v>424</v>
      </c>
      <c r="C1521" s="17" t="s">
        <v>425</v>
      </c>
      <c r="D1521" s="17" t="s">
        <v>22</v>
      </c>
      <c r="E1521" s="17" t="s">
        <v>426</v>
      </c>
      <c r="F1521" s="17" t="s">
        <v>475</v>
      </c>
      <c r="G1521" s="18">
        <v>0</v>
      </c>
      <c r="H1521" s="18">
        <v>674.5000</v>
      </c>
      <c r="I1521" s="18">
        <f ca="1">((I1520 + G1521) - H1521)</f>
        <v>0</v>
      </c>
      <c r="J1521" s="18">
        <v>0</v>
      </c>
      <c r="K1521" s="19">
        <v>0</v>
      </c>
      <c r="L1521" s="17"/>
    </row>
    <row r="1522" ht="10.95" customHeight="true" customFormat="true" s="9">
      <c r="A1522" s="16">
        <v>45229</v>
      </c>
      <c r="B1522" s="17" t="s">
        <v>424</v>
      </c>
      <c r="C1522" s="17" t="s">
        <v>425</v>
      </c>
      <c r="D1522" s="17" t="s">
        <v>22</v>
      </c>
      <c r="E1522" s="17" t="s">
        <v>426</v>
      </c>
      <c r="F1522" s="17" t="s">
        <v>475</v>
      </c>
      <c r="G1522" s="18">
        <v>0</v>
      </c>
      <c r="H1522" s="18">
        <v>678.7300</v>
      </c>
      <c r="I1522" s="18">
        <f ca="1">((I1521 + G1522) - H1522)</f>
        <v>0</v>
      </c>
      <c r="J1522" s="18">
        <v>0</v>
      </c>
      <c r="K1522" s="19">
        <v>0</v>
      </c>
      <c r="L1522" s="17"/>
    </row>
    <row r="1523" ht="10.95" customHeight="true" customFormat="true" s="9">
      <c r="A1523" s="16">
        <v>45229</v>
      </c>
      <c r="B1523" s="17" t="s">
        <v>424</v>
      </c>
      <c r="C1523" s="17" t="s">
        <v>425</v>
      </c>
      <c r="D1523" s="17" t="s">
        <v>19</v>
      </c>
      <c r="E1523" s="17" t="s">
        <v>428</v>
      </c>
      <c r="F1523" s="17"/>
      <c r="G1523" s="18">
        <v>3287.5500</v>
      </c>
      <c r="H1523" s="18">
        <v>0</v>
      </c>
      <c r="I1523" s="18">
        <f ca="1">((I1522 + G1523) - H1523)</f>
        <v>0</v>
      </c>
      <c r="J1523" s="18">
        <v>0</v>
      </c>
      <c r="K1523" s="19">
        <v>0</v>
      </c>
      <c r="L1523" s="17"/>
    </row>
    <row r="1524" ht="10.95" customHeight="true" customFormat="true" s="9">
      <c r="A1524" s="16">
        <v>45229</v>
      </c>
      <c r="B1524" s="17" t="s">
        <v>424</v>
      </c>
      <c r="C1524" s="17" t="s">
        <v>425</v>
      </c>
      <c r="D1524" s="17" t="s">
        <v>22</v>
      </c>
      <c r="E1524" s="17" t="s">
        <v>430</v>
      </c>
      <c r="F1524" s="17"/>
      <c r="G1524" s="18">
        <v>0</v>
      </c>
      <c r="H1524" s="18">
        <v>1742.3100</v>
      </c>
      <c r="I1524" s="18">
        <f ca="1">((I1523 + G1524) - H1524)</f>
        <v>0</v>
      </c>
      <c r="J1524" s="18">
        <v>0</v>
      </c>
      <c r="K1524" s="19">
        <v>0</v>
      </c>
      <c r="L1524" s="17"/>
    </row>
    <row r="1525" ht="10.95" customHeight="true" customFormat="true" s="9">
      <c r="A1525" s="16">
        <v>45229</v>
      </c>
      <c r="B1525" s="17" t="s">
        <v>424</v>
      </c>
      <c r="C1525" s="17" t="s">
        <v>425</v>
      </c>
      <c r="D1525" s="17" t="s">
        <v>22</v>
      </c>
      <c r="E1525" s="17" t="s">
        <v>34</v>
      </c>
      <c r="F1525" s="17"/>
      <c r="G1525" s="18">
        <v>0</v>
      </c>
      <c r="H1525" s="18">
        <v>1743.1900</v>
      </c>
      <c r="I1525" s="18">
        <f ca="1">((I1524 + G1525) - H1525)</f>
        <v>0</v>
      </c>
      <c r="J1525" s="18">
        <v>0</v>
      </c>
      <c r="K1525" s="19">
        <v>0</v>
      </c>
      <c r="L1525" s="17"/>
    </row>
    <row r="1526" ht="10.95" customHeight="true" customFormat="true" s="9">
      <c r="A1526" s="16">
        <v>45229</v>
      </c>
      <c r="B1526" s="17" t="s">
        <v>424</v>
      </c>
      <c r="C1526" s="17" t="s">
        <v>425</v>
      </c>
      <c r="D1526" s="17" t="s">
        <v>22</v>
      </c>
      <c r="E1526" s="17" t="s">
        <v>426</v>
      </c>
      <c r="F1526" s="17" t="s">
        <v>475</v>
      </c>
      <c r="G1526" s="18">
        <v>0</v>
      </c>
      <c r="H1526" s="18">
        <v>69.0000</v>
      </c>
      <c r="I1526" s="18">
        <f ca="1">((I1525 + G1526) - H1526)</f>
        <v>0</v>
      </c>
      <c r="J1526" s="18">
        <v>0</v>
      </c>
      <c r="K1526" s="19">
        <v>0</v>
      </c>
      <c r="L1526" s="17"/>
    </row>
    <row r="1527" ht="10.95" customHeight="true" customFormat="true" s="9">
      <c r="A1527" s="16">
        <v>45229</v>
      </c>
      <c r="B1527" s="17" t="s">
        <v>424</v>
      </c>
      <c r="C1527" s="17" t="s">
        <v>425</v>
      </c>
      <c r="D1527" s="17" t="s">
        <v>19</v>
      </c>
      <c r="E1527" s="17" t="s">
        <v>428</v>
      </c>
      <c r="F1527" s="17"/>
      <c r="G1527" s="18">
        <v>6483.8000</v>
      </c>
      <c r="H1527" s="18">
        <v>0</v>
      </c>
      <c r="I1527" s="18">
        <f ca="1">((I1526 + G1527) - H1527)</f>
        <v>0</v>
      </c>
      <c r="J1527" s="18">
        <v>0</v>
      </c>
      <c r="K1527" s="19">
        <v>0</v>
      </c>
      <c r="L1527" s="17"/>
    </row>
    <row r="1528" ht="10.95" customHeight="true" customFormat="true" s="9">
      <c r="A1528" s="16">
        <v>45230</v>
      </c>
      <c r="B1528" s="17" t="s">
        <v>424</v>
      </c>
      <c r="C1528" s="17" t="s">
        <v>425</v>
      </c>
      <c r="D1528" s="17" t="s">
        <v>22</v>
      </c>
      <c r="E1528" s="17" t="s">
        <v>444</v>
      </c>
      <c r="F1528" s="17"/>
      <c r="G1528" s="18">
        <v>0</v>
      </c>
      <c r="H1528" s="18">
        <v>5000.0000</v>
      </c>
      <c r="I1528" s="18">
        <f ca="1">((I1527 + G1528) - H1528)</f>
        <v>0</v>
      </c>
      <c r="J1528" s="18">
        <v>0</v>
      </c>
      <c r="K1528" s="19">
        <v>0</v>
      </c>
      <c r="L1528" s="17"/>
    </row>
    <row r="1529" ht="10.95" customHeight="true" customFormat="true" s="9">
      <c r="A1529" s="16">
        <v>45230</v>
      </c>
      <c r="B1529" s="17" t="s">
        <v>424</v>
      </c>
      <c r="C1529" s="17" t="s">
        <v>425</v>
      </c>
      <c r="D1529" s="17" t="s">
        <v>22</v>
      </c>
      <c r="E1529" s="17" t="s">
        <v>447</v>
      </c>
      <c r="F1529" s="17"/>
      <c r="G1529" s="18">
        <v>0</v>
      </c>
      <c r="H1529" s="18">
        <v>10.0000</v>
      </c>
      <c r="I1529" s="18">
        <f ca="1">((I1528 + G1529) - H1529)</f>
        <v>0</v>
      </c>
      <c r="J1529" s="18">
        <v>0</v>
      </c>
      <c r="K1529" s="19">
        <v>0</v>
      </c>
      <c r="L1529" s="17"/>
    </row>
    <row r="1530" ht="10.95" customHeight="true" customFormat="true" s="9">
      <c r="A1530" s="16">
        <v>45230</v>
      </c>
      <c r="B1530" s="17" t="s">
        <v>424</v>
      </c>
      <c r="C1530" s="17" t="s">
        <v>425</v>
      </c>
      <c r="D1530" s="17" t="s">
        <v>22</v>
      </c>
      <c r="E1530" s="17" t="s">
        <v>445</v>
      </c>
      <c r="F1530" s="17"/>
      <c r="G1530" s="18">
        <v>0</v>
      </c>
      <c r="H1530" s="18">
        <v>686.6900</v>
      </c>
      <c r="I1530" s="18">
        <f ca="1">((I1529 + G1530) - H1530)</f>
        <v>0</v>
      </c>
      <c r="J1530" s="18">
        <v>0</v>
      </c>
      <c r="K1530" s="19">
        <v>0</v>
      </c>
      <c r="L1530" s="17"/>
    </row>
    <row r="1531" ht="10.95" customHeight="true" customFormat="true" s="9">
      <c r="A1531" s="16">
        <v>45230</v>
      </c>
      <c r="B1531" s="17" t="s">
        <v>424</v>
      </c>
      <c r="C1531" s="17" t="s">
        <v>425</v>
      </c>
      <c r="D1531" s="17" t="s">
        <v>22</v>
      </c>
      <c r="E1531" s="17" t="s">
        <v>66</v>
      </c>
      <c r="F1531" s="17"/>
      <c r="G1531" s="18">
        <v>0</v>
      </c>
      <c r="H1531" s="18">
        <v>42406.0000</v>
      </c>
      <c r="I1531" s="18">
        <f ca="1">((I1530 + G1531) - H1531)</f>
        <v>0</v>
      </c>
      <c r="J1531" s="18">
        <v>0</v>
      </c>
      <c r="K1531" s="19">
        <v>0</v>
      </c>
      <c r="L1531" s="17"/>
    </row>
    <row r="1532" ht="10.95" customHeight="true" customFormat="true" s="9">
      <c r="A1532" s="16">
        <v>45230</v>
      </c>
      <c r="B1532" s="17" t="s">
        <v>424</v>
      </c>
      <c r="C1532" s="17" t="s">
        <v>425</v>
      </c>
      <c r="D1532" s="17" t="s">
        <v>19</v>
      </c>
      <c r="E1532" s="17" t="s">
        <v>24</v>
      </c>
      <c r="F1532" s="17"/>
      <c r="G1532" s="18">
        <v>300.0000</v>
      </c>
      <c r="H1532" s="18">
        <v>0</v>
      </c>
      <c r="I1532" s="18">
        <f ca="1">((I1531 + G1532) - H1532)</f>
        <v>0</v>
      </c>
      <c r="J1532" s="18">
        <v>0</v>
      </c>
      <c r="K1532" s="19">
        <v>0</v>
      </c>
      <c r="L1532" s="17"/>
    </row>
    <row r="1533" ht="10.95" customHeight="true" customFormat="true" s="9">
      <c r="A1533" s="16">
        <v>45231</v>
      </c>
      <c r="B1533" s="17" t="s">
        <v>424</v>
      </c>
      <c r="C1533" s="17" t="s">
        <v>425</v>
      </c>
      <c r="D1533" s="17" t="s">
        <v>22</v>
      </c>
      <c r="E1533" s="17" t="s">
        <v>430</v>
      </c>
      <c r="F1533" s="17"/>
      <c r="G1533" s="18">
        <v>0</v>
      </c>
      <c r="H1533" s="18">
        <v>1767.4200</v>
      </c>
      <c r="I1533" s="18">
        <f ca="1">((I1532 + G1533) - H1533)</f>
        <v>0</v>
      </c>
      <c r="J1533" s="18">
        <v>0</v>
      </c>
      <c r="K1533" s="19">
        <v>0</v>
      </c>
      <c r="L1533" s="17"/>
    </row>
    <row r="1534" ht="10.95" customHeight="true" customFormat="true" s="9">
      <c r="A1534" s="16">
        <v>45231</v>
      </c>
      <c r="B1534" s="17" t="s">
        <v>424</v>
      </c>
      <c r="C1534" s="17" t="s">
        <v>425</v>
      </c>
      <c r="D1534" s="17" t="s">
        <v>19</v>
      </c>
      <c r="E1534" s="17" t="s">
        <v>428</v>
      </c>
      <c r="F1534" s="17"/>
      <c r="G1534" s="18">
        <v>2553.7000</v>
      </c>
      <c r="H1534" s="18">
        <v>0</v>
      </c>
      <c r="I1534" s="18">
        <f ca="1">((I1533 + G1534) - H1534)</f>
        <v>0</v>
      </c>
      <c r="J1534" s="18">
        <v>0</v>
      </c>
      <c r="K1534" s="19">
        <v>0</v>
      </c>
      <c r="L1534" s="17"/>
    </row>
    <row r="1535" ht="10.95" customHeight="true" customFormat="true" s="9">
      <c r="A1535" s="16">
        <v>45231</v>
      </c>
      <c r="B1535" s="17" t="s">
        <v>424</v>
      </c>
      <c r="C1535" s="17" t="s">
        <v>425</v>
      </c>
      <c r="D1535" s="17" t="s">
        <v>22</v>
      </c>
      <c r="E1535" s="17" t="s">
        <v>438</v>
      </c>
      <c r="F1535" s="17"/>
      <c r="G1535" s="18">
        <v>0</v>
      </c>
      <c r="H1535" s="18">
        <v>26.2500</v>
      </c>
      <c r="I1535" s="18">
        <f ca="1">((I1534 + G1535) - H1535)</f>
        <v>0</v>
      </c>
      <c r="J1535" s="18">
        <v>0</v>
      </c>
      <c r="K1535" s="19">
        <v>0</v>
      </c>
      <c r="L1535" s="17"/>
    </row>
    <row r="1536" ht="10.95" customHeight="true" customFormat="true" s="9">
      <c r="A1536" s="16">
        <v>45232</v>
      </c>
      <c r="B1536" s="17" t="s">
        <v>424</v>
      </c>
      <c r="C1536" s="17" t="s">
        <v>425</v>
      </c>
      <c r="D1536" s="17" t="s">
        <v>19</v>
      </c>
      <c r="E1536" s="17" t="s">
        <v>428</v>
      </c>
      <c r="F1536" s="17"/>
      <c r="G1536" s="18">
        <v>2381.3500</v>
      </c>
      <c r="H1536" s="18">
        <v>0</v>
      </c>
      <c r="I1536" s="18">
        <f ca="1">((I1535 + G1536) - H1536)</f>
        <v>0</v>
      </c>
      <c r="J1536" s="18">
        <v>0</v>
      </c>
      <c r="K1536" s="19">
        <v>0</v>
      </c>
      <c r="L1536" s="17"/>
    </row>
    <row r="1537" ht="10.95" customHeight="true" customFormat="true" s="9">
      <c r="A1537" s="16">
        <v>45233</v>
      </c>
      <c r="B1537" s="17" t="s">
        <v>424</v>
      </c>
      <c r="C1537" s="17" t="s">
        <v>425</v>
      </c>
      <c r="D1537" s="17" t="s">
        <v>19</v>
      </c>
      <c r="E1537" s="17" t="s">
        <v>428</v>
      </c>
      <c r="F1537" s="17"/>
      <c r="G1537" s="18">
        <v>2711.4000</v>
      </c>
      <c r="H1537" s="18">
        <v>0</v>
      </c>
      <c r="I1537" s="18">
        <f ca="1">((I1536 + G1537) - H1537)</f>
        <v>0</v>
      </c>
      <c r="J1537" s="18">
        <v>0</v>
      </c>
      <c r="K1537" s="19">
        <v>0</v>
      </c>
      <c r="L1537" s="17"/>
    </row>
    <row r="1538" ht="10.95" customHeight="true" customFormat="true" s="9">
      <c r="A1538" s="16">
        <v>45233</v>
      </c>
      <c r="B1538" s="17" t="s">
        <v>424</v>
      </c>
      <c r="C1538" s="17" t="s">
        <v>425</v>
      </c>
      <c r="D1538" s="17" t="s">
        <v>22</v>
      </c>
      <c r="E1538" s="17" t="s">
        <v>474</v>
      </c>
      <c r="F1538" s="17"/>
      <c r="G1538" s="18">
        <v>0</v>
      </c>
      <c r="H1538" s="18">
        <v>59.7100</v>
      </c>
      <c r="I1538" s="18">
        <f ca="1">((I1537 + G1538) - H1538)</f>
        <v>0</v>
      </c>
      <c r="J1538" s="18">
        <v>0</v>
      </c>
      <c r="K1538" s="19">
        <v>0</v>
      </c>
      <c r="L1538" s="17"/>
    </row>
    <row r="1539" ht="10.95" customHeight="true" customFormat="true" s="9">
      <c r="A1539" s="16">
        <v>45233</v>
      </c>
      <c r="B1539" s="17" t="s">
        <v>424</v>
      </c>
      <c r="C1539" s="17" t="s">
        <v>425</v>
      </c>
      <c r="D1539" s="17" t="s">
        <v>22</v>
      </c>
      <c r="E1539" s="17" t="s">
        <v>430</v>
      </c>
      <c r="F1539" s="17"/>
      <c r="G1539" s="18">
        <v>0</v>
      </c>
      <c r="H1539" s="18">
        <v>2010.7700</v>
      </c>
      <c r="I1539" s="18">
        <f ca="1">((I1538 + G1539) - H1539)</f>
        <v>0</v>
      </c>
      <c r="J1539" s="18">
        <v>0</v>
      </c>
      <c r="K1539" s="19">
        <v>0</v>
      </c>
      <c r="L1539" s="17"/>
    </row>
    <row r="1540" ht="10.95" customHeight="true" customFormat="true" s="9">
      <c r="A1540" s="16">
        <v>45236</v>
      </c>
      <c r="B1540" s="17" t="s">
        <v>424</v>
      </c>
      <c r="C1540" s="17" t="s">
        <v>425</v>
      </c>
      <c r="D1540" s="17" t="s">
        <v>22</v>
      </c>
      <c r="E1540" s="17" t="s">
        <v>426</v>
      </c>
      <c r="F1540" s="17" t="s">
        <v>476</v>
      </c>
      <c r="G1540" s="18">
        <v>0</v>
      </c>
      <c r="H1540" s="18">
        <v>63.0000</v>
      </c>
      <c r="I1540" s="18">
        <f ca="1">((I1539 + G1540) - H1540)</f>
        <v>0</v>
      </c>
      <c r="J1540" s="18">
        <v>0</v>
      </c>
      <c r="K1540" s="19">
        <v>0</v>
      </c>
      <c r="L1540" s="17"/>
    </row>
    <row r="1541" ht="10.95" customHeight="true" customFormat="true" s="9">
      <c r="A1541" s="16">
        <v>45236</v>
      </c>
      <c r="B1541" s="17" t="s">
        <v>424</v>
      </c>
      <c r="C1541" s="17" t="s">
        <v>425</v>
      </c>
      <c r="D1541" s="17" t="s">
        <v>22</v>
      </c>
      <c r="E1541" s="17" t="s">
        <v>426</v>
      </c>
      <c r="F1541" s="17" t="s">
        <v>476</v>
      </c>
      <c r="G1541" s="18">
        <v>0</v>
      </c>
      <c r="H1541" s="18">
        <v>1342.9000</v>
      </c>
      <c r="I1541" s="18">
        <f ca="1">((I1540 + G1541) - H1541)</f>
        <v>0</v>
      </c>
      <c r="J1541" s="18">
        <v>0</v>
      </c>
      <c r="K1541" s="19">
        <v>0</v>
      </c>
      <c r="L1541" s="17"/>
    </row>
    <row r="1542" ht="10.95" customHeight="true" customFormat="true" s="9">
      <c r="A1542" s="16">
        <v>45236</v>
      </c>
      <c r="B1542" s="17" t="s">
        <v>424</v>
      </c>
      <c r="C1542" s="17" t="s">
        <v>425</v>
      </c>
      <c r="D1542" s="17" t="s">
        <v>19</v>
      </c>
      <c r="E1542" s="17" t="s">
        <v>428</v>
      </c>
      <c r="F1542" s="17"/>
      <c r="G1542" s="18">
        <v>5549.8000</v>
      </c>
      <c r="H1542" s="18">
        <v>0</v>
      </c>
      <c r="I1542" s="18">
        <f ca="1">((I1541 + G1542) - H1542)</f>
        <v>0</v>
      </c>
      <c r="J1542" s="18">
        <v>0</v>
      </c>
      <c r="K1542" s="19">
        <v>0</v>
      </c>
      <c r="L1542" s="17"/>
    </row>
    <row r="1543" ht="10.95" customHeight="true" customFormat="true" s="9">
      <c r="A1543" s="16">
        <v>45236</v>
      </c>
      <c r="B1543" s="17" t="s">
        <v>424</v>
      </c>
      <c r="C1543" s="17" t="s">
        <v>425</v>
      </c>
      <c r="D1543" s="17" t="s">
        <v>22</v>
      </c>
      <c r="E1543" s="17" t="s">
        <v>426</v>
      </c>
      <c r="F1543" s="17" t="s">
        <v>476</v>
      </c>
      <c r="G1543" s="18">
        <v>0</v>
      </c>
      <c r="H1543" s="18">
        <v>487.0000</v>
      </c>
      <c r="I1543" s="18">
        <f ca="1">((I1542 + G1543) - H1543)</f>
        <v>0</v>
      </c>
      <c r="J1543" s="18">
        <v>0</v>
      </c>
      <c r="K1543" s="19">
        <v>0</v>
      </c>
      <c r="L1543" s="17"/>
    </row>
    <row r="1544" ht="10.95" customHeight="true" customFormat="true" s="9">
      <c r="A1544" s="16">
        <v>45236</v>
      </c>
      <c r="B1544" s="17" t="s">
        <v>424</v>
      </c>
      <c r="C1544" s="17" t="s">
        <v>425</v>
      </c>
      <c r="D1544" s="17" t="s">
        <v>19</v>
      </c>
      <c r="E1544" s="17" t="s">
        <v>24</v>
      </c>
      <c r="F1544" s="17"/>
      <c r="G1544" s="18">
        <v>200.0000</v>
      </c>
      <c r="H1544" s="18">
        <v>0</v>
      </c>
      <c r="I1544" s="18">
        <f ca="1">((I1543 + G1544) - H1544)</f>
        <v>0</v>
      </c>
      <c r="J1544" s="18">
        <v>0</v>
      </c>
      <c r="K1544" s="19">
        <v>0</v>
      </c>
      <c r="L1544" s="17"/>
    </row>
    <row r="1545" ht="10.95" customHeight="true" customFormat="true" s="9">
      <c r="A1545" s="16">
        <v>45236</v>
      </c>
      <c r="B1545" s="17" t="s">
        <v>424</v>
      </c>
      <c r="C1545" s="17" t="s">
        <v>425</v>
      </c>
      <c r="D1545" s="17" t="s">
        <v>22</v>
      </c>
      <c r="E1545" s="17" t="s">
        <v>433</v>
      </c>
      <c r="F1545" s="17"/>
      <c r="G1545" s="18">
        <v>0</v>
      </c>
      <c r="H1545" s="18">
        <v>700.1900</v>
      </c>
      <c r="I1545" s="18">
        <f ca="1">((I1544 + G1545) - H1545)</f>
        <v>0</v>
      </c>
      <c r="J1545" s="18">
        <v>0</v>
      </c>
      <c r="K1545" s="19">
        <v>0</v>
      </c>
      <c r="L1545" s="17"/>
    </row>
    <row r="1546" ht="10.95" customHeight="true" customFormat="true" s="9">
      <c r="A1546" s="16">
        <v>45236</v>
      </c>
      <c r="B1546" s="17" t="s">
        <v>424</v>
      </c>
      <c r="C1546" s="17" t="s">
        <v>425</v>
      </c>
      <c r="D1546" s="17" t="s">
        <v>22</v>
      </c>
      <c r="E1546" s="17" t="s">
        <v>426</v>
      </c>
      <c r="F1546" s="17" t="s">
        <v>476</v>
      </c>
      <c r="G1546" s="18">
        <v>0</v>
      </c>
      <c r="H1546" s="18">
        <v>636.6500</v>
      </c>
      <c r="I1546" s="18">
        <f ca="1">((I1545 + G1546) - H1546)</f>
        <v>0</v>
      </c>
      <c r="J1546" s="18">
        <v>0</v>
      </c>
      <c r="K1546" s="19">
        <v>0</v>
      </c>
      <c r="L1546" s="17"/>
    </row>
    <row r="1547" ht="10.95" customHeight="true" customFormat="true" s="9">
      <c r="A1547" s="16">
        <v>45236</v>
      </c>
      <c r="B1547" s="17" t="s">
        <v>424</v>
      </c>
      <c r="C1547" s="17" t="s">
        <v>425</v>
      </c>
      <c r="D1547" s="17" t="s">
        <v>22</v>
      </c>
      <c r="E1547" s="17" t="s">
        <v>426</v>
      </c>
      <c r="F1547" s="17" t="s">
        <v>476</v>
      </c>
      <c r="G1547" s="18">
        <v>0</v>
      </c>
      <c r="H1547" s="18">
        <v>138.0000</v>
      </c>
      <c r="I1547" s="18">
        <f ca="1">((I1546 + G1547) - H1547)</f>
        <v>0</v>
      </c>
      <c r="J1547" s="18">
        <v>0</v>
      </c>
      <c r="K1547" s="19">
        <v>0</v>
      </c>
      <c r="L1547" s="17"/>
    </row>
    <row r="1548" ht="10.95" customHeight="true" customFormat="true" s="9">
      <c r="A1548" s="16">
        <v>45236</v>
      </c>
      <c r="B1548" s="17" t="s">
        <v>424</v>
      </c>
      <c r="C1548" s="17" t="s">
        <v>425</v>
      </c>
      <c r="D1548" s="17" t="s">
        <v>19</v>
      </c>
      <c r="E1548" s="17" t="s">
        <v>428</v>
      </c>
      <c r="F1548" s="17"/>
      <c r="G1548" s="18">
        <v>5644.6000</v>
      </c>
      <c r="H1548" s="18">
        <v>0</v>
      </c>
      <c r="I1548" s="18">
        <f ca="1">((I1547 + G1548) - H1548)</f>
        <v>0</v>
      </c>
      <c r="J1548" s="18">
        <v>0</v>
      </c>
      <c r="K1548" s="19">
        <v>0</v>
      </c>
      <c r="L1548" s="17"/>
    </row>
    <row r="1549" ht="10.95" customHeight="true" customFormat="true" s="9">
      <c r="A1549" s="16">
        <v>45236</v>
      </c>
      <c r="B1549" s="17" t="s">
        <v>424</v>
      </c>
      <c r="C1549" s="17" t="s">
        <v>425</v>
      </c>
      <c r="D1549" s="17" t="s">
        <v>22</v>
      </c>
      <c r="E1549" s="17" t="s">
        <v>426</v>
      </c>
      <c r="F1549" s="17" t="s">
        <v>476</v>
      </c>
      <c r="G1549" s="18">
        <v>0</v>
      </c>
      <c r="H1549" s="18">
        <v>674.5000</v>
      </c>
      <c r="I1549" s="18">
        <f ca="1">((I1548 + G1549) - H1549)</f>
        <v>0</v>
      </c>
      <c r="J1549" s="18">
        <v>0</v>
      </c>
      <c r="K1549" s="19">
        <v>0</v>
      </c>
      <c r="L1549" s="17"/>
    </row>
    <row r="1550" ht="10.95" customHeight="true" customFormat="true" s="9">
      <c r="A1550" s="16">
        <v>45236</v>
      </c>
      <c r="B1550" s="17" t="s">
        <v>424</v>
      </c>
      <c r="C1550" s="17" t="s">
        <v>425</v>
      </c>
      <c r="D1550" s="17" t="s">
        <v>19</v>
      </c>
      <c r="E1550" s="17" t="s">
        <v>428</v>
      </c>
      <c r="F1550" s="17"/>
      <c r="G1550" s="18">
        <v>3379.7000</v>
      </c>
      <c r="H1550" s="18">
        <v>0</v>
      </c>
      <c r="I1550" s="18">
        <f ca="1">((I1549 + G1550) - H1550)</f>
        <v>0</v>
      </c>
      <c r="J1550" s="18">
        <v>0</v>
      </c>
      <c r="K1550" s="19">
        <v>0</v>
      </c>
      <c r="L1550" s="17"/>
    </row>
    <row r="1551" ht="10.95" customHeight="true" customFormat="true" s="9">
      <c r="A1551" s="16">
        <v>45236</v>
      </c>
      <c r="B1551" s="17" t="s">
        <v>424</v>
      </c>
      <c r="C1551" s="17" t="s">
        <v>425</v>
      </c>
      <c r="D1551" s="17" t="s">
        <v>22</v>
      </c>
      <c r="E1551" s="17" t="s">
        <v>426</v>
      </c>
      <c r="F1551" s="17" t="s">
        <v>476</v>
      </c>
      <c r="G1551" s="18">
        <v>0</v>
      </c>
      <c r="H1551" s="18">
        <v>2000.0000</v>
      </c>
      <c r="I1551" s="18">
        <f ca="1">((I1550 + G1551) - H1551)</f>
        <v>0</v>
      </c>
      <c r="J1551" s="18">
        <v>0</v>
      </c>
      <c r="K1551" s="19">
        <v>0</v>
      </c>
      <c r="L1551" s="17"/>
    </row>
    <row r="1552" ht="10.95" customHeight="true" customFormat="true" s="9">
      <c r="A1552" s="16">
        <v>45236</v>
      </c>
      <c r="B1552" s="17" t="s">
        <v>424</v>
      </c>
      <c r="C1552" s="17" t="s">
        <v>425</v>
      </c>
      <c r="D1552" s="17" t="s">
        <v>22</v>
      </c>
      <c r="E1552" s="17" t="s">
        <v>34</v>
      </c>
      <c r="F1552" s="17"/>
      <c r="G1552" s="18">
        <v>0</v>
      </c>
      <c r="H1552" s="18">
        <v>2500.0000</v>
      </c>
      <c r="I1552" s="18">
        <f ca="1">((I1551 + G1552) - H1552)</f>
        <v>0</v>
      </c>
      <c r="J1552" s="18">
        <v>0</v>
      </c>
      <c r="K1552" s="19">
        <v>0</v>
      </c>
      <c r="L1552" s="17"/>
    </row>
    <row r="1553" ht="10.95" customHeight="true" customFormat="true" s="9">
      <c r="A1553" s="16">
        <v>45236</v>
      </c>
      <c r="B1553" s="17" t="s">
        <v>424</v>
      </c>
      <c r="C1553" s="17" t="s">
        <v>425</v>
      </c>
      <c r="D1553" s="17" t="s">
        <v>22</v>
      </c>
      <c r="E1553" s="17" t="s">
        <v>431</v>
      </c>
      <c r="F1553" s="17"/>
      <c r="G1553" s="18">
        <v>0</v>
      </c>
      <c r="H1553" s="18">
        <v>79.9800</v>
      </c>
      <c r="I1553" s="18">
        <f ca="1">((I1552 + G1553) - H1553)</f>
        <v>0</v>
      </c>
      <c r="J1553" s="18">
        <v>0</v>
      </c>
      <c r="K1553" s="19">
        <v>0</v>
      </c>
      <c r="L1553" s="17"/>
    </row>
    <row r="1554" ht="10.95" customHeight="true" customFormat="true" s="9">
      <c r="A1554" s="16">
        <v>45238</v>
      </c>
      <c r="B1554" s="17" t="s">
        <v>424</v>
      </c>
      <c r="C1554" s="17" t="s">
        <v>425</v>
      </c>
      <c r="D1554" s="17" t="s">
        <v>19</v>
      </c>
      <c r="E1554" s="17" t="s">
        <v>428</v>
      </c>
      <c r="F1554" s="17"/>
      <c r="G1554" s="18">
        <v>2925.8000</v>
      </c>
      <c r="H1554" s="18">
        <v>0</v>
      </c>
      <c r="I1554" s="18">
        <f ca="1">((I1553 + G1554) - H1554)</f>
        <v>0</v>
      </c>
      <c r="J1554" s="18">
        <v>0</v>
      </c>
      <c r="K1554" s="19">
        <v>0</v>
      </c>
      <c r="L1554" s="17"/>
    </row>
    <row r="1555" ht="10.95" customHeight="true" customFormat="true" s="9">
      <c r="A1555" s="16">
        <v>45239</v>
      </c>
      <c r="B1555" s="17" t="s">
        <v>424</v>
      </c>
      <c r="C1555" s="17" t="s">
        <v>425</v>
      </c>
      <c r="D1555" s="17" t="s">
        <v>19</v>
      </c>
      <c r="E1555" s="17" t="s">
        <v>428</v>
      </c>
      <c r="F1555" s="17"/>
      <c r="G1555" s="18">
        <v>2251.2000</v>
      </c>
      <c r="H1555" s="18">
        <v>0</v>
      </c>
      <c r="I1555" s="18">
        <f ca="1">((I1554 + G1555) - H1555)</f>
        <v>0</v>
      </c>
      <c r="J1555" s="18">
        <v>0</v>
      </c>
      <c r="K1555" s="19">
        <v>0</v>
      </c>
      <c r="L1555" s="17"/>
    </row>
    <row r="1556" ht="10.95" customHeight="true" customFormat="true" s="9">
      <c r="A1556" s="16">
        <v>45240</v>
      </c>
      <c r="B1556" s="17" t="s">
        <v>424</v>
      </c>
      <c r="C1556" s="17" t="s">
        <v>425</v>
      </c>
      <c r="D1556" s="17" t="s">
        <v>19</v>
      </c>
      <c r="E1556" s="17" t="s">
        <v>428</v>
      </c>
      <c r="F1556" s="17"/>
      <c r="G1556" s="18">
        <v>2337.4000</v>
      </c>
      <c r="H1556" s="18">
        <v>0</v>
      </c>
      <c r="I1556" s="18">
        <f ca="1">((I1555 + G1556) - H1556)</f>
        <v>0</v>
      </c>
      <c r="J1556" s="18">
        <v>0</v>
      </c>
      <c r="K1556" s="19">
        <v>0</v>
      </c>
      <c r="L1556" s="17"/>
    </row>
    <row r="1557" ht="10.95" customHeight="true" customFormat="true" s="9">
      <c r="A1557" s="16">
        <v>45243</v>
      </c>
      <c r="B1557" s="17" t="s">
        <v>424</v>
      </c>
      <c r="C1557" s="17" t="s">
        <v>425</v>
      </c>
      <c r="D1557" s="17" t="s">
        <v>22</v>
      </c>
      <c r="E1557" s="17" t="s">
        <v>426</v>
      </c>
      <c r="F1557" s="17" t="s">
        <v>477</v>
      </c>
      <c r="G1557" s="18">
        <v>0</v>
      </c>
      <c r="H1557" s="18">
        <v>734.8300</v>
      </c>
      <c r="I1557" s="18">
        <f ca="1">((I1556 + G1557) - H1557)</f>
        <v>0</v>
      </c>
      <c r="J1557" s="18">
        <v>0</v>
      </c>
      <c r="K1557" s="19">
        <v>0</v>
      </c>
      <c r="L1557" s="17"/>
    </row>
    <row r="1558" ht="10.95" customHeight="true" customFormat="true" s="9">
      <c r="A1558" s="16">
        <v>45243</v>
      </c>
      <c r="B1558" s="17" t="s">
        <v>424</v>
      </c>
      <c r="C1558" s="17" t="s">
        <v>425</v>
      </c>
      <c r="D1558" s="17" t="s">
        <v>22</v>
      </c>
      <c r="E1558" s="17" t="s">
        <v>426</v>
      </c>
      <c r="F1558" s="17" t="s">
        <v>477</v>
      </c>
      <c r="G1558" s="18">
        <v>0</v>
      </c>
      <c r="H1558" s="18">
        <v>674.5000</v>
      </c>
      <c r="I1558" s="18">
        <f ca="1">((I1557 + G1558) - H1558)</f>
        <v>0</v>
      </c>
      <c r="J1558" s="18">
        <v>0</v>
      </c>
      <c r="K1558" s="19">
        <v>0</v>
      </c>
      <c r="L1558" s="17"/>
    </row>
    <row r="1559" ht="10.95" customHeight="true" customFormat="true" s="9">
      <c r="A1559" s="16">
        <v>45243</v>
      </c>
      <c r="B1559" s="17" t="s">
        <v>424</v>
      </c>
      <c r="C1559" s="17" t="s">
        <v>425</v>
      </c>
      <c r="D1559" s="17" t="s">
        <v>22</v>
      </c>
      <c r="E1559" s="17" t="s">
        <v>426</v>
      </c>
      <c r="F1559" s="17" t="s">
        <v>477</v>
      </c>
      <c r="G1559" s="18">
        <v>0</v>
      </c>
      <c r="H1559" s="18">
        <v>2000.0000</v>
      </c>
      <c r="I1559" s="18">
        <f ca="1">((I1558 + G1559) - H1559)</f>
        <v>0</v>
      </c>
      <c r="J1559" s="18">
        <v>0</v>
      </c>
      <c r="K1559" s="19">
        <v>0</v>
      </c>
      <c r="L1559" s="17"/>
    </row>
    <row r="1560" ht="10.95" customHeight="true" customFormat="true" s="9">
      <c r="A1560" s="16">
        <v>45243</v>
      </c>
      <c r="B1560" s="17" t="s">
        <v>424</v>
      </c>
      <c r="C1560" s="17" t="s">
        <v>425</v>
      </c>
      <c r="D1560" s="17" t="s">
        <v>19</v>
      </c>
      <c r="E1560" s="17" t="s">
        <v>428</v>
      </c>
      <c r="F1560" s="17"/>
      <c r="G1560" s="18">
        <v>5996.5000</v>
      </c>
      <c r="H1560" s="18">
        <v>0</v>
      </c>
      <c r="I1560" s="18">
        <f ca="1">((I1559 + G1560) - H1560)</f>
        <v>0</v>
      </c>
      <c r="J1560" s="18">
        <v>0</v>
      </c>
      <c r="K1560" s="19">
        <v>0</v>
      </c>
      <c r="L1560" s="17"/>
    </row>
    <row r="1561" ht="10.95" customHeight="true" customFormat="true" s="9">
      <c r="A1561" s="16">
        <v>45243</v>
      </c>
      <c r="B1561" s="17" t="s">
        <v>424</v>
      </c>
      <c r="C1561" s="17" t="s">
        <v>425</v>
      </c>
      <c r="D1561" s="17" t="s">
        <v>22</v>
      </c>
      <c r="E1561" s="17" t="s">
        <v>459</v>
      </c>
      <c r="F1561" s="17"/>
      <c r="G1561" s="18">
        <v>0</v>
      </c>
      <c r="H1561" s="18">
        <v>327.5300</v>
      </c>
      <c r="I1561" s="18">
        <f ca="1">((I1560 + G1561) - H1561)</f>
        <v>0</v>
      </c>
      <c r="J1561" s="18">
        <v>0</v>
      </c>
      <c r="K1561" s="19">
        <v>0</v>
      </c>
      <c r="L1561" s="17"/>
    </row>
    <row r="1562" ht="10.95" customHeight="true" customFormat="true" s="9">
      <c r="A1562" s="16">
        <v>45243</v>
      </c>
      <c r="B1562" s="17" t="s">
        <v>424</v>
      </c>
      <c r="C1562" s="17" t="s">
        <v>425</v>
      </c>
      <c r="D1562" s="17" t="s">
        <v>22</v>
      </c>
      <c r="E1562" s="17" t="s">
        <v>298</v>
      </c>
      <c r="F1562" s="17"/>
      <c r="G1562" s="18">
        <v>0</v>
      </c>
      <c r="H1562" s="18">
        <v>5983.9500</v>
      </c>
      <c r="I1562" s="18">
        <f ca="1">((I1561 + G1562) - H1562)</f>
        <v>0</v>
      </c>
      <c r="J1562" s="18">
        <v>0</v>
      </c>
      <c r="K1562" s="19">
        <v>0</v>
      </c>
      <c r="L1562" s="17"/>
    </row>
    <row r="1563" ht="10.95" customHeight="true" customFormat="true" s="9">
      <c r="A1563" s="16">
        <v>45243</v>
      </c>
      <c r="B1563" s="17" t="s">
        <v>424</v>
      </c>
      <c r="C1563" s="17" t="s">
        <v>425</v>
      </c>
      <c r="D1563" s="17" t="s">
        <v>22</v>
      </c>
      <c r="E1563" s="17" t="s">
        <v>430</v>
      </c>
      <c r="F1563" s="17"/>
      <c r="G1563" s="18">
        <v>0</v>
      </c>
      <c r="H1563" s="18">
        <v>2409.2400</v>
      </c>
      <c r="I1563" s="18">
        <f ca="1">((I1562 + G1563) - H1563)</f>
        <v>0</v>
      </c>
      <c r="J1563" s="18">
        <v>0</v>
      </c>
      <c r="K1563" s="19">
        <v>0</v>
      </c>
      <c r="L1563" s="17"/>
    </row>
    <row r="1564" ht="10.95" customHeight="true" customFormat="true" s="9">
      <c r="A1564" s="16">
        <v>45243</v>
      </c>
      <c r="B1564" s="17" t="s">
        <v>424</v>
      </c>
      <c r="C1564" s="17" t="s">
        <v>425</v>
      </c>
      <c r="D1564" s="17" t="s">
        <v>22</v>
      </c>
      <c r="E1564" s="17" t="s">
        <v>426</v>
      </c>
      <c r="F1564" s="17" t="s">
        <v>477</v>
      </c>
      <c r="G1564" s="18">
        <v>0</v>
      </c>
      <c r="H1564" s="18">
        <v>1342.9000</v>
      </c>
      <c r="I1564" s="18">
        <f ca="1">((I1563 + G1564) - H1564)</f>
        <v>0</v>
      </c>
      <c r="J1564" s="18">
        <v>0</v>
      </c>
      <c r="K1564" s="19">
        <v>0</v>
      </c>
      <c r="L1564" s="17"/>
    </row>
    <row r="1565" ht="10.95" customHeight="true" customFormat="true" s="9">
      <c r="A1565" s="16">
        <v>45243</v>
      </c>
      <c r="B1565" s="17" t="s">
        <v>424</v>
      </c>
      <c r="C1565" s="17" t="s">
        <v>425</v>
      </c>
      <c r="D1565" s="17" t="s">
        <v>19</v>
      </c>
      <c r="E1565" s="17" t="s">
        <v>428</v>
      </c>
      <c r="F1565" s="17"/>
      <c r="G1565" s="18">
        <v>2772.0300</v>
      </c>
      <c r="H1565" s="18">
        <v>0</v>
      </c>
      <c r="I1565" s="18">
        <f ca="1">((I1564 + G1565) - H1565)</f>
        <v>0</v>
      </c>
      <c r="J1565" s="18">
        <v>0</v>
      </c>
      <c r="K1565" s="19">
        <v>0</v>
      </c>
      <c r="L1565" s="17"/>
    </row>
    <row r="1566" ht="10.95" customHeight="true" customFormat="true" s="9">
      <c r="A1566" s="16">
        <v>45243</v>
      </c>
      <c r="B1566" s="17" t="s">
        <v>424</v>
      </c>
      <c r="C1566" s="17" t="s">
        <v>425</v>
      </c>
      <c r="D1566" s="17" t="s">
        <v>22</v>
      </c>
      <c r="E1566" s="17" t="s">
        <v>426</v>
      </c>
      <c r="F1566" s="17" t="s">
        <v>477</v>
      </c>
      <c r="G1566" s="18">
        <v>0</v>
      </c>
      <c r="H1566" s="18">
        <v>69.0000</v>
      </c>
      <c r="I1566" s="18">
        <f ca="1">((I1565 + G1566) - H1566)</f>
        <v>0</v>
      </c>
      <c r="J1566" s="18">
        <v>0</v>
      </c>
      <c r="K1566" s="19">
        <v>0</v>
      </c>
      <c r="L1566" s="17"/>
    </row>
    <row r="1567" ht="10.95" customHeight="true" customFormat="true" s="9">
      <c r="A1567" s="16">
        <v>45243</v>
      </c>
      <c r="B1567" s="17" t="s">
        <v>424</v>
      </c>
      <c r="C1567" s="17" t="s">
        <v>425</v>
      </c>
      <c r="D1567" s="17" t="s">
        <v>22</v>
      </c>
      <c r="E1567" s="17" t="s">
        <v>426</v>
      </c>
      <c r="F1567" s="17" t="s">
        <v>477</v>
      </c>
      <c r="G1567" s="18">
        <v>0</v>
      </c>
      <c r="H1567" s="18">
        <v>63.0000</v>
      </c>
      <c r="I1567" s="18">
        <f ca="1">((I1566 + G1567) - H1567)</f>
        <v>0</v>
      </c>
      <c r="J1567" s="18">
        <v>0</v>
      </c>
      <c r="K1567" s="19">
        <v>0</v>
      </c>
      <c r="L1567" s="17"/>
    </row>
    <row r="1568" ht="10.95" customHeight="true" customFormat="true" s="9">
      <c r="A1568" s="16">
        <v>45243</v>
      </c>
      <c r="B1568" s="17" t="s">
        <v>424</v>
      </c>
      <c r="C1568" s="17" t="s">
        <v>425</v>
      </c>
      <c r="D1568" s="17" t="s">
        <v>22</v>
      </c>
      <c r="E1568" s="17" t="s">
        <v>426</v>
      </c>
      <c r="F1568" s="17" t="s">
        <v>477</v>
      </c>
      <c r="G1568" s="18">
        <v>0</v>
      </c>
      <c r="H1568" s="18">
        <v>487.0000</v>
      </c>
      <c r="I1568" s="18">
        <f ca="1">((I1567 + G1568) - H1568)</f>
        <v>0</v>
      </c>
      <c r="J1568" s="18">
        <v>0</v>
      </c>
      <c r="K1568" s="19">
        <v>0</v>
      </c>
      <c r="L1568" s="17"/>
    </row>
    <row r="1569" ht="10.95" customHeight="true" customFormat="true" s="9">
      <c r="A1569" s="16">
        <v>45243</v>
      </c>
      <c r="B1569" s="17" t="s">
        <v>424</v>
      </c>
      <c r="C1569" s="17" t="s">
        <v>425</v>
      </c>
      <c r="D1569" s="17" t="s">
        <v>22</v>
      </c>
      <c r="E1569" s="17" t="s">
        <v>430</v>
      </c>
      <c r="F1569" s="17"/>
      <c r="G1569" s="18">
        <v>0</v>
      </c>
      <c r="H1569" s="18">
        <v>1913.9300</v>
      </c>
      <c r="I1569" s="18">
        <f ca="1">((I1568 + G1569) - H1569)</f>
        <v>0</v>
      </c>
      <c r="J1569" s="18">
        <v>0</v>
      </c>
      <c r="K1569" s="19">
        <v>0</v>
      </c>
      <c r="L1569" s="17"/>
    </row>
    <row r="1570" ht="10.95" customHeight="true" customFormat="true" s="9">
      <c r="A1570" s="16">
        <v>45243</v>
      </c>
      <c r="B1570" s="17" t="s">
        <v>424</v>
      </c>
      <c r="C1570" s="17" t="s">
        <v>425</v>
      </c>
      <c r="D1570" s="17" t="s">
        <v>19</v>
      </c>
      <c r="E1570" s="17" t="s">
        <v>24</v>
      </c>
      <c r="F1570" s="17"/>
      <c r="G1570" s="18">
        <v>250.0000</v>
      </c>
      <c r="H1570" s="18">
        <v>0</v>
      </c>
      <c r="I1570" s="18">
        <f ca="1">((I1569 + G1570) - H1570)</f>
        <v>0</v>
      </c>
      <c r="J1570" s="18">
        <v>0</v>
      </c>
      <c r="K1570" s="19">
        <v>0</v>
      </c>
      <c r="L1570" s="17"/>
    </row>
    <row r="1571" ht="10.95" customHeight="true" customFormat="true" s="9">
      <c r="A1571" s="16">
        <v>45243</v>
      </c>
      <c r="B1571" s="17" t="s">
        <v>424</v>
      </c>
      <c r="C1571" s="17" t="s">
        <v>425</v>
      </c>
      <c r="D1571" s="17" t="s">
        <v>19</v>
      </c>
      <c r="E1571" s="17" t="s">
        <v>428</v>
      </c>
      <c r="F1571" s="17"/>
      <c r="G1571" s="18">
        <v>5303.4000</v>
      </c>
      <c r="H1571" s="18">
        <v>0</v>
      </c>
      <c r="I1571" s="18">
        <f ca="1">((I1570 + G1571) - H1571)</f>
        <v>0</v>
      </c>
      <c r="J1571" s="18">
        <v>0</v>
      </c>
      <c r="K1571" s="19">
        <v>0</v>
      </c>
      <c r="L1571" s="17"/>
    </row>
    <row r="1572" ht="10.95" customHeight="true" customFormat="true" s="9">
      <c r="A1572" s="16">
        <v>45243</v>
      </c>
      <c r="B1572" s="17" t="s">
        <v>424</v>
      </c>
      <c r="C1572" s="17" t="s">
        <v>425</v>
      </c>
      <c r="D1572" s="17" t="s">
        <v>22</v>
      </c>
      <c r="E1572" s="17" t="s">
        <v>34</v>
      </c>
      <c r="F1572" s="17"/>
      <c r="G1572" s="18">
        <v>0</v>
      </c>
      <c r="H1572" s="18">
        <v>2107.8800</v>
      </c>
      <c r="I1572" s="18">
        <f ca="1">((I1571 + G1572) - H1572)</f>
        <v>0</v>
      </c>
      <c r="J1572" s="18">
        <v>0</v>
      </c>
      <c r="K1572" s="19">
        <v>0</v>
      </c>
      <c r="L1572" s="17"/>
    </row>
    <row r="1573" ht="10.95" customHeight="true" customFormat="true" s="9">
      <c r="A1573" s="16">
        <v>45244</v>
      </c>
      <c r="B1573" s="17" t="s">
        <v>424</v>
      </c>
      <c r="C1573" s="17" t="s">
        <v>425</v>
      </c>
      <c r="D1573" s="17" t="s">
        <v>22</v>
      </c>
      <c r="E1573" s="17" t="s">
        <v>430</v>
      </c>
      <c r="F1573" s="17"/>
      <c r="G1573" s="18">
        <v>0</v>
      </c>
      <c r="H1573" s="18">
        <v>1493.2900</v>
      </c>
      <c r="I1573" s="18">
        <f ca="1">((I1572 + G1573) - H1573)</f>
        <v>0</v>
      </c>
      <c r="J1573" s="18">
        <v>0</v>
      </c>
      <c r="K1573" s="19">
        <v>0</v>
      </c>
      <c r="L1573" s="17"/>
    </row>
    <row r="1574" ht="10.95" customHeight="true" customFormat="true" s="9">
      <c r="A1574" s="16">
        <v>45244</v>
      </c>
      <c r="B1574" s="17" t="s">
        <v>424</v>
      </c>
      <c r="C1574" s="17" t="s">
        <v>425</v>
      </c>
      <c r="D1574" s="17" t="s">
        <v>22</v>
      </c>
      <c r="E1574" s="17" t="s">
        <v>452</v>
      </c>
      <c r="F1574" s="17"/>
      <c r="G1574" s="18">
        <v>0</v>
      </c>
      <c r="H1574" s="18">
        <v>264.0000</v>
      </c>
      <c r="I1574" s="18">
        <f ca="1">((I1573 + G1574) - H1574)</f>
        <v>0</v>
      </c>
      <c r="J1574" s="18">
        <v>0</v>
      </c>
      <c r="K1574" s="19">
        <v>0</v>
      </c>
      <c r="L1574" s="17"/>
    </row>
    <row r="1575" ht="10.95" customHeight="true" customFormat="true" s="9">
      <c r="A1575" s="16">
        <v>45245</v>
      </c>
      <c r="B1575" s="17" t="s">
        <v>424</v>
      </c>
      <c r="C1575" s="17" t="s">
        <v>425</v>
      </c>
      <c r="D1575" s="17" t="s">
        <v>22</v>
      </c>
      <c r="E1575" s="17" t="s">
        <v>478</v>
      </c>
      <c r="F1575" s="17"/>
      <c r="G1575" s="18">
        <v>0</v>
      </c>
      <c r="H1575" s="18">
        <v>324.8000</v>
      </c>
      <c r="I1575" s="18">
        <f ca="1">((I1574 + G1575) - H1575)</f>
        <v>0</v>
      </c>
      <c r="J1575" s="18">
        <v>0</v>
      </c>
      <c r="K1575" s="19">
        <v>0</v>
      </c>
      <c r="L1575" s="17"/>
    </row>
    <row r="1576" ht="10.95" customHeight="true" customFormat="true" s="9">
      <c r="A1576" s="16">
        <v>45245</v>
      </c>
      <c r="B1576" s="17" t="s">
        <v>424</v>
      </c>
      <c r="C1576" s="17" t="s">
        <v>425</v>
      </c>
      <c r="D1576" s="17" t="s">
        <v>19</v>
      </c>
      <c r="E1576" s="17" t="s">
        <v>428</v>
      </c>
      <c r="F1576" s="17"/>
      <c r="G1576" s="18">
        <v>2223.4500</v>
      </c>
      <c r="H1576" s="18">
        <v>0</v>
      </c>
      <c r="I1576" s="18">
        <f ca="1">((I1575 + G1576) - H1576)</f>
        <v>0</v>
      </c>
      <c r="J1576" s="18">
        <v>0</v>
      </c>
      <c r="K1576" s="19">
        <v>0</v>
      </c>
      <c r="L1576" s="17"/>
    </row>
    <row r="1577" ht="10.95" customHeight="true" customFormat="true" s="9">
      <c r="A1577" s="16">
        <v>45245</v>
      </c>
      <c r="B1577" s="17" t="s">
        <v>424</v>
      </c>
      <c r="C1577" s="17" t="s">
        <v>425</v>
      </c>
      <c r="D1577" s="17" t="s">
        <v>22</v>
      </c>
      <c r="E1577" s="17" t="s">
        <v>433</v>
      </c>
      <c r="F1577" s="17"/>
      <c r="G1577" s="18">
        <v>0</v>
      </c>
      <c r="H1577" s="18">
        <v>728.8200</v>
      </c>
      <c r="I1577" s="18">
        <f ca="1">((I1576 + G1577) - H1577)</f>
        <v>0</v>
      </c>
      <c r="J1577" s="18">
        <v>0</v>
      </c>
      <c r="K1577" s="19">
        <v>0</v>
      </c>
      <c r="L1577" s="17"/>
    </row>
    <row r="1578" ht="10.95" customHeight="true" customFormat="true" s="9">
      <c r="A1578" s="16">
        <v>45246</v>
      </c>
      <c r="B1578" s="17" t="s">
        <v>424</v>
      </c>
      <c r="C1578" s="17" t="s">
        <v>425</v>
      </c>
      <c r="D1578" s="17" t="s">
        <v>19</v>
      </c>
      <c r="E1578" s="17" t="s">
        <v>428</v>
      </c>
      <c r="F1578" s="17"/>
      <c r="G1578" s="18">
        <v>3254.9000</v>
      </c>
      <c r="H1578" s="18">
        <v>0</v>
      </c>
      <c r="I1578" s="18">
        <f ca="1">((I1577 + G1578) - H1578)</f>
        <v>0</v>
      </c>
      <c r="J1578" s="18">
        <v>0</v>
      </c>
      <c r="K1578" s="19">
        <v>0</v>
      </c>
      <c r="L1578" s="17"/>
    </row>
    <row r="1579" ht="10.95" customHeight="true" customFormat="true" s="9">
      <c r="A1579" s="16">
        <v>45247</v>
      </c>
      <c r="B1579" s="17" t="s">
        <v>424</v>
      </c>
      <c r="C1579" s="17" t="s">
        <v>425</v>
      </c>
      <c r="D1579" s="17" t="s">
        <v>22</v>
      </c>
      <c r="E1579" s="17" t="s">
        <v>479</v>
      </c>
      <c r="F1579" s="17"/>
      <c r="G1579" s="18">
        <v>0</v>
      </c>
      <c r="H1579" s="18">
        <v>20.2000</v>
      </c>
      <c r="I1579" s="18">
        <f ca="1">((I1578 + G1579) - H1579)</f>
        <v>0</v>
      </c>
      <c r="J1579" s="18">
        <v>0</v>
      </c>
      <c r="K1579" s="19">
        <v>0</v>
      </c>
      <c r="L1579" s="17"/>
    </row>
    <row r="1580" ht="10.95" customHeight="true" customFormat="true" s="9">
      <c r="A1580" s="16">
        <v>45247</v>
      </c>
      <c r="B1580" s="17" t="s">
        <v>424</v>
      </c>
      <c r="C1580" s="17" t="s">
        <v>425</v>
      </c>
      <c r="D1580" s="17" t="s">
        <v>22</v>
      </c>
      <c r="E1580" s="17" t="s">
        <v>430</v>
      </c>
      <c r="F1580" s="17"/>
      <c r="G1580" s="18">
        <v>0</v>
      </c>
      <c r="H1580" s="18">
        <v>1679.6500</v>
      </c>
      <c r="I1580" s="18">
        <f ca="1">((I1579 + G1580) - H1580)</f>
        <v>0</v>
      </c>
      <c r="J1580" s="18">
        <v>0</v>
      </c>
      <c r="K1580" s="19">
        <v>0</v>
      </c>
      <c r="L1580" s="17"/>
    </row>
    <row r="1581" ht="10.95" customHeight="true" customFormat="true" s="9">
      <c r="A1581" s="16">
        <v>45247</v>
      </c>
      <c r="B1581" s="17" t="s">
        <v>424</v>
      </c>
      <c r="C1581" s="17" t="s">
        <v>425</v>
      </c>
      <c r="D1581" s="17" t="s">
        <v>19</v>
      </c>
      <c r="E1581" s="17" t="s">
        <v>428</v>
      </c>
      <c r="F1581" s="17"/>
      <c r="G1581" s="18">
        <v>2199.4500</v>
      </c>
      <c r="H1581" s="18">
        <v>0</v>
      </c>
      <c r="I1581" s="18">
        <f ca="1">((I1580 + G1581) - H1581)</f>
        <v>0</v>
      </c>
      <c r="J1581" s="18">
        <v>0</v>
      </c>
      <c r="K1581" s="19">
        <v>0</v>
      </c>
      <c r="L1581" s="17"/>
    </row>
    <row r="1582" ht="10.95" customHeight="true" customFormat="true" s="9">
      <c r="A1582" s="16">
        <v>45247</v>
      </c>
      <c r="B1582" s="17" t="s">
        <v>424</v>
      </c>
      <c r="C1582" s="17" t="s">
        <v>425</v>
      </c>
      <c r="D1582" s="17" t="s">
        <v>22</v>
      </c>
      <c r="E1582" s="17" t="s">
        <v>436</v>
      </c>
      <c r="F1582" s="17"/>
      <c r="G1582" s="18">
        <v>0</v>
      </c>
      <c r="H1582" s="18">
        <v>108.0000</v>
      </c>
      <c r="I1582" s="18">
        <f ca="1">((I1581 + G1582) - H1582)</f>
        <v>0</v>
      </c>
      <c r="J1582" s="18">
        <v>0</v>
      </c>
      <c r="K1582" s="19">
        <v>0</v>
      </c>
      <c r="L1582" s="17"/>
    </row>
    <row r="1583" ht="10.95" customHeight="true" customFormat="true" s="9">
      <c r="A1583" s="16">
        <v>45250</v>
      </c>
      <c r="B1583" s="17" t="s">
        <v>424</v>
      </c>
      <c r="C1583" s="17" t="s">
        <v>425</v>
      </c>
      <c r="D1583" s="17" t="s">
        <v>22</v>
      </c>
      <c r="E1583" s="17" t="s">
        <v>426</v>
      </c>
      <c r="F1583" s="17" t="s">
        <v>480</v>
      </c>
      <c r="G1583" s="18">
        <v>0</v>
      </c>
      <c r="H1583" s="18">
        <v>1342.9000</v>
      </c>
      <c r="I1583" s="18">
        <f ca="1">((I1582 + G1583) - H1583)</f>
        <v>0</v>
      </c>
      <c r="J1583" s="18">
        <v>0</v>
      </c>
      <c r="K1583" s="19">
        <v>0</v>
      </c>
      <c r="L1583" s="17"/>
    </row>
    <row r="1584" ht="10.95" customHeight="true" customFormat="true" s="9">
      <c r="A1584" s="16">
        <v>45250</v>
      </c>
      <c r="B1584" s="17" t="s">
        <v>424</v>
      </c>
      <c r="C1584" s="17" t="s">
        <v>425</v>
      </c>
      <c r="D1584" s="17" t="s">
        <v>22</v>
      </c>
      <c r="E1584" s="17" t="s">
        <v>426</v>
      </c>
      <c r="F1584" s="17" t="s">
        <v>480</v>
      </c>
      <c r="G1584" s="18">
        <v>0</v>
      </c>
      <c r="H1584" s="18">
        <v>674.5000</v>
      </c>
      <c r="I1584" s="18">
        <f ca="1">((I1583 + G1584) - H1584)</f>
        <v>0</v>
      </c>
      <c r="J1584" s="18">
        <v>0</v>
      </c>
      <c r="K1584" s="19">
        <v>0</v>
      </c>
      <c r="L1584" s="17"/>
    </row>
    <row r="1585" ht="10.95" customHeight="true" customFormat="true" s="9">
      <c r="A1585" s="16">
        <v>45250</v>
      </c>
      <c r="B1585" s="17" t="s">
        <v>424</v>
      </c>
      <c r="C1585" s="17" t="s">
        <v>425</v>
      </c>
      <c r="D1585" s="17" t="s">
        <v>22</v>
      </c>
      <c r="E1585" s="17" t="s">
        <v>34</v>
      </c>
      <c r="F1585" s="17"/>
      <c r="G1585" s="18">
        <v>0</v>
      </c>
      <c r="H1585" s="18">
        <v>2297.1900</v>
      </c>
      <c r="I1585" s="18">
        <f ca="1">((I1584 + G1585) - H1585)</f>
        <v>0</v>
      </c>
      <c r="J1585" s="18">
        <v>0</v>
      </c>
      <c r="K1585" s="19">
        <v>0</v>
      </c>
      <c r="L1585" s="17"/>
    </row>
    <row r="1586" ht="10.95" customHeight="true" customFormat="true" s="9">
      <c r="A1586" s="16">
        <v>45250</v>
      </c>
      <c r="B1586" s="17" t="s">
        <v>424</v>
      </c>
      <c r="C1586" s="17" t="s">
        <v>425</v>
      </c>
      <c r="D1586" s="17" t="s">
        <v>22</v>
      </c>
      <c r="E1586" s="17" t="s">
        <v>426</v>
      </c>
      <c r="F1586" s="17" t="s">
        <v>480</v>
      </c>
      <c r="G1586" s="18">
        <v>0</v>
      </c>
      <c r="H1586" s="18">
        <v>63.0000</v>
      </c>
      <c r="I1586" s="18">
        <f ca="1">((I1585 + G1586) - H1586)</f>
        <v>0</v>
      </c>
      <c r="J1586" s="18">
        <v>0</v>
      </c>
      <c r="K1586" s="19">
        <v>0</v>
      </c>
      <c r="L1586" s="17"/>
    </row>
    <row r="1587" ht="10.95" customHeight="true" customFormat="true" s="9">
      <c r="A1587" s="16">
        <v>45250</v>
      </c>
      <c r="B1587" s="17" t="s">
        <v>424</v>
      </c>
      <c r="C1587" s="17" t="s">
        <v>425</v>
      </c>
      <c r="D1587" s="17" t="s">
        <v>19</v>
      </c>
      <c r="E1587" s="17" t="s">
        <v>428</v>
      </c>
      <c r="F1587" s="17"/>
      <c r="G1587" s="18">
        <v>5625.0000</v>
      </c>
      <c r="H1587" s="18">
        <v>0</v>
      </c>
      <c r="I1587" s="18">
        <f ca="1">((I1586 + G1587) - H1587)</f>
        <v>0</v>
      </c>
      <c r="J1587" s="18">
        <v>0</v>
      </c>
      <c r="K1587" s="19">
        <v>0</v>
      </c>
      <c r="L1587" s="17"/>
    </row>
    <row r="1588" ht="10.95" customHeight="true" customFormat="true" s="9">
      <c r="A1588" s="16">
        <v>45250</v>
      </c>
      <c r="B1588" s="17" t="s">
        <v>424</v>
      </c>
      <c r="C1588" s="17" t="s">
        <v>425</v>
      </c>
      <c r="D1588" s="17" t="s">
        <v>19</v>
      </c>
      <c r="E1588" s="17" t="s">
        <v>428</v>
      </c>
      <c r="F1588" s="17"/>
      <c r="G1588" s="18">
        <v>5657.8000</v>
      </c>
      <c r="H1588" s="18">
        <v>0</v>
      </c>
      <c r="I1588" s="18">
        <f ca="1">((I1587 + G1588) - H1588)</f>
        <v>0</v>
      </c>
      <c r="J1588" s="18">
        <v>0</v>
      </c>
      <c r="K1588" s="19">
        <v>0</v>
      </c>
      <c r="L1588" s="17"/>
    </row>
    <row r="1589" ht="10.95" customHeight="true" customFormat="true" s="9">
      <c r="A1589" s="16">
        <v>45250</v>
      </c>
      <c r="B1589" s="17" t="s">
        <v>424</v>
      </c>
      <c r="C1589" s="17" t="s">
        <v>425</v>
      </c>
      <c r="D1589" s="17" t="s">
        <v>22</v>
      </c>
      <c r="E1589" s="17" t="s">
        <v>431</v>
      </c>
      <c r="F1589" s="17"/>
      <c r="G1589" s="18">
        <v>0</v>
      </c>
      <c r="H1589" s="18">
        <v>65.0000</v>
      </c>
      <c r="I1589" s="18">
        <f ca="1">((I1588 + G1589) - H1589)</f>
        <v>0</v>
      </c>
      <c r="J1589" s="18">
        <v>0</v>
      </c>
      <c r="K1589" s="19">
        <v>0</v>
      </c>
      <c r="L1589" s="17"/>
    </row>
    <row r="1590" ht="10.95" customHeight="true" customFormat="true" s="9">
      <c r="A1590" s="16">
        <v>45250</v>
      </c>
      <c r="B1590" s="17" t="s">
        <v>424</v>
      </c>
      <c r="C1590" s="17" t="s">
        <v>425</v>
      </c>
      <c r="D1590" s="17" t="s">
        <v>19</v>
      </c>
      <c r="E1590" s="17" t="s">
        <v>24</v>
      </c>
      <c r="F1590" s="17"/>
      <c r="G1590" s="18">
        <v>200.0000</v>
      </c>
      <c r="H1590" s="18">
        <v>0</v>
      </c>
      <c r="I1590" s="18">
        <f ca="1">((I1589 + G1590) - H1590)</f>
        <v>0</v>
      </c>
      <c r="J1590" s="18">
        <v>0</v>
      </c>
      <c r="K1590" s="19">
        <v>0</v>
      </c>
      <c r="L1590" s="17"/>
    </row>
    <row r="1591" ht="10.95" customHeight="true" customFormat="true" s="9">
      <c r="A1591" s="16">
        <v>45250</v>
      </c>
      <c r="B1591" s="17" t="s">
        <v>424</v>
      </c>
      <c r="C1591" s="17" t="s">
        <v>425</v>
      </c>
      <c r="D1591" s="17" t="s">
        <v>22</v>
      </c>
      <c r="E1591" s="17" t="s">
        <v>426</v>
      </c>
      <c r="F1591" s="17" t="s">
        <v>480</v>
      </c>
      <c r="G1591" s="18">
        <v>0</v>
      </c>
      <c r="H1591" s="18">
        <v>636.6500</v>
      </c>
      <c r="I1591" s="18">
        <f ca="1">((I1590 + G1591) - H1591)</f>
        <v>0</v>
      </c>
      <c r="J1591" s="18">
        <v>0</v>
      </c>
      <c r="K1591" s="19">
        <v>0</v>
      </c>
      <c r="L1591" s="17"/>
    </row>
    <row r="1592" ht="10.95" customHeight="true" customFormat="true" s="9">
      <c r="A1592" s="16">
        <v>45250</v>
      </c>
      <c r="B1592" s="17" t="s">
        <v>424</v>
      </c>
      <c r="C1592" s="17" t="s">
        <v>425</v>
      </c>
      <c r="D1592" s="17" t="s">
        <v>22</v>
      </c>
      <c r="E1592" s="17" t="s">
        <v>426</v>
      </c>
      <c r="F1592" s="17" t="s">
        <v>480</v>
      </c>
      <c r="G1592" s="18">
        <v>0</v>
      </c>
      <c r="H1592" s="18">
        <v>138.0000</v>
      </c>
      <c r="I1592" s="18">
        <f ca="1">((I1591 + G1592) - H1592)</f>
        <v>0</v>
      </c>
      <c r="J1592" s="18">
        <v>0</v>
      </c>
      <c r="K1592" s="19">
        <v>0</v>
      </c>
      <c r="L1592" s="17"/>
    </row>
    <row r="1593" ht="10.95" customHeight="true" customFormat="true" s="9">
      <c r="A1593" s="16">
        <v>45250</v>
      </c>
      <c r="B1593" s="17" t="s">
        <v>424</v>
      </c>
      <c r="C1593" s="17" t="s">
        <v>425</v>
      </c>
      <c r="D1593" s="17" t="s">
        <v>22</v>
      </c>
      <c r="E1593" s="17" t="s">
        <v>426</v>
      </c>
      <c r="F1593" s="17" t="s">
        <v>480</v>
      </c>
      <c r="G1593" s="18">
        <v>0</v>
      </c>
      <c r="H1593" s="18">
        <v>2000.0000</v>
      </c>
      <c r="I1593" s="18">
        <f ca="1">((I1592 + G1593) - H1593)</f>
        <v>0</v>
      </c>
      <c r="J1593" s="18">
        <v>0</v>
      </c>
      <c r="K1593" s="19">
        <v>0</v>
      </c>
      <c r="L1593" s="17"/>
    </row>
    <row r="1594" ht="10.95" customHeight="true" customFormat="true" s="9">
      <c r="A1594" s="16">
        <v>45250</v>
      </c>
      <c r="B1594" s="17" t="s">
        <v>424</v>
      </c>
      <c r="C1594" s="17" t="s">
        <v>425</v>
      </c>
      <c r="D1594" s="17" t="s">
        <v>19</v>
      </c>
      <c r="E1594" s="17" t="s">
        <v>428</v>
      </c>
      <c r="F1594" s="17"/>
      <c r="G1594" s="18">
        <v>3379.2500</v>
      </c>
      <c r="H1594" s="18">
        <v>0</v>
      </c>
      <c r="I1594" s="18">
        <f ca="1">((I1593 + G1594) - H1594)</f>
        <v>0</v>
      </c>
      <c r="J1594" s="18">
        <v>0</v>
      </c>
      <c r="K1594" s="19">
        <v>0</v>
      </c>
      <c r="L1594" s="17"/>
    </row>
    <row r="1595" ht="10.95" customHeight="true" customFormat="true" s="9">
      <c r="A1595" s="16">
        <v>45251</v>
      </c>
      <c r="B1595" s="17" t="s">
        <v>424</v>
      </c>
      <c r="C1595" s="17" t="s">
        <v>425</v>
      </c>
      <c r="D1595" s="17" t="s">
        <v>22</v>
      </c>
      <c r="E1595" s="17" t="s">
        <v>430</v>
      </c>
      <c r="F1595" s="17"/>
      <c r="G1595" s="18">
        <v>0</v>
      </c>
      <c r="H1595" s="18">
        <v>1712.1500</v>
      </c>
      <c r="I1595" s="18">
        <f ca="1">((I1594 + G1595) - H1595)</f>
        <v>0</v>
      </c>
      <c r="J1595" s="18">
        <v>0</v>
      </c>
      <c r="K1595" s="19">
        <v>0</v>
      </c>
      <c r="L1595" s="17"/>
    </row>
    <row r="1596" ht="10.95" customHeight="true" customFormat="true" s="9">
      <c r="A1596" s="16">
        <v>45252</v>
      </c>
      <c r="B1596" s="17" t="s">
        <v>424</v>
      </c>
      <c r="C1596" s="17" t="s">
        <v>425</v>
      </c>
      <c r="D1596" s="17" t="s">
        <v>19</v>
      </c>
      <c r="E1596" s="17" t="s">
        <v>428</v>
      </c>
      <c r="F1596" s="17"/>
      <c r="G1596" s="18">
        <v>2392.1000</v>
      </c>
      <c r="H1596" s="18">
        <v>0</v>
      </c>
      <c r="I1596" s="18">
        <f ca="1">((I1595 + G1596) - H1596)</f>
        <v>0</v>
      </c>
      <c r="J1596" s="18">
        <v>0</v>
      </c>
      <c r="K1596" s="19">
        <v>0</v>
      </c>
      <c r="L1596" s="17"/>
    </row>
    <row r="1597" ht="10.95" customHeight="true" customFormat="true" s="9">
      <c r="A1597" s="16">
        <v>45253</v>
      </c>
      <c r="B1597" s="17" t="s">
        <v>424</v>
      </c>
      <c r="C1597" s="17" t="s">
        <v>425</v>
      </c>
      <c r="D1597" s="17" t="s">
        <v>19</v>
      </c>
      <c r="E1597" s="17" t="s">
        <v>428</v>
      </c>
      <c r="F1597" s="17"/>
      <c r="G1597" s="18">
        <v>2400.3500</v>
      </c>
      <c r="H1597" s="18">
        <v>0</v>
      </c>
      <c r="I1597" s="18">
        <f ca="1">((I1596 + G1597) - H1597)</f>
        <v>0</v>
      </c>
      <c r="J1597" s="18">
        <v>0</v>
      </c>
      <c r="K1597" s="19">
        <v>0</v>
      </c>
      <c r="L1597" s="17"/>
    </row>
    <row r="1598" ht="10.95" customHeight="true" customFormat="true" s="9">
      <c r="A1598" s="16">
        <v>45253</v>
      </c>
      <c r="B1598" s="17" t="s">
        <v>424</v>
      </c>
      <c r="C1598" s="17" t="s">
        <v>425</v>
      </c>
      <c r="D1598" s="17" t="s">
        <v>22</v>
      </c>
      <c r="E1598" s="17" t="s">
        <v>459</v>
      </c>
      <c r="F1598" s="17"/>
      <c r="G1598" s="18">
        <v>0</v>
      </c>
      <c r="H1598" s="18">
        <v>138.6000</v>
      </c>
      <c r="I1598" s="18">
        <f ca="1">((I1597 + G1598) - H1598)</f>
        <v>0</v>
      </c>
      <c r="J1598" s="18">
        <v>0</v>
      </c>
      <c r="K1598" s="19">
        <v>0</v>
      </c>
      <c r="L1598" s="17"/>
    </row>
    <row r="1599" ht="10.95" customHeight="true" customFormat="true" s="9">
      <c r="A1599" s="16">
        <v>45254</v>
      </c>
      <c r="B1599" s="17" t="s">
        <v>424</v>
      </c>
      <c r="C1599" s="17" t="s">
        <v>425</v>
      </c>
      <c r="D1599" s="17" t="s">
        <v>22</v>
      </c>
      <c r="E1599" s="17" t="s">
        <v>442</v>
      </c>
      <c r="F1599" s="17"/>
      <c r="G1599" s="18">
        <v>0</v>
      </c>
      <c r="H1599" s="18">
        <v>183.9800</v>
      </c>
      <c r="I1599" s="18">
        <f ca="1">((I1598 + G1599) - H1599)</f>
        <v>0</v>
      </c>
      <c r="J1599" s="18">
        <v>0</v>
      </c>
      <c r="K1599" s="19">
        <v>0</v>
      </c>
      <c r="L1599" s="17"/>
    </row>
    <row r="1600" ht="10.95" customHeight="true" customFormat="true" s="9">
      <c r="A1600" s="16">
        <v>45254</v>
      </c>
      <c r="B1600" s="17" t="s">
        <v>424</v>
      </c>
      <c r="C1600" s="17" t="s">
        <v>425</v>
      </c>
      <c r="D1600" s="17" t="s">
        <v>19</v>
      </c>
      <c r="E1600" s="17" t="s">
        <v>428</v>
      </c>
      <c r="F1600" s="17"/>
      <c r="G1600" s="18">
        <v>2908.1000</v>
      </c>
      <c r="H1600" s="18">
        <v>0</v>
      </c>
      <c r="I1600" s="18">
        <f ca="1">((I1599 + G1600) - H1600)</f>
        <v>0</v>
      </c>
      <c r="J1600" s="18">
        <v>0</v>
      </c>
      <c r="K1600" s="19">
        <v>0</v>
      </c>
      <c r="L1600" s="17"/>
    </row>
    <row r="1601" ht="10.95" customHeight="true" customFormat="true" s="9">
      <c r="A1601" s="16">
        <v>45257</v>
      </c>
      <c r="B1601" s="17" t="s">
        <v>424</v>
      </c>
      <c r="C1601" s="17" t="s">
        <v>425</v>
      </c>
      <c r="D1601" s="17" t="s">
        <v>22</v>
      </c>
      <c r="E1601" s="17" t="s">
        <v>426</v>
      </c>
      <c r="F1601" s="17" t="s">
        <v>481</v>
      </c>
      <c r="G1601" s="18">
        <v>0</v>
      </c>
      <c r="H1601" s="18">
        <v>1342.9000</v>
      </c>
      <c r="I1601" s="18">
        <f ca="1">((I1600 + G1601) - H1601)</f>
        <v>0</v>
      </c>
      <c r="J1601" s="18">
        <v>0</v>
      </c>
      <c r="K1601" s="19">
        <v>0</v>
      </c>
      <c r="L1601" s="17"/>
    </row>
    <row r="1602" ht="10.95" customHeight="true" customFormat="true" s="9">
      <c r="A1602" s="16">
        <v>45257</v>
      </c>
      <c r="B1602" s="17" t="s">
        <v>424</v>
      </c>
      <c r="C1602" s="17" t="s">
        <v>425</v>
      </c>
      <c r="D1602" s="17" t="s">
        <v>22</v>
      </c>
      <c r="E1602" s="17" t="s">
        <v>430</v>
      </c>
      <c r="F1602" s="17"/>
      <c r="G1602" s="18">
        <v>0</v>
      </c>
      <c r="H1602" s="18">
        <v>1781.7600</v>
      </c>
      <c r="I1602" s="18">
        <f ca="1">((I1601 + G1602) - H1602)</f>
        <v>0</v>
      </c>
      <c r="J1602" s="18">
        <v>0</v>
      </c>
      <c r="K1602" s="19">
        <v>0</v>
      </c>
      <c r="L1602" s="17"/>
    </row>
    <row r="1603" ht="10.95" customHeight="true" customFormat="true" s="9">
      <c r="A1603" s="16">
        <v>45257</v>
      </c>
      <c r="B1603" s="17" t="s">
        <v>424</v>
      </c>
      <c r="C1603" s="17" t="s">
        <v>425</v>
      </c>
      <c r="D1603" s="17" t="s">
        <v>22</v>
      </c>
      <c r="E1603" s="17" t="s">
        <v>426</v>
      </c>
      <c r="F1603" s="17" t="s">
        <v>481</v>
      </c>
      <c r="G1603" s="18">
        <v>0</v>
      </c>
      <c r="H1603" s="18">
        <v>264.0000</v>
      </c>
      <c r="I1603" s="18">
        <f ca="1">((I1602 + G1603) - H1603)</f>
        <v>0</v>
      </c>
      <c r="J1603" s="18">
        <v>0</v>
      </c>
      <c r="K1603" s="19">
        <v>0</v>
      </c>
      <c r="L1603" s="17"/>
    </row>
    <row r="1604" ht="10.95" customHeight="true" customFormat="true" s="9">
      <c r="A1604" s="16">
        <v>45257</v>
      </c>
      <c r="B1604" s="17" t="s">
        <v>424</v>
      </c>
      <c r="C1604" s="17" t="s">
        <v>425</v>
      </c>
      <c r="D1604" s="17" t="s">
        <v>22</v>
      </c>
      <c r="E1604" s="17" t="s">
        <v>426</v>
      </c>
      <c r="F1604" s="17" t="s">
        <v>481</v>
      </c>
      <c r="G1604" s="18">
        <v>0</v>
      </c>
      <c r="H1604" s="18">
        <v>63.0000</v>
      </c>
      <c r="I1604" s="18">
        <f ca="1">((I1603 + G1604) - H1604)</f>
        <v>0</v>
      </c>
      <c r="J1604" s="18">
        <v>0</v>
      </c>
      <c r="K1604" s="19">
        <v>0</v>
      </c>
      <c r="L1604" s="17"/>
    </row>
    <row r="1605" ht="10.95" customHeight="true" customFormat="true" s="9">
      <c r="A1605" s="16">
        <v>45257</v>
      </c>
      <c r="B1605" s="17" t="s">
        <v>424</v>
      </c>
      <c r="C1605" s="17" t="s">
        <v>425</v>
      </c>
      <c r="D1605" s="17" t="s">
        <v>22</v>
      </c>
      <c r="E1605" s="17" t="s">
        <v>426</v>
      </c>
      <c r="F1605" s="17" t="s">
        <v>481</v>
      </c>
      <c r="G1605" s="18">
        <v>0</v>
      </c>
      <c r="H1605" s="18">
        <v>2000.0000</v>
      </c>
      <c r="I1605" s="18">
        <f ca="1">((I1604 + G1605) - H1605)</f>
        <v>0</v>
      </c>
      <c r="J1605" s="18">
        <v>0</v>
      </c>
      <c r="K1605" s="19">
        <v>0</v>
      </c>
      <c r="L1605" s="17"/>
    </row>
    <row r="1606" ht="10.95" customHeight="true" customFormat="true" s="9">
      <c r="A1606" s="16">
        <v>45257</v>
      </c>
      <c r="B1606" s="17" t="s">
        <v>424</v>
      </c>
      <c r="C1606" s="17" t="s">
        <v>425</v>
      </c>
      <c r="D1606" s="17" t="s">
        <v>19</v>
      </c>
      <c r="E1606" s="17" t="s">
        <v>24</v>
      </c>
      <c r="F1606" s="17"/>
      <c r="G1606" s="18">
        <v>200.0000</v>
      </c>
      <c r="H1606" s="18">
        <v>0</v>
      </c>
      <c r="I1606" s="18">
        <f ca="1">((I1605 + G1606) - H1606)</f>
        <v>0</v>
      </c>
      <c r="J1606" s="18">
        <v>0</v>
      </c>
      <c r="K1606" s="19">
        <v>0</v>
      </c>
      <c r="L1606" s="17"/>
    </row>
    <row r="1607" ht="10.95" customHeight="true" customFormat="true" s="9">
      <c r="A1607" s="16">
        <v>45257</v>
      </c>
      <c r="B1607" s="17" t="s">
        <v>424</v>
      </c>
      <c r="C1607" s="17" t="s">
        <v>425</v>
      </c>
      <c r="D1607" s="17" t="s">
        <v>19</v>
      </c>
      <c r="E1607" s="17" t="s">
        <v>428</v>
      </c>
      <c r="F1607" s="17"/>
      <c r="G1607" s="18">
        <v>6197.5000</v>
      </c>
      <c r="H1607" s="18">
        <v>0</v>
      </c>
      <c r="I1607" s="18">
        <f ca="1">((I1606 + G1607) - H1607)</f>
        <v>0</v>
      </c>
      <c r="J1607" s="18">
        <v>0</v>
      </c>
      <c r="K1607" s="19">
        <v>0</v>
      </c>
      <c r="L1607" s="17"/>
    </row>
    <row r="1608" ht="10.95" customHeight="true" customFormat="true" s="9">
      <c r="A1608" s="16">
        <v>45257</v>
      </c>
      <c r="B1608" s="17" t="s">
        <v>424</v>
      </c>
      <c r="C1608" s="17" t="s">
        <v>425</v>
      </c>
      <c r="D1608" s="17" t="s">
        <v>22</v>
      </c>
      <c r="E1608" s="17" t="s">
        <v>34</v>
      </c>
      <c r="F1608" s="17"/>
      <c r="G1608" s="18">
        <v>0</v>
      </c>
      <c r="H1608" s="18">
        <v>2551.1900</v>
      </c>
      <c r="I1608" s="18">
        <f ca="1">((I1607 + G1608) - H1608)</f>
        <v>0</v>
      </c>
      <c r="J1608" s="18">
        <v>0</v>
      </c>
      <c r="K1608" s="19">
        <v>0</v>
      </c>
      <c r="L1608" s="17"/>
    </row>
    <row r="1609" ht="10.95" customHeight="true" customFormat="true" s="9">
      <c r="A1609" s="16">
        <v>45257</v>
      </c>
      <c r="B1609" s="17" t="s">
        <v>424</v>
      </c>
      <c r="C1609" s="17" t="s">
        <v>425</v>
      </c>
      <c r="D1609" s="17" t="s">
        <v>22</v>
      </c>
      <c r="E1609" s="17" t="s">
        <v>426</v>
      </c>
      <c r="F1609" s="17" t="s">
        <v>481</v>
      </c>
      <c r="G1609" s="18">
        <v>0</v>
      </c>
      <c r="H1609" s="18">
        <v>674.5000</v>
      </c>
      <c r="I1609" s="18">
        <f ca="1">((I1608 + G1609) - H1609)</f>
        <v>0</v>
      </c>
      <c r="J1609" s="18">
        <v>0</v>
      </c>
      <c r="K1609" s="19">
        <v>0</v>
      </c>
      <c r="L1609" s="17"/>
    </row>
    <row r="1610" ht="10.95" customHeight="true" customFormat="true" s="9">
      <c r="A1610" s="16">
        <v>45257</v>
      </c>
      <c r="B1610" s="17" t="s">
        <v>424</v>
      </c>
      <c r="C1610" s="17" t="s">
        <v>425</v>
      </c>
      <c r="D1610" s="17" t="s">
        <v>19</v>
      </c>
      <c r="E1610" s="17" t="s">
        <v>428</v>
      </c>
      <c r="F1610" s="17"/>
      <c r="G1610" s="18">
        <v>3103.9500</v>
      </c>
      <c r="H1610" s="18">
        <v>0</v>
      </c>
      <c r="I1610" s="18">
        <f ca="1">((I1609 + G1610) - H1610)</f>
        <v>0</v>
      </c>
      <c r="J1610" s="18">
        <v>0</v>
      </c>
      <c r="K1610" s="19">
        <v>0</v>
      </c>
      <c r="L1610" s="17"/>
    </row>
    <row r="1611" ht="10.95" customHeight="true" customFormat="true" s="9">
      <c r="A1611" s="16">
        <v>45257</v>
      </c>
      <c r="B1611" s="17" t="s">
        <v>424</v>
      </c>
      <c r="C1611" s="17" t="s">
        <v>425</v>
      </c>
      <c r="D1611" s="17" t="s">
        <v>22</v>
      </c>
      <c r="E1611" s="17" t="s">
        <v>426</v>
      </c>
      <c r="F1611" s="17" t="s">
        <v>481</v>
      </c>
      <c r="G1611" s="18">
        <v>0</v>
      </c>
      <c r="H1611" s="18">
        <v>678.7300</v>
      </c>
      <c r="I1611" s="18">
        <f ca="1">((I1610 + G1611) - H1611)</f>
        <v>0</v>
      </c>
      <c r="J1611" s="18">
        <v>0</v>
      </c>
      <c r="K1611" s="19">
        <v>0</v>
      </c>
      <c r="L1611" s="17"/>
    </row>
    <row r="1612" ht="10.95" customHeight="true" customFormat="true" s="9">
      <c r="A1612" s="16">
        <v>45257</v>
      </c>
      <c r="B1612" s="17" t="s">
        <v>424</v>
      </c>
      <c r="C1612" s="17" t="s">
        <v>425</v>
      </c>
      <c r="D1612" s="17" t="s">
        <v>22</v>
      </c>
      <c r="E1612" s="17" t="s">
        <v>482</v>
      </c>
      <c r="F1612" s="17"/>
      <c r="G1612" s="18">
        <v>0</v>
      </c>
      <c r="H1612" s="18">
        <v>71.9100</v>
      </c>
      <c r="I1612" s="18">
        <f ca="1">((I1611 + G1612) - H1612)</f>
        <v>0</v>
      </c>
      <c r="J1612" s="18">
        <v>0</v>
      </c>
      <c r="K1612" s="19">
        <v>0</v>
      </c>
      <c r="L1612" s="17"/>
    </row>
    <row r="1613" ht="10.95" customHeight="true" customFormat="true" s="9">
      <c r="A1613" s="16">
        <v>45257</v>
      </c>
      <c r="B1613" s="17" t="s">
        <v>424</v>
      </c>
      <c r="C1613" s="17" t="s">
        <v>425</v>
      </c>
      <c r="D1613" s="17" t="s">
        <v>19</v>
      </c>
      <c r="E1613" s="17" t="s">
        <v>428</v>
      </c>
      <c r="F1613" s="17"/>
      <c r="G1613" s="18">
        <v>5714.9000</v>
      </c>
      <c r="H1613" s="18">
        <v>0</v>
      </c>
      <c r="I1613" s="18">
        <f ca="1">((I1612 + G1613) - H1613)</f>
        <v>0</v>
      </c>
      <c r="J1613" s="18">
        <v>0</v>
      </c>
      <c r="K1613" s="19">
        <v>0</v>
      </c>
      <c r="L1613" s="17"/>
    </row>
    <row r="1614" ht="10.95" customHeight="true" customFormat="true" s="9">
      <c r="A1614" s="16">
        <v>45257</v>
      </c>
      <c r="B1614" s="17" t="s">
        <v>424</v>
      </c>
      <c r="C1614" s="17" t="s">
        <v>425</v>
      </c>
      <c r="D1614" s="17" t="s">
        <v>22</v>
      </c>
      <c r="E1614" s="17" t="s">
        <v>434</v>
      </c>
      <c r="F1614" s="17"/>
      <c r="G1614" s="18">
        <v>0</v>
      </c>
      <c r="H1614" s="18">
        <v>382.3000</v>
      </c>
      <c r="I1614" s="18">
        <f ca="1">((I1613 + G1614) - H1614)</f>
        <v>0</v>
      </c>
      <c r="J1614" s="18">
        <v>0</v>
      </c>
      <c r="K1614" s="19">
        <v>0</v>
      </c>
      <c r="L1614" s="17"/>
    </row>
    <row r="1615" ht="10.95" customHeight="true" customFormat="true" s="9">
      <c r="A1615" s="16">
        <v>45258</v>
      </c>
      <c r="B1615" s="17" t="s">
        <v>424</v>
      </c>
      <c r="C1615" s="17" t="s">
        <v>425</v>
      </c>
      <c r="D1615" s="17" t="s">
        <v>22</v>
      </c>
      <c r="E1615" s="17" t="s">
        <v>447</v>
      </c>
      <c r="F1615" s="17"/>
      <c r="G1615" s="18">
        <v>0</v>
      </c>
      <c r="H1615" s="18">
        <v>2.1600</v>
      </c>
      <c r="I1615" s="18">
        <f ca="1">((I1614 + G1615) - H1615)</f>
        <v>0</v>
      </c>
      <c r="J1615" s="18">
        <v>0</v>
      </c>
      <c r="K1615" s="19">
        <v>0</v>
      </c>
      <c r="L1615" s="17"/>
    </row>
    <row r="1616" ht="10.95" customHeight="true" customFormat="true" s="9">
      <c r="A1616" s="16">
        <v>45259</v>
      </c>
      <c r="B1616" s="17" t="s">
        <v>424</v>
      </c>
      <c r="C1616" s="17" t="s">
        <v>425</v>
      </c>
      <c r="D1616" s="17" t="s">
        <v>22</v>
      </c>
      <c r="E1616" s="17" t="s">
        <v>430</v>
      </c>
      <c r="F1616" s="17"/>
      <c r="G1616" s="18">
        <v>0</v>
      </c>
      <c r="H1616" s="18">
        <v>1600.2100</v>
      </c>
      <c r="I1616" s="18">
        <f ca="1">((I1615 + G1616) - H1616)</f>
        <v>0</v>
      </c>
      <c r="J1616" s="18">
        <v>0</v>
      </c>
      <c r="K1616" s="19">
        <v>0</v>
      </c>
      <c r="L1616" s="17"/>
    </row>
    <row r="1617" ht="10.95" customHeight="true" customFormat="true" s="9">
      <c r="A1617" s="16">
        <v>45259</v>
      </c>
      <c r="B1617" s="17" t="s">
        <v>424</v>
      </c>
      <c r="C1617" s="17" t="s">
        <v>425</v>
      </c>
      <c r="D1617" s="17" t="s">
        <v>22</v>
      </c>
      <c r="E1617" s="17" t="s">
        <v>431</v>
      </c>
      <c r="F1617" s="17"/>
      <c r="G1617" s="18">
        <v>0</v>
      </c>
      <c r="H1617" s="18">
        <v>65.0000</v>
      </c>
      <c r="I1617" s="18">
        <f ca="1">((I1616 + G1617) - H1617)</f>
        <v>0</v>
      </c>
      <c r="J1617" s="18">
        <v>0</v>
      </c>
      <c r="K1617" s="19">
        <v>0</v>
      </c>
      <c r="L1617" s="17"/>
    </row>
    <row r="1618" ht="10.95" customHeight="true" customFormat="true" s="9">
      <c r="A1618" s="16">
        <v>45259</v>
      </c>
      <c r="B1618" s="17" t="s">
        <v>424</v>
      </c>
      <c r="C1618" s="17" t="s">
        <v>425</v>
      </c>
      <c r="D1618" s="17" t="s">
        <v>19</v>
      </c>
      <c r="E1618" s="17" t="s">
        <v>428</v>
      </c>
      <c r="F1618" s="17"/>
      <c r="G1618" s="18">
        <v>2581.7500</v>
      </c>
      <c r="H1618" s="18">
        <v>0</v>
      </c>
      <c r="I1618" s="18">
        <f ca="1">((I1617 + G1618) - H1618)</f>
        <v>0</v>
      </c>
      <c r="J1618" s="18">
        <v>0</v>
      </c>
      <c r="K1618" s="19">
        <v>0</v>
      </c>
      <c r="L1618" s="17"/>
    </row>
    <row r="1619" ht="10.95" customHeight="true" customFormat="true" s="9">
      <c r="A1619" s="16">
        <v>45260</v>
      </c>
      <c r="B1619" s="17" t="s">
        <v>424</v>
      </c>
      <c r="C1619" s="17" t="s">
        <v>425</v>
      </c>
      <c r="D1619" s="17" t="s">
        <v>19</v>
      </c>
      <c r="E1619" s="17" t="s">
        <v>428</v>
      </c>
      <c r="F1619" s="17"/>
      <c r="G1619" s="18">
        <v>2444.8500</v>
      </c>
      <c r="H1619" s="18">
        <v>0</v>
      </c>
      <c r="I1619" s="18">
        <f ca="1">((I1618 + G1619) - H1619)</f>
        <v>0</v>
      </c>
      <c r="J1619" s="18">
        <v>0</v>
      </c>
      <c r="K1619" s="19">
        <v>0</v>
      </c>
      <c r="L1619" s="17"/>
    </row>
    <row r="1620" ht="10.95" customHeight="true" customFormat="true" s="9">
      <c r="A1620" s="16">
        <v>45260</v>
      </c>
      <c r="B1620" s="17" t="s">
        <v>424</v>
      </c>
      <c r="C1620" s="17" t="s">
        <v>425</v>
      </c>
      <c r="D1620" s="17" t="s">
        <v>22</v>
      </c>
      <c r="E1620" s="17" t="s">
        <v>447</v>
      </c>
      <c r="F1620" s="17"/>
      <c r="G1620" s="18">
        <v>0</v>
      </c>
      <c r="H1620" s="18">
        <v>10.0000</v>
      </c>
      <c r="I1620" s="18">
        <f ca="1">((I1619 + G1620) - H1620)</f>
        <v>0</v>
      </c>
      <c r="J1620" s="18">
        <v>0</v>
      </c>
      <c r="K1620" s="19">
        <v>0</v>
      </c>
      <c r="L1620" s="17"/>
    </row>
    <row r="1621" ht="10.95" customHeight="true" customFormat="true" s="9">
      <c r="A1621" s="16">
        <v>45261</v>
      </c>
      <c r="B1621" s="17" t="s">
        <v>424</v>
      </c>
      <c r="C1621" s="17" t="s">
        <v>425</v>
      </c>
      <c r="D1621" s="17" t="s">
        <v>22</v>
      </c>
      <c r="E1621" s="17" t="s">
        <v>435</v>
      </c>
      <c r="F1621" s="17"/>
      <c r="G1621" s="18">
        <v>0</v>
      </c>
      <c r="H1621" s="18">
        <v>367.8500</v>
      </c>
      <c r="I1621" s="18">
        <f ca="1">((I1620 + G1621) - H1621)</f>
        <v>0</v>
      </c>
      <c r="J1621" s="18">
        <v>0</v>
      </c>
      <c r="K1621" s="19">
        <v>0</v>
      </c>
      <c r="L1621" s="17"/>
    </row>
    <row r="1622" ht="10.95" customHeight="true" customFormat="true" s="9">
      <c r="A1622" s="16">
        <v>45261</v>
      </c>
      <c r="B1622" s="17" t="s">
        <v>424</v>
      </c>
      <c r="C1622" s="17" t="s">
        <v>425</v>
      </c>
      <c r="D1622" s="17" t="s">
        <v>22</v>
      </c>
      <c r="E1622" s="17" t="s">
        <v>474</v>
      </c>
      <c r="F1622" s="17"/>
      <c r="G1622" s="18">
        <v>0</v>
      </c>
      <c r="H1622" s="18">
        <v>98.9800</v>
      </c>
      <c r="I1622" s="18">
        <f ca="1">((I1621 + G1622) - H1622)</f>
        <v>0</v>
      </c>
      <c r="J1622" s="18">
        <v>0</v>
      </c>
      <c r="K1622" s="19">
        <v>0</v>
      </c>
      <c r="L1622" s="17"/>
    </row>
    <row r="1623" ht="10.95" customHeight="true" customFormat="true" s="9">
      <c r="A1623" s="16">
        <v>45261</v>
      </c>
      <c r="B1623" s="17" t="s">
        <v>424</v>
      </c>
      <c r="C1623" s="17" t="s">
        <v>425</v>
      </c>
      <c r="D1623" s="17" t="s">
        <v>19</v>
      </c>
      <c r="E1623" s="17" t="s">
        <v>428</v>
      </c>
      <c r="F1623" s="17"/>
      <c r="G1623" s="18">
        <v>2417.4500</v>
      </c>
      <c r="H1623" s="18">
        <v>0</v>
      </c>
      <c r="I1623" s="18">
        <f ca="1">((I1622 + G1623) - H1623)</f>
        <v>0</v>
      </c>
      <c r="J1623" s="18">
        <v>0</v>
      </c>
      <c r="K1623" s="19">
        <v>0</v>
      </c>
      <c r="L1623" s="17"/>
    </row>
    <row r="1624" ht="10.95" customHeight="true" customFormat="true" s="9">
      <c r="A1624" s="16">
        <v>45261</v>
      </c>
      <c r="B1624" s="17" t="s">
        <v>424</v>
      </c>
      <c r="C1624" s="17" t="s">
        <v>425</v>
      </c>
      <c r="D1624" s="17" t="s">
        <v>22</v>
      </c>
      <c r="E1624" s="17" t="s">
        <v>433</v>
      </c>
      <c r="F1624" s="17"/>
      <c r="G1624" s="18">
        <v>0</v>
      </c>
      <c r="H1624" s="18">
        <v>660.8800</v>
      </c>
      <c r="I1624" s="18">
        <f ca="1">((I1623 + G1624) - H1624)</f>
        <v>0</v>
      </c>
      <c r="J1624" s="18">
        <v>0</v>
      </c>
      <c r="K1624" s="19">
        <v>0</v>
      </c>
      <c r="L1624" s="17"/>
    </row>
    <row r="1625" ht="10.95" customHeight="true" customFormat="true" s="9">
      <c r="A1625" s="16">
        <v>45261</v>
      </c>
      <c r="B1625" s="17" t="s">
        <v>424</v>
      </c>
      <c r="C1625" s="17" t="s">
        <v>425</v>
      </c>
      <c r="D1625" s="17" t="s">
        <v>22</v>
      </c>
      <c r="E1625" s="17" t="s">
        <v>430</v>
      </c>
      <c r="F1625" s="17"/>
      <c r="G1625" s="18">
        <v>0</v>
      </c>
      <c r="H1625" s="18">
        <v>2385.9600</v>
      </c>
      <c r="I1625" s="18">
        <f ca="1">((I1624 + G1625) - H1625)</f>
        <v>0</v>
      </c>
      <c r="J1625" s="18">
        <v>0</v>
      </c>
      <c r="K1625" s="19">
        <v>0</v>
      </c>
      <c r="L1625" s="17"/>
    </row>
    <row r="1626" ht="10.95" customHeight="true" customFormat="true" s="9">
      <c r="A1626" s="16">
        <v>45264</v>
      </c>
      <c r="B1626" s="17" t="s">
        <v>424</v>
      </c>
      <c r="C1626" s="17" t="s">
        <v>425</v>
      </c>
      <c r="D1626" s="17" t="s">
        <v>22</v>
      </c>
      <c r="E1626" s="17" t="s">
        <v>426</v>
      </c>
      <c r="F1626" s="17" t="s">
        <v>483</v>
      </c>
      <c r="G1626" s="18">
        <v>0</v>
      </c>
      <c r="H1626" s="18">
        <v>138.0000</v>
      </c>
      <c r="I1626" s="18">
        <f ca="1">((I1625 + G1626) - H1626)</f>
        <v>0</v>
      </c>
      <c r="J1626" s="18">
        <v>0</v>
      </c>
      <c r="K1626" s="19">
        <v>0</v>
      </c>
      <c r="L1626" s="17"/>
    </row>
    <row r="1627" ht="10.95" customHeight="true" customFormat="true" s="9">
      <c r="A1627" s="16">
        <v>45264</v>
      </c>
      <c r="B1627" s="17" t="s">
        <v>424</v>
      </c>
      <c r="C1627" s="17" t="s">
        <v>425</v>
      </c>
      <c r="D1627" s="17" t="s">
        <v>22</v>
      </c>
      <c r="E1627" s="17" t="s">
        <v>426</v>
      </c>
      <c r="F1627" s="17" t="s">
        <v>483</v>
      </c>
      <c r="G1627" s="18">
        <v>0</v>
      </c>
      <c r="H1627" s="18">
        <v>654.5000</v>
      </c>
      <c r="I1627" s="18">
        <f ca="1">((I1626 + G1627) - H1627)</f>
        <v>0</v>
      </c>
      <c r="J1627" s="18">
        <v>0</v>
      </c>
      <c r="K1627" s="19">
        <v>0</v>
      </c>
      <c r="L1627" s="17"/>
    </row>
    <row r="1628" ht="10.95" customHeight="true" customFormat="true" s="9">
      <c r="A1628" s="16">
        <v>45264</v>
      </c>
      <c r="B1628" s="17" t="s">
        <v>424</v>
      </c>
      <c r="C1628" s="17" t="s">
        <v>425</v>
      </c>
      <c r="D1628" s="17" t="s">
        <v>22</v>
      </c>
      <c r="E1628" s="17" t="s">
        <v>34</v>
      </c>
      <c r="F1628" s="17"/>
      <c r="G1628" s="18">
        <v>0</v>
      </c>
      <c r="H1628" s="18">
        <v>2527.1900</v>
      </c>
      <c r="I1628" s="18">
        <f ca="1">((I1627 + G1628) - H1628)</f>
        <v>0</v>
      </c>
      <c r="J1628" s="18">
        <v>0</v>
      </c>
      <c r="K1628" s="19">
        <v>0</v>
      </c>
      <c r="L1628" s="17"/>
    </row>
    <row r="1629" ht="10.95" customHeight="true" customFormat="true" s="9">
      <c r="A1629" s="16">
        <v>45264</v>
      </c>
      <c r="B1629" s="17" t="s">
        <v>424</v>
      </c>
      <c r="C1629" s="17" t="s">
        <v>425</v>
      </c>
      <c r="D1629" s="17" t="s">
        <v>22</v>
      </c>
      <c r="E1629" s="17" t="s">
        <v>426</v>
      </c>
      <c r="F1629" s="17" t="s">
        <v>483</v>
      </c>
      <c r="G1629" s="18">
        <v>0</v>
      </c>
      <c r="H1629" s="18">
        <v>2000.0000</v>
      </c>
      <c r="I1629" s="18">
        <f ca="1">((I1628 + G1629) - H1629)</f>
        <v>0</v>
      </c>
      <c r="J1629" s="18">
        <v>0</v>
      </c>
      <c r="K1629" s="19">
        <v>0</v>
      </c>
      <c r="L1629" s="17"/>
    </row>
    <row r="1630" ht="10.95" customHeight="true" customFormat="true" s="9">
      <c r="A1630" s="16">
        <v>45264</v>
      </c>
      <c r="B1630" s="17" t="s">
        <v>424</v>
      </c>
      <c r="C1630" s="17" t="s">
        <v>425</v>
      </c>
      <c r="D1630" s="17" t="s">
        <v>19</v>
      </c>
      <c r="E1630" s="17" t="s">
        <v>428</v>
      </c>
      <c r="F1630" s="17"/>
      <c r="G1630" s="18">
        <v>5456.3000</v>
      </c>
      <c r="H1630" s="18">
        <v>0</v>
      </c>
      <c r="I1630" s="18">
        <f ca="1">((I1629 + G1630) - H1630)</f>
        <v>0</v>
      </c>
      <c r="J1630" s="18">
        <v>0</v>
      </c>
      <c r="K1630" s="19">
        <v>0</v>
      </c>
      <c r="L1630" s="17"/>
    </row>
    <row r="1631" ht="10.95" customHeight="true" customFormat="true" s="9">
      <c r="A1631" s="16">
        <v>45264</v>
      </c>
      <c r="B1631" s="17" t="s">
        <v>424</v>
      </c>
      <c r="C1631" s="17" t="s">
        <v>425</v>
      </c>
      <c r="D1631" s="17" t="s">
        <v>19</v>
      </c>
      <c r="E1631" s="17" t="s">
        <v>428</v>
      </c>
      <c r="F1631" s="17"/>
      <c r="G1631" s="18">
        <v>5922.7000</v>
      </c>
      <c r="H1631" s="18">
        <v>0</v>
      </c>
      <c r="I1631" s="18">
        <f ca="1">((I1630 + G1631) - H1631)</f>
        <v>0</v>
      </c>
      <c r="J1631" s="18">
        <v>0</v>
      </c>
      <c r="K1631" s="19">
        <v>0</v>
      </c>
      <c r="L1631" s="17"/>
    </row>
    <row r="1632" ht="10.95" customHeight="true" customFormat="true" s="9">
      <c r="A1632" s="16">
        <v>45264</v>
      </c>
      <c r="B1632" s="17" t="s">
        <v>424</v>
      </c>
      <c r="C1632" s="17" t="s">
        <v>425</v>
      </c>
      <c r="D1632" s="17" t="s">
        <v>19</v>
      </c>
      <c r="E1632" s="17" t="s">
        <v>24</v>
      </c>
      <c r="F1632" s="17"/>
      <c r="G1632" s="18">
        <v>300.0000</v>
      </c>
      <c r="H1632" s="18">
        <v>0</v>
      </c>
      <c r="I1632" s="18">
        <f ca="1">((I1631 + G1632) - H1632)</f>
        <v>0</v>
      </c>
      <c r="J1632" s="18">
        <v>0</v>
      </c>
      <c r="K1632" s="19">
        <v>0</v>
      </c>
      <c r="L1632" s="17"/>
    </row>
    <row r="1633" ht="10.95" customHeight="true" customFormat="true" s="9">
      <c r="A1633" s="16">
        <v>45264</v>
      </c>
      <c r="B1633" s="17" t="s">
        <v>424</v>
      </c>
      <c r="C1633" s="17" t="s">
        <v>425</v>
      </c>
      <c r="D1633" s="17" t="s">
        <v>22</v>
      </c>
      <c r="E1633" s="17" t="s">
        <v>426</v>
      </c>
      <c r="F1633" s="17" t="s">
        <v>483</v>
      </c>
      <c r="G1633" s="18">
        <v>0</v>
      </c>
      <c r="H1633" s="18">
        <v>1342.9000</v>
      </c>
      <c r="I1633" s="18">
        <f ca="1">((I1632 + G1633) - H1633)</f>
        <v>0</v>
      </c>
      <c r="J1633" s="18">
        <v>0</v>
      </c>
      <c r="K1633" s="19">
        <v>0</v>
      </c>
      <c r="L1633" s="17"/>
    </row>
    <row r="1634" ht="10.95" customHeight="true" customFormat="true" s="9">
      <c r="A1634" s="16">
        <v>45264</v>
      </c>
      <c r="B1634" s="17" t="s">
        <v>424</v>
      </c>
      <c r="C1634" s="17" t="s">
        <v>425</v>
      </c>
      <c r="D1634" s="17" t="s">
        <v>22</v>
      </c>
      <c r="E1634" s="17" t="s">
        <v>426</v>
      </c>
      <c r="F1634" s="17" t="s">
        <v>483</v>
      </c>
      <c r="G1634" s="18">
        <v>0</v>
      </c>
      <c r="H1634" s="18">
        <v>720.8000</v>
      </c>
      <c r="I1634" s="18">
        <f ca="1">((I1633 + G1634) - H1634)</f>
        <v>0</v>
      </c>
      <c r="J1634" s="18">
        <v>0</v>
      </c>
      <c r="K1634" s="19">
        <v>0</v>
      </c>
      <c r="L1634" s="17"/>
    </row>
    <row r="1635" ht="10.95" customHeight="true" customFormat="true" s="9">
      <c r="A1635" s="16">
        <v>45264</v>
      </c>
      <c r="B1635" s="17" t="s">
        <v>424</v>
      </c>
      <c r="C1635" s="17" t="s">
        <v>425</v>
      </c>
      <c r="D1635" s="17" t="s">
        <v>22</v>
      </c>
      <c r="E1635" s="17" t="s">
        <v>426</v>
      </c>
      <c r="F1635" s="17" t="s">
        <v>483</v>
      </c>
      <c r="G1635" s="18">
        <v>0</v>
      </c>
      <c r="H1635" s="18">
        <v>487.0000</v>
      </c>
      <c r="I1635" s="18">
        <f ca="1">((I1634 + G1635) - H1635)</f>
        <v>0</v>
      </c>
      <c r="J1635" s="18">
        <v>0</v>
      </c>
      <c r="K1635" s="19">
        <v>0</v>
      </c>
      <c r="L1635" s="17"/>
    </row>
    <row r="1636" ht="10.95" customHeight="true" customFormat="true" s="9">
      <c r="A1636" s="16">
        <v>45264</v>
      </c>
      <c r="B1636" s="17" t="s">
        <v>424</v>
      </c>
      <c r="C1636" s="17" t="s">
        <v>425</v>
      </c>
      <c r="D1636" s="17" t="s">
        <v>22</v>
      </c>
      <c r="E1636" s="17" t="s">
        <v>426</v>
      </c>
      <c r="F1636" s="17" t="s">
        <v>483</v>
      </c>
      <c r="G1636" s="18">
        <v>0</v>
      </c>
      <c r="H1636" s="18">
        <v>487.0000</v>
      </c>
      <c r="I1636" s="18">
        <f ca="1">((I1635 + G1636) - H1636)</f>
        <v>0</v>
      </c>
      <c r="J1636" s="18">
        <v>0</v>
      </c>
      <c r="K1636" s="19">
        <v>0</v>
      </c>
      <c r="L1636" s="17"/>
    </row>
    <row r="1637" ht="10.95" customHeight="true" customFormat="true" s="9">
      <c r="A1637" s="16">
        <v>45264</v>
      </c>
      <c r="B1637" s="17" t="s">
        <v>424</v>
      </c>
      <c r="C1637" s="17" t="s">
        <v>425</v>
      </c>
      <c r="D1637" s="17" t="s">
        <v>19</v>
      </c>
      <c r="E1637" s="17" t="s">
        <v>428</v>
      </c>
      <c r="F1637" s="17"/>
      <c r="G1637" s="18">
        <v>2963.3500</v>
      </c>
      <c r="H1637" s="18">
        <v>0</v>
      </c>
      <c r="I1637" s="18">
        <f ca="1">((I1636 + G1637) - H1637)</f>
        <v>0</v>
      </c>
      <c r="J1637" s="18">
        <v>0</v>
      </c>
      <c r="K1637" s="19">
        <v>0</v>
      </c>
      <c r="L1637" s="17"/>
    </row>
    <row r="1638" ht="10.95" customHeight="true" customFormat="true" s="9">
      <c r="A1638" s="16">
        <v>45265</v>
      </c>
      <c r="B1638" s="17" t="s">
        <v>424</v>
      </c>
      <c r="C1638" s="17" t="s">
        <v>425</v>
      </c>
      <c r="D1638" s="17" t="s">
        <v>22</v>
      </c>
      <c r="E1638" s="17" t="s">
        <v>430</v>
      </c>
      <c r="F1638" s="17"/>
      <c r="G1638" s="18">
        <v>0</v>
      </c>
      <c r="H1638" s="18">
        <v>2101.2600</v>
      </c>
      <c r="I1638" s="18">
        <f ca="1">((I1637 + G1638) - H1638)</f>
        <v>0</v>
      </c>
      <c r="J1638" s="18">
        <v>0</v>
      </c>
      <c r="K1638" s="19">
        <v>0</v>
      </c>
      <c r="L1638" s="17"/>
    </row>
    <row r="1639" ht="10.95" customHeight="true" customFormat="true" s="9">
      <c r="A1639" s="16">
        <v>45266</v>
      </c>
      <c r="B1639" s="17" t="s">
        <v>424</v>
      </c>
      <c r="C1639" s="17" t="s">
        <v>425</v>
      </c>
      <c r="D1639" s="17" t="s">
        <v>19</v>
      </c>
      <c r="E1639" s="17" t="s">
        <v>428</v>
      </c>
      <c r="F1639" s="17"/>
      <c r="G1639" s="18">
        <v>2565.7500</v>
      </c>
      <c r="H1639" s="18">
        <v>0</v>
      </c>
      <c r="I1639" s="18">
        <f ca="1">((I1638 + G1639) - H1639)</f>
        <v>0</v>
      </c>
      <c r="J1639" s="18">
        <v>0</v>
      </c>
      <c r="K1639" s="19">
        <v>0</v>
      </c>
      <c r="L1639" s="17"/>
    </row>
    <row r="1640" ht="10.95" customHeight="true" customFormat="true" s="9">
      <c r="A1640" s="16">
        <v>45267</v>
      </c>
      <c r="B1640" s="17" t="s">
        <v>424</v>
      </c>
      <c r="C1640" s="17" t="s">
        <v>425</v>
      </c>
      <c r="D1640" s="17" t="s">
        <v>19</v>
      </c>
      <c r="E1640" s="17" t="s">
        <v>428</v>
      </c>
      <c r="F1640" s="17"/>
      <c r="G1640" s="18">
        <v>3093.7000</v>
      </c>
      <c r="H1640" s="18">
        <v>0</v>
      </c>
      <c r="I1640" s="18">
        <f ca="1">((I1639 + G1640) - H1640)</f>
        <v>0</v>
      </c>
      <c r="J1640" s="18">
        <v>0</v>
      </c>
      <c r="K1640" s="19">
        <v>0</v>
      </c>
      <c r="L1640" s="17"/>
    </row>
    <row r="1641" ht="10.95" customHeight="true" customFormat="true" s="9">
      <c r="A1641" s="16">
        <v>45267</v>
      </c>
      <c r="B1641" s="17" t="s">
        <v>424</v>
      </c>
      <c r="C1641" s="17" t="s">
        <v>425</v>
      </c>
      <c r="D1641" s="17" t="s">
        <v>22</v>
      </c>
      <c r="E1641" s="17" t="s">
        <v>484</v>
      </c>
      <c r="F1641" s="17"/>
      <c r="G1641" s="18">
        <v>0</v>
      </c>
      <c r="H1641" s="18">
        <v>19.9500</v>
      </c>
      <c r="I1641" s="18">
        <f ca="1">((I1640 + G1641) - H1641)</f>
        <v>0</v>
      </c>
      <c r="J1641" s="18">
        <v>0</v>
      </c>
      <c r="K1641" s="19">
        <v>0</v>
      </c>
      <c r="L1641" s="17"/>
    </row>
    <row r="1642" ht="10.95" customHeight="true" customFormat="true" s="9">
      <c r="A1642" s="16">
        <v>45268</v>
      </c>
      <c r="B1642" s="17" t="s">
        <v>424</v>
      </c>
      <c r="C1642" s="17" t="s">
        <v>425</v>
      </c>
      <c r="D1642" s="17" t="s">
        <v>19</v>
      </c>
      <c r="E1642" s="17" t="s">
        <v>428</v>
      </c>
      <c r="F1642" s="17"/>
      <c r="G1642" s="18">
        <v>2584.7000</v>
      </c>
      <c r="H1642" s="18">
        <v>0</v>
      </c>
      <c r="I1642" s="18">
        <f ca="1">((I1641 + G1642) - H1642)</f>
        <v>0</v>
      </c>
      <c r="J1642" s="18">
        <v>0</v>
      </c>
      <c r="K1642" s="19">
        <v>0</v>
      </c>
      <c r="L1642" s="17"/>
    </row>
    <row r="1643" ht="10.95" customHeight="true" customFormat="true" s="9">
      <c r="A1643" s="16">
        <v>45268</v>
      </c>
      <c r="B1643" s="17" t="s">
        <v>424</v>
      </c>
      <c r="C1643" s="17" t="s">
        <v>425</v>
      </c>
      <c r="D1643" s="17" t="s">
        <v>22</v>
      </c>
      <c r="E1643" s="17" t="s">
        <v>430</v>
      </c>
      <c r="F1643" s="17"/>
      <c r="G1643" s="18">
        <v>0</v>
      </c>
      <c r="H1643" s="18">
        <v>1949.7800</v>
      </c>
      <c r="I1643" s="18">
        <f ca="1">((I1642 + G1643) - H1643)</f>
        <v>0</v>
      </c>
      <c r="J1643" s="18">
        <v>0</v>
      </c>
      <c r="K1643" s="19">
        <v>0</v>
      </c>
      <c r="L1643" s="17"/>
    </row>
    <row r="1644" ht="10.95" customHeight="true" customFormat="true" s="9">
      <c r="A1644" s="16">
        <v>45271</v>
      </c>
      <c r="B1644" s="17" t="s">
        <v>424</v>
      </c>
      <c r="C1644" s="17" t="s">
        <v>425</v>
      </c>
      <c r="D1644" s="17" t="s">
        <v>22</v>
      </c>
      <c r="E1644" s="17" t="s">
        <v>426</v>
      </c>
      <c r="F1644" s="17" t="s">
        <v>485</v>
      </c>
      <c r="G1644" s="18">
        <v>0</v>
      </c>
      <c r="H1644" s="18">
        <v>2000.0000</v>
      </c>
      <c r="I1644" s="18">
        <f ca="1">((I1643 + G1644) - H1644)</f>
        <v>0</v>
      </c>
      <c r="J1644" s="18">
        <v>0</v>
      </c>
      <c r="K1644" s="19">
        <v>0</v>
      </c>
      <c r="L1644" s="17"/>
    </row>
    <row r="1645" ht="10.95" customHeight="true" customFormat="true" s="9">
      <c r="A1645" s="16">
        <v>45271</v>
      </c>
      <c r="B1645" s="17" t="s">
        <v>424</v>
      </c>
      <c r="C1645" s="17" t="s">
        <v>425</v>
      </c>
      <c r="D1645" s="17" t="s">
        <v>22</v>
      </c>
      <c r="E1645" s="17" t="s">
        <v>426</v>
      </c>
      <c r="F1645" s="17" t="s">
        <v>485</v>
      </c>
      <c r="G1645" s="18">
        <v>0</v>
      </c>
      <c r="H1645" s="18">
        <v>69.0000</v>
      </c>
      <c r="I1645" s="18">
        <f ca="1">((I1644 + G1645) - H1645)</f>
        <v>0</v>
      </c>
      <c r="J1645" s="18">
        <v>0</v>
      </c>
      <c r="K1645" s="19">
        <v>0</v>
      </c>
      <c r="L1645" s="17"/>
    </row>
    <row r="1646" ht="10.95" customHeight="true" customFormat="true" s="9">
      <c r="A1646" s="16">
        <v>45271</v>
      </c>
      <c r="B1646" s="17" t="s">
        <v>424</v>
      </c>
      <c r="C1646" s="17" t="s">
        <v>425</v>
      </c>
      <c r="D1646" s="17" t="s">
        <v>22</v>
      </c>
      <c r="E1646" s="17" t="s">
        <v>34</v>
      </c>
      <c r="F1646" s="17"/>
      <c r="G1646" s="18">
        <v>0</v>
      </c>
      <c r="H1646" s="18">
        <v>3061.6500</v>
      </c>
      <c r="I1646" s="18">
        <f ca="1">((I1645 + G1646) - H1646)</f>
        <v>0</v>
      </c>
      <c r="J1646" s="18">
        <v>0</v>
      </c>
      <c r="K1646" s="19">
        <v>0</v>
      </c>
      <c r="L1646" s="17"/>
    </row>
    <row r="1647" ht="10.95" customHeight="true" customFormat="true" s="9">
      <c r="A1647" s="16">
        <v>45271</v>
      </c>
      <c r="B1647" s="17" t="s">
        <v>424</v>
      </c>
      <c r="C1647" s="17" t="s">
        <v>425</v>
      </c>
      <c r="D1647" s="17" t="s">
        <v>19</v>
      </c>
      <c r="E1647" s="17" t="s">
        <v>428</v>
      </c>
      <c r="F1647" s="17"/>
      <c r="G1647" s="18">
        <v>5497.0000</v>
      </c>
      <c r="H1647" s="18">
        <v>0</v>
      </c>
      <c r="I1647" s="18">
        <f ca="1">((I1646 + G1647) - H1647)</f>
        <v>0</v>
      </c>
      <c r="J1647" s="18">
        <v>0</v>
      </c>
      <c r="K1647" s="19">
        <v>0</v>
      </c>
      <c r="L1647" s="17"/>
    </row>
    <row r="1648" ht="10.95" customHeight="true" customFormat="true" s="9">
      <c r="A1648" s="16">
        <v>45271</v>
      </c>
      <c r="B1648" s="17" t="s">
        <v>424</v>
      </c>
      <c r="C1648" s="17" t="s">
        <v>425</v>
      </c>
      <c r="D1648" s="17" t="s">
        <v>22</v>
      </c>
      <c r="E1648" s="17" t="s">
        <v>426</v>
      </c>
      <c r="F1648" s="17" t="s">
        <v>485</v>
      </c>
      <c r="G1648" s="18">
        <v>0</v>
      </c>
      <c r="H1648" s="18">
        <v>855.9000</v>
      </c>
      <c r="I1648" s="18">
        <f ca="1">((I1647 + G1648) - H1648)</f>
        <v>0</v>
      </c>
      <c r="J1648" s="18">
        <v>0</v>
      </c>
      <c r="K1648" s="19">
        <v>0</v>
      </c>
      <c r="L1648" s="17"/>
    </row>
    <row r="1649" ht="10.95" customHeight="true" customFormat="true" s="9">
      <c r="A1649" s="16">
        <v>45271</v>
      </c>
      <c r="B1649" s="17" t="s">
        <v>424</v>
      </c>
      <c r="C1649" s="17" t="s">
        <v>425</v>
      </c>
      <c r="D1649" s="17" t="s">
        <v>19</v>
      </c>
      <c r="E1649" s="17" t="s">
        <v>428</v>
      </c>
      <c r="F1649" s="17"/>
      <c r="G1649" s="18">
        <v>5787.2000</v>
      </c>
      <c r="H1649" s="18">
        <v>0</v>
      </c>
      <c r="I1649" s="18">
        <f ca="1">((I1648 + G1649) - H1649)</f>
        <v>0</v>
      </c>
      <c r="J1649" s="18">
        <v>0</v>
      </c>
      <c r="K1649" s="19">
        <v>0</v>
      </c>
      <c r="L1649" s="17"/>
    </row>
    <row r="1650" ht="10.95" customHeight="true" customFormat="true" s="9">
      <c r="A1650" s="16">
        <v>45271</v>
      </c>
      <c r="B1650" s="17" t="s">
        <v>424</v>
      </c>
      <c r="C1650" s="17" t="s">
        <v>425</v>
      </c>
      <c r="D1650" s="17" t="s">
        <v>22</v>
      </c>
      <c r="E1650" s="17" t="s">
        <v>486</v>
      </c>
      <c r="F1650" s="17"/>
      <c r="G1650" s="18">
        <v>0</v>
      </c>
      <c r="H1650" s="18">
        <v>210.0000</v>
      </c>
      <c r="I1650" s="18">
        <f ca="1">((I1649 + G1650) - H1650)</f>
        <v>0</v>
      </c>
      <c r="J1650" s="18">
        <v>0</v>
      </c>
      <c r="K1650" s="19">
        <v>0</v>
      </c>
      <c r="L1650" s="17"/>
    </row>
    <row r="1651" ht="10.95" customHeight="true" customFormat="true" s="9">
      <c r="A1651" s="16">
        <v>45271</v>
      </c>
      <c r="B1651" s="17" t="s">
        <v>424</v>
      </c>
      <c r="C1651" s="17" t="s">
        <v>425</v>
      </c>
      <c r="D1651" s="17" t="s">
        <v>22</v>
      </c>
      <c r="E1651" s="17" t="s">
        <v>426</v>
      </c>
      <c r="F1651" s="17" t="s">
        <v>485</v>
      </c>
      <c r="G1651" s="18">
        <v>0</v>
      </c>
      <c r="H1651" s="18">
        <v>520.2000</v>
      </c>
      <c r="I1651" s="18">
        <f ca="1">((I1650 + G1651) - H1651)</f>
        <v>0</v>
      </c>
      <c r="J1651" s="18">
        <v>0</v>
      </c>
      <c r="K1651" s="19">
        <v>0</v>
      </c>
      <c r="L1651" s="17"/>
    </row>
    <row r="1652" ht="10.95" customHeight="true" customFormat="true" s="9">
      <c r="A1652" s="16">
        <v>45271</v>
      </c>
      <c r="B1652" s="17" t="s">
        <v>424</v>
      </c>
      <c r="C1652" s="17" t="s">
        <v>425</v>
      </c>
      <c r="D1652" s="17" t="s">
        <v>19</v>
      </c>
      <c r="E1652" s="17" t="s">
        <v>24</v>
      </c>
      <c r="F1652" s="17"/>
      <c r="G1652" s="18">
        <v>150.0000</v>
      </c>
      <c r="H1652" s="18">
        <v>0</v>
      </c>
      <c r="I1652" s="18">
        <f ca="1">((I1651 + G1652) - H1652)</f>
        <v>0</v>
      </c>
      <c r="J1652" s="18">
        <v>0</v>
      </c>
      <c r="K1652" s="19">
        <v>0</v>
      </c>
      <c r="L1652" s="17"/>
    </row>
    <row r="1653" ht="10.95" customHeight="true" customFormat="true" s="9">
      <c r="A1653" s="16">
        <v>45271</v>
      </c>
      <c r="B1653" s="17" t="s">
        <v>424</v>
      </c>
      <c r="C1653" s="17" t="s">
        <v>425</v>
      </c>
      <c r="D1653" s="17" t="s">
        <v>22</v>
      </c>
      <c r="E1653" s="17" t="s">
        <v>426</v>
      </c>
      <c r="F1653" s="17" t="s">
        <v>485</v>
      </c>
      <c r="G1653" s="18">
        <v>0</v>
      </c>
      <c r="H1653" s="18">
        <v>63.0000</v>
      </c>
      <c r="I1653" s="18">
        <f ca="1">((I1652 + G1653) - H1653)</f>
        <v>0</v>
      </c>
      <c r="J1653" s="18">
        <v>0</v>
      </c>
      <c r="K1653" s="19">
        <v>0</v>
      </c>
      <c r="L1653" s="17"/>
    </row>
    <row r="1654" ht="10.95" customHeight="true" customFormat="true" s="9">
      <c r="A1654" s="16">
        <v>45271</v>
      </c>
      <c r="B1654" s="17" t="s">
        <v>424</v>
      </c>
      <c r="C1654" s="17" t="s">
        <v>425</v>
      </c>
      <c r="D1654" s="17" t="s">
        <v>22</v>
      </c>
      <c r="E1654" s="17" t="s">
        <v>426</v>
      </c>
      <c r="F1654" s="17" t="s">
        <v>485</v>
      </c>
      <c r="G1654" s="18">
        <v>0</v>
      </c>
      <c r="H1654" s="18">
        <v>392.7000</v>
      </c>
      <c r="I1654" s="18">
        <f ca="1">((I1653 + G1654) - H1654)</f>
        <v>0</v>
      </c>
      <c r="J1654" s="18">
        <v>0</v>
      </c>
      <c r="K1654" s="19">
        <v>0</v>
      </c>
      <c r="L1654" s="17"/>
    </row>
    <row r="1655" ht="10.95" customHeight="true" customFormat="true" s="9">
      <c r="A1655" s="16">
        <v>45271</v>
      </c>
      <c r="B1655" s="17" t="s">
        <v>424</v>
      </c>
      <c r="C1655" s="17" t="s">
        <v>425</v>
      </c>
      <c r="D1655" s="17" t="s">
        <v>19</v>
      </c>
      <c r="E1655" s="17" t="s">
        <v>428</v>
      </c>
      <c r="F1655" s="17"/>
      <c r="G1655" s="18">
        <v>3070.0500</v>
      </c>
      <c r="H1655" s="18">
        <v>0</v>
      </c>
      <c r="I1655" s="18">
        <f ca="1">((I1654 + G1655) - H1655)</f>
        <v>0</v>
      </c>
      <c r="J1655" s="18">
        <v>0</v>
      </c>
      <c r="K1655" s="19">
        <v>0</v>
      </c>
      <c r="L1655" s="17"/>
    </row>
    <row r="1656" ht="10.95" customHeight="true" customFormat="true" s="9">
      <c r="A1656" s="16">
        <v>45271</v>
      </c>
      <c r="B1656" s="17" t="s">
        <v>424</v>
      </c>
      <c r="C1656" s="17" t="s">
        <v>425</v>
      </c>
      <c r="D1656" s="17" t="s">
        <v>22</v>
      </c>
      <c r="E1656" s="17" t="s">
        <v>438</v>
      </c>
      <c r="F1656" s="17"/>
      <c r="G1656" s="18">
        <v>0</v>
      </c>
      <c r="H1656" s="18">
        <v>59.3700</v>
      </c>
      <c r="I1656" s="18">
        <f ca="1">((I1655 + G1656) - H1656)</f>
        <v>0</v>
      </c>
      <c r="J1656" s="18">
        <v>0</v>
      </c>
      <c r="K1656" s="19">
        <v>0</v>
      </c>
      <c r="L1656" s="17"/>
    </row>
    <row r="1657" ht="10.95" customHeight="true" customFormat="true" s="9">
      <c r="A1657" s="16">
        <v>45271</v>
      </c>
      <c r="B1657" s="17" t="s">
        <v>424</v>
      </c>
      <c r="C1657" s="17" t="s">
        <v>425</v>
      </c>
      <c r="D1657" s="17" t="s">
        <v>22</v>
      </c>
      <c r="E1657" s="17" t="s">
        <v>426</v>
      </c>
      <c r="F1657" s="17" t="s">
        <v>485</v>
      </c>
      <c r="G1657" s="18">
        <v>0</v>
      </c>
      <c r="H1657" s="18">
        <v>841.0000</v>
      </c>
      <c r="I1657" s="18">
        <f ca="1">((I1656 + G1657) - H1657)</f>
        <v>0</v>
      </c>
      <c r="J1657" s="18">
        <v>0</v>
      </c>
      <c r="K1657" s="19">
        <v>0</v>
      </c>
      <c r="L1657" s="17"/>
    </row>
    <row r="1658" ht="10.95" customHeight="true" customFormat="true" s="9">
      <c r="A1658" s="16">
        <v>45272</v>
      </c>
      <c r="B1658" s="17" t="s">
        <v>424</v>
      </c>
      <c r="C1658" s="17" t="s">
        <v>425</v>
      </c>
      <c r="D1658" s="17" t="s">
        <v>22</v>
      </c>
      <c r="E1658" s="17" t="s">
        <v>431</v>
      </c>
      <c r="F1658" s="17"/>
      <c r="G1658" s="18">
        <v>0</v>
      </c>
      <c r="H1658" s="18">
        <v>65.0000</v>
      </c>
      <c r="I1658" s="18">
        <f ca="1">((I1657 + G1658) - H1658)</f>
        <v>0</v>
      </c>
      <c r="J1658" s="18">
        <v>0</v>
      </c>
      <c r="K1658" s="19">
        <v>0</v>
      </c>
      <c r="L1658" s="17"/>
    </row>
    <row r="1659" ht="10.95" customHeight="true" customFormat="true" s="9">
      <c r="A1659" s="16">
        <v>45273</v>
      </c>
      <c r="B1659" s="17" t="s">
        <v>424</v>
      </c>
      <c r="C1659" s="17" t="s">
        <v>425</v>
      </c>
      <c r="D1659" s="17" t="s">
        <v>22</v>
      </c>
      <c r="E1659" s="17" t="s">
        <v>430</v>
      </c>
      <c r="F1659" s="17"/>
      <c r="G1659" s="18">
        <v>0</v>
      </c>
      <c r="H1659" s="18">
        <v>1370.4000</v>
      </c>
      <c r="I1659" s="18">
        <f ca="1">((I1658 + G1659) - H1659)</f>
        <v>0</v>
      </c>
      <c r="J1659" s="18">
        <v>0</v>
      </c>
      <c r="K1659" s="19">
        <v>0</v>
      </c>
      <c r="L1659" s="17"/>
    </row>
    <row r="1660" ht="10.95" customHeight="true" customFormat="true" s="9">
      <c r="A1660" s="16">
        <v>45273</v>
      </c>
      <c r="B1660" s="17" t="s">
        <v>424</v>
      </c>
      <c r="C1660" s="17" t="s">
        <v>425</v>
      </c>
      <c r="D1660" s="17" t="s">
        <v>19</v>
      </c>
      <c r="E1660" s="17" t="s">
        <v>428</v>
      </c>
      <c r="F1660" s="17"/>
      <c r="G1660" s="18">
        <v>2579.9500</v>
      </c>
      <c r="H1660" s="18">
        <v>0</v>
      </c>
      <c r="I1660" s="18">
        <f ca="1">((I1659 + G1660) - H1660)</f>
        <v>0</v>
      </c>
      <c r="J1660" s="18">
        <v>0</v>
      </c>
      <c r="K1660" s="19">
        <v>0</v>
      </c>
      <c r="L1660" s="17"/>
    </row>
    <row r="1661" ht="10.95" customHeight="true" customFormat="true" s="9">
      <c r="A1661" s="16">
        <v>45273</v>
      </c>
      <c r="B1661" s="17" t="s">
        <v>424</v>
      </c>
      <c r="C1661" s="17" t="s">
        <v>425</v>
      </c>
      <c r="D1661" s="17" t="s">
        <v>22</v>
      </c>
      <c r="E1661" s="17" t="s">
        <v>434</v>
      </c>
      <c r="F1661" s="17"/>
      <c r="G1661" s="18">
        <v>0</v>
      </c>
      <c r="H1661" s="18">
        <v>398.2500</v>
      </c>
      <c r="I1661" s="18">
        <f ca="1">((I1660 + G1661) - H1661)</f>
        <v>0</v>
      </c>
      <c r="J1661" s="18">
        <v>0</v>
      </c>
      <c r="K1661" s="19">
        <v>0</v>
      </c>
      <c r="L1661" s="17"/>
    </row>
    <row r="1662" ht="10.95" customHeight="true" customFormat="true" s="9">
      <c r="A1662" s="16">
        <v>45274</v>
      </c>
      <c r="B1662" s="17" t="s">
        <v>424</v>
      </c>
      <c r="C1662" s="17" t="s">
        <v>425</v>
      </c>
      <c r="D1662" s="17" t="s">
        <v>22</v>
      </c>
      <c r="E1662" s="17" t="s">
        <v>298</v>
      </c>
      <c r="F1662" s="17"/>
      <c r="G1662" s="18">
        <v>0</v>
      </c>
      <c r="H1662" s="18">
        <v>5983.9500</v>
      </c>
      <c r="I1662" s="18">
        <f ca="1">((I1661 + G1662) - H1662)</f>
        <v>0</v>
      </c>
      <c r="J1662" s="18">
        <v>0</v>
      </c>
      <c r="K1662" s="19">
        <v>0</v>
      </c>
      <c r="L1662" s="17"/>
    </row>
    <row r="1663" ht="10.95" customHeight="true" customFormat="true" s="9">
      <c r="A1663" s="16">
        <v>45274</v>
      </c>
      <c r="B1663" s="17" t="s">
        <v>424</v>
      </c>
      <c r="C1663" s="17" t="s">
        <v>425</v>
      </c>
      <c r="D1663" s="17" t="s">
        <v>19</v>
      </c>
      <c r="E1663" s="17" t="s">
        <v>428</v>
      </c>
      <c r="F1663" s="17"/>
      <c r="G1663" s="18">
        <v>2508.5000</v>
      </c>
      <c r="H1663" s="18">
        <v>0</v>
      </c>
      <c r="I1663" s="18">
        <f ca="1">((I1662 + G1663) - H1663)</f>
        <v>0</v>
      </c>
      <c r="J1663" s="18">
        <v>0</v>
      </c>
      <c r="K1663" s="19">
        <v>0</v>
      </c>
      <c r="L1663" s="17"/>
    </row>
    <row r="1664" ht="10.95" customHeight="true" customFormat="true" s="9">
      <c r="A1664" s="16">
        <v>45275</v>
      </c>
      <c r="B1664" s="17" t="s">
        <v>424</v>
      </c>
      <c r="C1664" s="17" t="s">
        <v>425</v>
      </c>
      <c r="D1664" s="17" t="s">
        <v>19</v>
      </c>
      <c r="E1664" s="17" t="s">
        <v>428</v>
      </c>
      <c r="F1664" s="17"/>
      <c r="G1664" s="18">
        <v>2766.2500</v>
      </c>
      <c r="H1664" s="18">
        <v>0</v>
      </c>
      <c r="I1664" s="18">
        <f ca="1">((I1663 + G1664) - H1664)</f>
        <v>0</v>
      </c>
      <c r="J1664" s="18">
        <v>0</v>
      </c>
      <c r="K1664" s="19">
        <v>0</v>
      </c>
      <c r="L1664" s="17"/>
    </row>
    <row r="1665" ht="10.95" customHeight="true" customFormat="true" s="9">
      <c r="A1665" s="16">
        <v>45275</v>
      </c>
      <c r="B1665" s="17" t="s">
        <v>424</v>
      </c>
      <c r="C1665" s="17" t="s">
        <v>425</v>
      </c>
      <c r="D1665" s="17" t="s">
        <v>22</v>
      </c>
      <c r="E1665" s="17" t="s">
        <v>430</v>
      </c>
      <c r="F1665" s="17"/>
      <c r="G1665" s="18">
        <v>0</v>
      </c>
      <c r="H1665" s="18">
        <v>1792.9500</v>
      </c>
      <c r="I1665" s="18">
        <f ca="1">((I1664 + G1665) - H1665)</f>
        <v>0</v>
      </c>
      <c r="J1665" s="18">
        <v>0</v>
      </c>
      <c r="K1665" s="19">
        <v>0</v>
      </c>
      <c r="L1665" s="17"/>
    </row>
    <row r="1666" ht="10.95" customHeight="true" customFormat="true" s="9">
      <c r="A1666" s="16">
        <v>45275</v>
      </c>
      <c r="B1666" s="17" t="s">
        <v>424</v>
      </c>
      <c r="C1666" s="17" t="s">
        <v>425</v>
      </c>
      <c r="D1666" s="17" t="s">
        <v>22</v>
      </c>
      <c r="E1666" s="17" t="s">
        <v>434</v>
      </c>
      <c r="F1666" s="17"/>
      <c r="G1666" s="18">
        <v>0</v>
      </c>
      <c r="H1666" s="18">
        <v>510.0000</v>
      </c>
      <c r="I1666" s="18">
        <f ca="1">((I1665 + G1666) - H1666)</f>
        <v>0</v>
      </c>
      <c r="J1666" s="18">
        <v>0</v>
      </c>
      <c r="K1666" s="19">
        <v>0</v>
      </c>
      <c r="L1666" s="17"/>
    </row>
    <row r="1667" ht="10.95" customHeight="true" customFormat="true" s="9">
      <c r="A1667" s="16">
        <v>45275</v>
      </c>
      <c r="B1667" s="17" t="s">
        <v>424</v>
      </c>
      <c r="C1667" s="17" t="s">
        <v>425</v>
      </c>
      <c r="D1667" s="17" t="s">
        <v>22</v>
      </c>
      <c r="E1667" s="17" t="s">
        <v>487</v>
      </c>
      <c r="F1667" s="17"/>
      <c r="G1667" s="18">
        <v>0</v>
      </c>
      <c r="H1667" s="18">
        <v>792.0000</v>
      </c>
      <c r="I1667" s="18">
        <f ca="1">((I1666 + G1667) - H1667)</f>
        <v>0</v>
      </c>
      <c r="J1667" s="18">
        <v>0</v>
      </c>
      <c r="K1667" s="19">
        <v>0</v>
      </c>
      <c r="L1667" s="17"/>
    </row>
    <row r="1668" ht="10.95" customHeight="true" customFormat="true" s="9">
      <c r="A1668" s="16">
        <v>45278</v>
      </c>
      <c r="B1668" s="17" t="s">
        <v>424</v>
      </c>
      <c r="C1668" s="17" t="s">
        <v>425</v>
      </c>
      <c r="D1668" s="17" t="s">
        <v>22</v>
      </c>
      <c r="E1668" s="17" t="s">
        <v>34</v>
      </c>
      <c r="F1668" s="17"/>
      <c r="G1668" s="18">
        <v>0</v>
      </c>
      <c r="H1668" s="18">
        <v>2200.0000</v>
      </c>
      <c r="I1668" s="18">
        <f ca="1">((I1667 + G1668) - H1668)</f>
        <v>0</v>
      </c>
      <c r="J1668" s="18">
        <v>0</v>
      </c>
      <c r="K1668" s="19">
        <v>0</v>
      </c>
      <c r="L1668" s="17"/>
    </row>
    <row r="1669" ht="10.95" customHeight="true" customFormat="true" s="9">
      <c r="A1669" s="16">
        <v>45278</v>
      </c>
      <c r="B1669" s="17" t="s">
        <v>424</v>
      </c>
      <c r="C1669" s="17" t="s">
        <v>425</v>
      </c>
      <c r="D1669" s="17" t="s">
        <v>19</v>
      </c>
      <c r="E1669" s="17" t="s">
        <v>24</v>
      </c>
      <c r="F1669" s="17"/>
      <c r="G1669" s="18">
        <v>125.0000</v>
      </c>
      <c r="H1669" s="18">
        <v>0</v>
      </c>
      <c r="I1669" s="18">
        <f ca="1">((I1668 + G1669) - H1669)</f>
        <v>0</v>
      </c>
      <c r="J1669" s="18">
        <v>0</v>
      </c>
      <c r="K1669" s="19">
        <v>0</v>
      </c>
      <c r="L1669" s="17"/>
    </row>
    <row r="1670" ht="10.95" customHeight="true" customFormat="true" s="9">
      <c r="A1670" s="16">
        <v>45278</v>
      </c>
      <c r="B1670" s="17" t="s">
        <v>424</v>
      </c>
      <c r="C1670" s="17" t="s">
        <v>425</v>
      </c>
      <c r="D1670" s="17" t="s">
        <v>22</v>
      </c>
      <c r="E1670" s="17" t="s">
        <v>433</v>
      </c>
      <c r="F1670" s="17"/>
      <c r="G1670" s="18">
        <v>0</v>
      </c>
      <c r="H1670" s="18">
        <v>882.0600</v>
      </c>
      <c r="I1670" s="18">
        <f ca="1">((I1669 + G1670) - H1670)</f>
        <v>0</v>
      </c>
      <c r="J1670" s="18">
        <v>0</v>
      </c>
      <c r="K1670" s="19">
        <v>0</v>
      </c>
      <c r="L1670" s="17"/>
    </row>
    <row r="1671" ht="10.95" customHeight="true" customFormat="true" s="9">
      <c r="A1671" s="16">
        <v>45278</v>
      </c>
      <c r="B1671" s="17" t="s">
        <v>424</v>
      </c>
      <c r="C1671" s="17" t="s">
        <v>425</v>
      </c>
      <c r="D1671" s="17" t="s">
        <v>22</v>
      </c>
      <c r="E1671" s="17" t="s">
        <v>436</v>
      </c>
      <c r="F1671" s="17"/>
      <c r="G1671" s="18">
        <v>0</v>
      </c>
      <c r="H1671" s="18">
        <v>109.5000</v>
      </c>
      <c r="I1671" s="18">
        <f ca="1">((I1670 + G1671) - H1671)</f>
        <v>0</v>
      </c>
      <c r="J1671" s="18">
        <v>0</v>
      </c>
      <c r="K1671" s="19">
        <v>0</v>
      </c>
      <c r="L1671" s="17"/>
    </row>
    <row r="1672" ht="10.95" customHeight="true" customFormat="true" s="9">
      <c r="A1672" s="16">
        <v>45278</v>
      </c>
      <c r="B1672" s="17" t="s">
        <v>424</v>
      </c>
      <c r="C1672" s="17" t="s">
        <v>425</v>
      </c>
      <c r="D1672" s="17" t="s">
        <v>22</v>
      </c>
      <c r="E1672" s="17" t="s">
        <v>426</v>
      </c>
      <c r="F1672" s="17" t="s">
        <v>488</v>
      </c>
      <c r="G1672" s="18">
        <v>0</v>
      </c>
      <c r="H1672" s="18">
        <v>650.6800</v>
      </c>
      <c r="I1672" s="18">
        <f ca="1">((I1671 + G1672) - H1672)</f>
        <v>0</v>
      </c>
      <c r="J1672" s="18">
        <v>0</v>
      </c>
      <c r="K1672" s="19">
        <v>0</v>
      </c>
      <c r="L1672" s="17"/>
    </row>
    <row r="1673" ht="10.95" customHeight="true" customFormat="true" s="9">
      <c r="A1673" s="16">
        <v>45278</v>
      </c>
      <c r="B1673" s="17" t="s">
        <v>424</v>
      </c>
      <c r="C1673" s="17" t="s">
        <v>425</v>
      </c>
      <c r="D1673" s="17" t="s">
        <v>22</v>
      </c>
      <c r="E1673" s="17" t="s">
        <v>426</v>
      </c>
      <c r="F1673" s="17" t="s">
        <v>488</v>
      </c>
      <c r="G1673" s="18">
        <v>0</v>
      </c>
      <c r="H1673" s="18">
        <v>2000.0000</v>
      </c>
      <c r="I1673" s="18">
        <f ca="1">((I1672 + G1673) - H1673)</f>
        <v>0</v>
      </c>
      <c r="J1673" s="18">
        <v>0</v>
      </c>
      <c r="K1673" s="19">
        <v>0</v>
      </c>
      <c r="L1673" s="17"/>
    </row>
    <row r="1674" ht="10.95" customHeight="true" customFormat="true" s="9">
      <c r="A1674" s="16">
        <v>45278</v>
      </c>
      <c r="B1674" s="17" t="s">
        <v>424</v>
      </c>
      <c r="C1674" s="17" t="s">
        <v>425</v>
      </c>
      <c r="D1674" s="17" t="s">
        <v>22</v>
      </c>
      <c r="E1674" s="17" t="s">
        <v>426</v>
      </c>
      <c r="F1674" s="17" t="s">
        <v>488</v>
      </c>
      <c r="G1674" s="18">
        <v>0</v>
      </c>
      <c r="H1674" s="18">
        <v>1342.9000</v>
      </c>
      <c r="I1674" s="18">
        <f ca="1">((I1673 + G1674) - H1674)</f>
        <v>0</v>
      </c>
      <c r="J1674" s="18">
        <v>0</v>
      </c>
      <c r="K1674" s="19">
        <v>0</v>
      </c>
      <c r="L1674" s="17"/>
    </row>
    <row r="1675" ht="10.95" customHeight="true" customFormat="true" s="9">
      <c r="A1675" s="16">
        <v>45278</v>
      </c>
      <c r="B1675" s="17" t="s">
        <v>424</v>
      </c>
      <c r="C1675" s="17" t="s">
        <v>425</v>
      </c>
      <c r="D1675" s="17" t="s">
        <v>19</v>
      </c>
      <c r="E1675" s="17" t="s">
        <v>428</v>
      </c>
      <c r="F1675" s="17"/>
      <c r="G1675" s="18">
        <v>2974.7000</v>
      </c>
      <c r="H1675" s="18">
        <v>0</v>
      </c>
      <c r="I1675" s="18">
        <f ca="1">((I1674 + G1675) - H1675)</f>
        <v>0</v>
      </c>
      <c r="J1675" s="18">
        <v>0</v>
      </c>
      <c r="K1675" s="19">
        <v>0</v>
      </c>
      <c r="L1675" s="17"/>
    </row>
    <row r="1676" ht="10.95" customHeight="true" customFormat="true" s="9">
      <c r="A1676" s="16">
        <v>45278</v>
      </c>
      <c r="B1676" s="17" t="s">
        <v>424</v>
      </c>
      <c r="C1676" s="17" t="s">
        <v>425</v>
      </c>
      <c r="D1676" s="17" t="s">
        <v>22</v>
      </c>
      <c r="E1676" s="17" t="s">
        <v>426</v>
      </c>
      <c r="F1676" s="17" t="s">
        <v>488</v>
      </c>
      <c r="G1676" s="18">
        <v>0</v>
      </c>
      <c r="H1676" s="18">
        <v>697.0000</v>
      </c>
      <c r="I1676" s="18">
        <f ca="1">((I1675 + G1676) - H1676)</f>
        <v>0</v>
      </c>
      <c r="J1676" s="18">
        <v>0</v>
      </c>
      <c r="K1676" s="19">
        <v>0</v>
      </c>
      <c r="L1676" s="17"/>
    </row>
    <row r="1677" ht="10.95" customHeight="true" customFormat="true" s="9">
      <c r="A1677" s="16">
        <v>45278</v>
      </c>
      <c r="B1677" s="17" t="s">
        <v>424</v>
      </c>
      <c r="C1677" s="17" t="s">
        <v>425</v>
      </c>
      <c r="D1677" s="17" t="s">
        <v>22</v>
      </c>
      <c r="E1677" s="17" t="s">
        <v>426</v>
      </c>
      <c r="F1677" s="17" t="s">
        <v>488</v>
      </c>
      <c r="G1677" s="18">
        <v>0</v>
      </c>
      <c r="H1677" s="18">
        <v>138.0000</v>
      </c>
      <c r="I1677" s="18">
        <f ca="1">((I1676 + G1677) - H1677)</f>
        <v>0</v>
      </c>
      <c r="J1677" s="18">
        <v>0</v>
      </c>
      <c r="K1677" s="19">
        <v>0</v>
      </c>
      <c r="L1677" s="17"/>
    </row>
    <row r="1678" ht="10.95" customHeight="true" customFormat="true" s="9">
      <c r="A1678" s="16">
        <v>45278</v>
      </c>
      <c r="B1678" s="17" t="s">
        <v>424</v>
      </c>
      <c r="C1678" s="17" t="s">
        <v>425</v>
      </c>
      <c r="D1678" s="17" t="s">
        <v>22</v>
      </c>
      <c r="E1678" s="17" t="s">
        <v>426</v>
      </c>
      <c r="F1678" s="17" t="s">
        <v>488</v>
      </c>
      <c r="G1678" s="18">
        <v>0</v>
      </c>
      <c r="H1678" s="18">
        <v>674.5000</v>
      </c>
      <c r="I1678" s="18">
        <f ca="1">((I1677 + G1678) - H1678)</f>
        <v>0</v>
      </c>
      <c r="J1678" s="18">
        <v>0</v>
      </c>
      <c r="K1678" s="19">
        <v>0</v>
      </c>
      <c r="L1678" s="17"/>
    </row>
    <row r="1679" ht="10.95" customHeight="true" customFormat="true" s="9">
      <c r="A1679" s="16">
        <v>45278</v>
      </c>
      <c r="B1679" s="17" t="s">
        <v>424</v>
      </c>
      <c r="C1679" s="17" t="s">
        <v>425</v>
      </c>
      <c r="D1679" s="17" t="s">
        <v>19</v>
      </c>
      <c r="E1679" s="17" t="s">
        <v>428</v>
      </c>
      <c r="F1679" s="17"/>
      <c r="G1679" s="18">
        <v>5619.5000</v>
      </c>
      <c r="H1679" s="18">
        <v>0</v>
      </c>
      <c r="I1679" s="18">
        <f ca="1">((I1678 + G1679) - H1679)</f>
        <v>0</v>
      </c>
      <c r="J1679" s="18">
        <v>0</v>
      </c>
      <c r="K1679" s="19">
        <v>0</v>
      </c>
      <c r="L1679" s="17"/>
    </row>
    <row r="1680" ht="10.95" customHeight="true" customFormat="true" s="9">
      <c r="A1680" s="16">
        <v>45278</v>
      </c>
      <c r="B1680" s="17" t="s">
        <v>424</v>
      </c>
      <c r="C1680" s="17" t="s">
        <v>425</v>
      </c>
      <c r="D1680" s="17" t="s">
        <v>19</v>
      </c>
      <c r="E1680" s="17" t="s">
        <v>428</v>
      </c>
      <c r="F1680" s="17"/>
      <c r="G1680" s="18">
        <v>5678.9100</v>
      </c>
      <c r="H1680" s="18">
        <v>0</v>
      </c>
      <c r="I1680" s="18">
        <f ca="1">((I1679 + G1680) - H1680)</f>
        <v>0</v>
      </c>
      <c r="J1680" s="18">
        <v>0</v>
      </c>
      <c r="K1680" s="19">
        <v>0</v>
      </c>
      <c r="L1680" s="17"/>
    </row>
    <row r="1681" ht="10.95" customHeight="true" customFormat="true" s="9">
      <c r="A1681" s="16">
        <v>45278</v>
      </c>
      <c r="B1681" s="17" t="s">
        <v>424</v>
      </c>
      <c r="C1681" s="17" t="s">
        <v>425</v>
      </c>
      <c r="D1681" s="17" t="s">
        <v>22</v>
      </c>
      <c r="E1681" s="17" t="s">
        <v>438</v>
      </c>
      <c r="F1681" s="17"/>
      <c r="G1681" s="18">
        <v>0</v>
      </c>
      <c r="H1681" s="18">
        <v>18.0000</v>
      </c>
      <c r="I1681" s="18">
        <f ca="1">((I1680 + G1681) - H1681)</f>
        <v>0</v>
      </c>
      <c r="J1681" s="18">
        <v>0</v>
      </c>
      <c r="K1681" s="19">
        <v>0</v>
      </c>
      <c r="L1681" s="17"/>
    </row>
    <row r="1682" ht="10.95" customHeight="true" customFormat="true" s="9">
      <c r="A1682" s="16">
        <v>45279</v>
      </c>
      <c r="B1682" s="17" t="s">
        <v>424</v>
      </c>
      <c r="C1682" s="17" t="s">
        <v>425</v>
      </c>
      <c r="D1682" s="17" t="s">
        <v>22</v>
      </c>
      <c r="E1682" s="17" t="s">
        <v>430</v>
      </c>
      <c r="F1682" s="17"/>
      <c r="G1682" s="18">
        <v>0</v>
      </c>
      <c r="H1682" s="18">
        <v>1841.1200</v>
      </c>
      <c r="I1682" s="18">
        <f ca="1">((I1681 + G1682) - H1682)</f>
        <v>0</v>
      </c>
      <c r="J1682" s="18">
        <v>0</v>
      </c>
      <c r="K1682" s="19">
        <v>0</v>
      </c>
      <c r="L1682" s="17"/>
    </row>
    <row r="1683" ht="10.95" customHeight="true" customFormat="true" s="9">
      <c r="A1683" s="16">
        <v>45279</v>
      </c>
      <c r="B1683" s="17" t="s">
        <v>424</v>
      </c>
      <c r="C1683" s="17" t="s">
        <v>425</v>
      </c>
      <c r="D1683" s="17" t="s">
        <v>19</v>
      </c>
      <c r="E1683" s="17" t="s">
        <v>428</v>
      </c>
      <c r="F1683" s="17"/>
      <c r="G1683" s="18">
        <v>7.0000</v>
      </c>
      <c r="H1683" s="18">
        <v>0</v>
      </c>
      <c r="I1683" s="18">
        <f ca="1">((I1682 + G1683) - H1683)</f>
        <v>0</v>
      </c>
      <c r="J1683" s="18">
        <v>0</v>
      </c>
      <c r="K1683" s="19">
        <v>0</v>
      </c>
      <c r="L1683" s="17"/>
    </row>
    <row r="1684" ht="10.95" customHeight="true" customFormat="true" s="9">
      <c r="A1684" s="16">
        <v>45279</v>
      </c>
      <c r="B1684" s="17" t="s">
        <v>424</v>
      </c>
      <c r="C1684" s="17" t="s">
        <v>425</v>
      </c>
      <c r="D1684" s="17" t="s">
        <v>22</v>
      </c>
      <c r="E1684" s="17" t="s">
        <v>461</v>
      </c>
      <c r="F1684" s="17"/>
      <c r="G1684" s="18">
        <v>0</v>
      </c>
      <c r="H1684" s="18">
        <v>2935.4800</v>
      </c>
      <c r="I1684" s="18">
        <f ca="1">((I1683 + G1684) - H1684)</f>
        <v>0</v>
      </c>
      <c r="J1684" s="18">
        <v>0</v>
      </c>
      <c r="K1684" s="19">
        <v>0</v>
      </c>
      <c r="L1684" s="17"/>
    </row>
    <row r="1685" ht="10.95" customHeight="true" customFormat="true" s="9">
      <c r="A1685" s="16">
        <v>45280</v>
      </c>
      <c r="B1685" s="17" t="s">
        <v>424</v>
      </c>
      <c r="C1685" s="17" t="s">
        <v>425</v>
      </c>
      <c r="D1685" s="17" t="s">
        <v>19</v>
      </c>
      <c r="E1685" s="17" t="s">
        <v>428</v>
      </c>
      <c r="F1685" s="17"/>
      <c r="G1685" s="18">
        <v>2735.9000</v>
      </c>
      <c r="H1685" s="18">
        <v>0</v>
      </c>
      <c r="I1685" s="18">
        <f ca="1">((I1684 + G1685) - H1685)</f>
        <v>0</v>
      </c>
      <c r="J1685" s="18">
        <v>0</v>
      </c>
      <c r="K1685" s="19">
        <v>0</v>
      </c>
      <c r="L1685" s="17"/>
    </row>
    <row r="1686" ht="10.95" customHeight="true" customFormat="true" s="9">
      <c r="A1686" s="16">
        <v>45281</v>
      </c>
      <c r="B1686" s="17" t="s">
        <v>424</v>
      </c>
      <c r="C1686" s="17" t="s">
        <v>425</v>
      </c>
      <c r="D1686" s="17" t="s">
        <v>22</v>
      </c>
      <c r="E1686" s="17" t="s">
        <v>489</v>
      </c>
      <c r="F1686" s="17"/>
      <c r="G1686" s="18">
        <v>0</v>
      </c>
      <c r="H1686" s="18">
        <v>76.0000</v>
      </c>
      <c r="I1686" s="18">
        <f ca="1">((I1685 + G1686) - H1686)</f>
        <v>0</v>
      </c>
      <c r="J1686" s="18">
        <v>0</v>
      </c>
      <c r="K1686" s="19">
        <v>0</v>
      </c>
      <c r="L1686" s="17"/>
    </row>
    <row r="1687" ht="10.95" customHeight="true" customFormat="true" s="9">
      <c r="A1687" s="16">
        <v>45281</v>
      </c>
      <c r="B1687" s="17" t="s">
        <v>424</v>
      </c>
      <c r="C1687" s="17" t="s">
        <v>425</v>
      </c>
      <c r="D1687" s="17" t="s">
        <v>19</v>
      </c>
      <c r="E1687" s="17" t="s">
        <v>428</v>
      </c>
      <c r="F1687" s="17"/>
      <c r="G1687" s="18">
        <v>2675.3000</v>
      </c>
      <c r="H1687" s="18">
        <v>0</v>
      </c>
      <c r="I1687" s="18">
        <f ca="1">((I1686 + G1687) - H1687)</f>
        <v>0</v>
      </c>
      <c r="J1687" s="18">
        <v>0</v>
      </c>
      <c r="K1687" s="19">
        <v>0</v>
      </c>
      <c r="L1687" s="17"/>
    </row>
    <row r="1688" ht="10.95" customHeight="true" customFormat="true" s="9">
      <c r="A1688" s="16">
        <v>45281</v>
      </c>
      <c r="B1688" s="17" t="s">
        <v>424</v>
      </c>
      <c r="C1688" s="17" t="s">
        <v>425</v>
      </c>
      <c r="D1688" s="17" t="s">
        <v>22</v>
      </c>
      <c r="E1688" s="17" t="s">
        <v>431</v>
      </c>
      <c r="F1688" s="17"/>
      <c r="G1688" s="18">
        <v>0</v>
      </c>
      <c r="H1688" s="18">
        <v>65.0000</v>
      </c>
      <c r="I1688" s="18">
        <f ca="1">((I1687 + G1688) - H1688)</f>
        <v>0</v>
      </c>
      <c r="J1688" s="18">
        <v>0</v>
      </c>
      <c r="K1688" s="19">
        <v>0</v>
      </c>
      <c r="L1688" s="17"/>
    </row>
    <row r="1689" ht="10.95" customHeight="true" customFormat="true" s="9">
      <c r="A1689" s="16">
        <v>45282</v>
      </c>
      <c r="B1689" s="17" t="s">
        <v>424</v>
      </c>
      <c r="C1689" s="17" t="s">
        <v>425</v>
      </c>
      <c r="D1689" s="17" t="s">
        <v>22</v>
      </c>
      <c r="E1689" s="17" t="s">
        <v>430</v>
      </c>
      <c r="F1689" s="17"/>
      <c r="G1689" s="18">
        <v>0</v>
      </c>
      <c r="H1689" s="18">
        <v>2584.8700</v>
      </c>
      <c r="I1689" s="18">
        <f ca="1">((I1688 + G1689) - H1689)</f>
        <v>0</v>
      </c>
      <c r="J1689" s="18">
        <v>0</v>
      </c>
      <c r="K1689" s="19">
        <v>0</v>
      </c>
      <c r="L1689" s="17"/>
    </row>
    <row r="1690" ht="10.95" customHeight="true" customFormat="true" s="9">
      <c r="A1690" s="16">
        <v>45282</v>
      </c>
      <c r="B1690" s="17" t="s">
        <v>424</v>
      </c>
      <c r="C1690" s="17" t="s">
        <v>425</v>
      </c>
      <c r="D1690" s="17" t="s">
        <v>19</v>
      </c>
      <c r="E1690" s="17" t="s">
        <v>428</v>
      </c>
      <c r="F1690" s="17"/>
      <c r="G1690" s="18">
        <v>3370.0000</v>
      </c>
      <c r="H1690" s="18">
        <v>0</v>
      </c>
      <c r="I1690" s="18">
        <f ca="1">((I1689 + G1690) - H1690)</f>
        <v>0</v>
      </c>
      <c r="J1690" s="18">
        <v>0</v>
      </c>
      <c r="K1690" s="19">
        <v>0</v>
      </c>
      <c r="L1690" s="17"/>
    </row>
    <row r="1691" ht="10.95" customHeight="true" customFormat="true" s="9">
      <c r="A1691" s="16">
        <v>45282</v>
      </c>
      <c r="B1691" s="17" t="s">
        <v>424</v>
      </c>
      <c r="C1691" s="17" t="s">
        <v>425</v>
      </c>
      <c r="D1691" s="17" t="s">
        <v>22</v>
      </c>
      <c r="E1691" s="17" t="s">
        <v>438</v>
      </c>
      <c r="F1691" s="17"/>
      <c r="G1691" s="18">
        <v>0</v>
      </c>
      <c r="H1691" s="18">
        <v>21.0000</v>
      </c>
      <c r="I1691" s="18">
        <f ca="1">((I1690 + G1691) - H1691)</f>
        <v>0</v>
      </c>
      <c r="J1691" s="18">
        <v>0</v>
      </c>
      <c r="K1691" s="19">
        <v>0</v>
      </c>
      <c r="L1691" s="17"/>
    </row>
    <row r="1692" ht="10.95" customHeight="true" customFormat="true" s="9">
      <c r="A1692" s="16">
        <v>45287</v>
      </c>
      <c r="B1692" s="17" t="s">
        <v>424</v>
      </c>
      <c r="C1692" s="17" t="s">
        <v>425</v>
      </c>
      <c r="D1692" s="17" t="s">
        <v>22</v>
      </c>
      <c r="E1692" s="17" t="s">
        <v>426</v>
      </c>
      <c r="F1692" s="17" t="s">
        <v>490</v>
      </c>
      <c r="G1692" s="18">
        <v>0</v>
      </c>
      <c r="H1692" s="18">
        <v>286.0300</v>
      </c>
      <c r="I1692" s="18">
        <f ca="1">((I1691 + G1692) - H1692)</f>
        <v>0</v>
      </c>
      <c r="J1692" s="18">
        <v>0</v>
      </c>
      <c r="K1692" s="19">
        <v>0</v>
      </c>
      <c r="L1692" s="17"/>
    </row>
    <row r="1693" ht="10.95" customHeight="true" customFormat="true" s="9">
      <c r="A1693" s="16">
        <v>45287</v>
      </c>
      <c r="B1693" s="17" t="s">
        <v>424</v>
      </c>
      <c r="C1693" s="17" t="s">
        <v>425</v>
      </c>
      <c r="D1693" s="17" t="s">
        <v>22</v>
      </c>
      <c r="E1693" s="17" t="s">
        <v>426</v>
      </c>
      <c r="F1693" s="17" t="s">
        <v>490</v>
      </c>
      <c r="G1693" s="18">
        <v>0</v>
      </c>
      <c r="H1693" s="18">
        <v>1342.9000</v>
      </c>
      <c r="I1693" s="18">
        <f ca="1">((I1692 + G1693) - H1693)</f>
        <v>0</v>
      </c>
      <c r="J1693" s="18">
        <v>0</v>
      </c>
      <c r="K1693" s="19">
        <v>0</v>
      </c>
      <c r="L1693" s="17"/>
    </row>
    <row r="1694" ht="10.95" customHeight="true" customFormat="true" s="9">
      <c r="A1694" s="16">
        <v>45287</v>
      </c>
      <c r="B1694" s="17" t="s">
        <v>424</v>
      </c>
      <c r="C1694" s="17" t="s">
        <v>425</v>
      </c>
      <c r="D1694" s="17" t="s">
        <v>22</v>
      </c>
      <c r="E1694" s="17" t="s">
        <v>442</v>
      </c>
      <c r="F1694" s="17"/>
      <c r="G1694" s="18">
        <v>0</v>
      </c>
      <c r="H1694" s="18">
        <v>183.9600</v>
      </c>
      <c r="I1694" s="18">
        <f ca="1">((I1693 + G1694) - H1694)</f>
        <v>0</v>
      </c>
      <c r="J1694" s="18">
        <v>0</v>
      </c>
      <c r="K1694" s="19">
        <v>0</v>
      </c>
      <c r="L1694" s="17"/>
    </row>
    <row r="1695" ht="10.95" customHeight="true" customFormat="true" s="9">
      <c r="A1695" s="16">
        <v>45287</v>
      </c>
      <c r="B1695" s="17" t="s">
        <v>424</v>
      </c>
      <c r="C1695" s="17" t="s">
        <v>425</v>
      </c>
      <c r="D1695" s="17" t="s">
        <v>19</v>
      </c>
      <c r="E1695" s="17" t="s">
        <v>428</v>
      </c>
      <c r="F1695" s="17"/>
      <c r="G1695" s="18">
        <v>4294.6000</v>
      </c>
      <c r="H1695" s="18">
        <v>0</v>
      </c>
      <c r="I1695" s="18">
        <f ca="1">((I1694 + G1695) - H1695)</f>
        <v>0</v>
      </c>
      <c r="J1695" s="18">
        <v>0</v>
      </c>
      <c r="K1695" s="19">
        <v>0</v>
      </c>
      <c r="L1695" s="17"/>
    </row>
    <row r="1696" ht="10.95" customHeight="true" customFormat="true" s="9">
      <c r="A1696" s="16">
        <v>45287</v>
      </c>
      <c r="B1696" s="17" t="s">
        <v>424</v>
      </c>
      <c r="C1696" s="17" t="s">
        <v>425</v>
      </c>
      <c r="D1696" s="17" t="s">
        <v>22</v>
      </c>
      <c r="E1696" s="17" t="s">
        <v>34</v>
      </c>
      <c r="F1696" s="17"/>
      <c r="G1696" s="18">
        <v>0</v>
      </c>
      <c r="H1696" s="18">
        <v>1575.0000</v>
      </c>
      <c r="I1696" s="18">
        <f ca="1">((I1695 + G1696) - H1696)</f>
        <v>0</v>
      </c>
      <c r="J1696" s="18">
        <v>0</v>
      </c>
      <c r="K1696" s="19">
        <v>0</v>
      </c>
      <c r="L1696" s="17"/>
    </row>
    <row r="1697" ht="10.95" customHeight="true" customFormat="true" s="9">
      <c r="A1697" s="16">
        <v>45287</v>
      </c>
      <c r="B1697" s="17" t="s">
        <v>424</v>
      </c>
      <c r="C1697" s="17" t="s">
        <v>425</v>
      </c>
      <c r="D1697" s="17" t="s">
        <v>22</v>
      </c>
      <c r="E1697" s="17" t="s">
        <v>426</v>
      </c>
      <c r="F1697" s="17" t="s">
        <v>490</v>
      </c>
      <c r="G1697" s="18">
        <v>0</v>
      </c>
      <c r="H1697" s="18">
        <v>858.5000</v>
      </c>
      <c r="I1697" s="18">
        <f ca="1">((I1696 + G1697) - H1697)</f>
        <v>0</v>
      </c>
      <c r="J1697" s="18">
        <v>0</v>
      </c>
      <c r="K1697" s="19">
        <v>0</v>
      </c>
      <c r="L1697" s="17"/>
    </row>
    <row r="1698" ht="10.95" customHeight="true" customFormat="true" s="9">
      <c r="A1698" s="16">
        <v>45287</v>
      </c>
      <c r="B1698" s="17" t="s">
        <v>424</v>
      </c>
      <c r="C1698" s="17" t="s">
        <v>425</v>
      </c>
      <c r="D1698" s="17" t="s">
        <v>22</v>
      </c>
      <c r="E1698" s="17" t="s">
        <v>426</v>
      </c>
      <c r="F1698" s="17" t="s">
        <v>490</v>
      </c>
      <c r="G1698" s="18">
        <v>0</v>
      </c>
      <c r="H1698" s="18">
        <v>2000.0000</v>
      </c>
      <c r="I1698" s="18">
        <f ca="1">((I1697 + G1698) - H1698)</f>
        <v>0</v>
      </c>
      <c r="J1698" s="18">
        <v>0</v>
      </c>
      <c r="K1698" s="19">
        <v>0</v>
      </c>
      <c r="L1698" s="17"/>
    </row>
    <row r="1699" ht="10.95" customHeight="true" customFormat="true" s="9">
      <c r="A1699" s="16">
        <v>45287</v>
      </c>
      <c r="B1699" s="17" t="s">
        <v>424</v>
      </c>
      <c r="C1699" s="17" t="s">
        <v>425</v>
      </c>
      <c r="D1699" s="17" t="s">
        <v>22</v>
      </c>
      <c r="E1699" s="17" t="s">
        <v>426</v>
      </c>
      <c r="F1699" s="17" t="s">
        <v>490</v>
      </c>
      <c r="G1699" s="18">
        <v>0</v>
      </c>
      <c r="H1699" s="18">
        <v>594.5800</v>
      </c>
      <c r="I1699" s="18">
        <f ca="1">((I1698 + G1699) - H1699)</f>
        <v>0</v>
      </c>
      <c r="J1699" s="18">
        <v>0</v>
      </c>
      <c r="K1699" s="19">
        <v>0</v>
      </c>
      <c r="L1699" s="17"/>
    </row>
    <row r="1700" ht="10.95" customHeight="true" customFormat="true" s="9">
      <c r="A1700" s="16">
        <v>45287</v>
      </c>
      <c r="B1700" s="17" t="s">
        <v>424</v>
      </c>
      <c r="C1700" s="17" t="s">
        <v>425</v>
      </c>
      <c r="D1700" s="17" t="s">
        <v>22</v>
      </c>
      <c r="E1700" s="17" t="s">
        <v>426</v>
      </c>
      <c r="F1700" s="17" t="s">
        <v>490</v>
      </c>
      <c r="G1700" s="18">
        <v>0</v>
      </c>
      <c r="H1700" s="18">
        <v>827.0500</v>
      </c>
      <c r="I1700" s="18">
        <f ca="1">((I1699 + G1700) - H1700)</f>
        <v>0</v>
      </c>
      <c r="J1700" s="18">
        <v>0</v>
      </c>
      <c r="K1700" s="19">
        <v>0</v>
      </c>
      <c r="L1700" s="17"/>
    </row>
    <row r="1701" ht="10.95" customHeight="true" customFormat="true" s="9">
      <c r="A1701" s="16">
        <v>45287</v>
      </c>
      <c r="B1701" s="17" t="s">
        <v>424</v>
      </c>
      <c r="C1701" s="17" t="s">
        <v>425</v>
      </c>
      <c r="D1701" s="17" t="s">
        <v>19</v>
      </c>
      <c r="E1701" s="17" t="s">
        <v>428</v>
      </c>
      <c r="F1701" s="17"/>
      <c r="G1701" s="18">
        <v>11253.1000</v>
      </c>
      <c r="H1701" s="18">
        <v>0</v>
      </c>
      <c r="I1701" s="18">
        <f ca="1">((I1700 + G1701) - H1701)</f>
        <v>0</v>
      </c>
      <c r="J1701" s="18">
        <v>0</v>
      </c>
      <c r="K1701" s="19">
        <v>0</v>
      </c>
      <c r="L1701" s="17"/>
    </row>
    <row r="1702" ht="10.95" customHeight="true" customFormat="true" s="9">
      <c r="A1702" s="16">
        <v>45287</v>
      </c>
      <c r="B1702" s="17" t="s">
        <v>424</v>
      </c>
      <c r="C1702" s="17" t="s">
        <v>425</v>
      </c>
      <c r="D1702" s="17" t="s">
        <v>19</v>
      </c>
      <c r="E1702" s="17" t="s">
        <v>428</v>
      </c>
      <c r="F1702" s="17"/>
      <c r="G1702" s="18">
        <v>5624.5000</v>
      </c>
      <c r="H1702" s="18">
        <v>0</v>
      </c>
      <c r="I1702" s="18">
        <f ca="1">((I1701 + G1702) - H1702)</f>
        <v>0</v>
      </c>
      <c r="J1702" s="18">
        <v>0</v>
      </c>
      <c r="K1702" s="19">
        <v>0</v>
      </c>
      <c r="L1702" s="17"/>
    </row>
    <row r="1703" ht="10.95" customHeight="true" customFormat="true" s="9">
      <c r="A1703" s="16">
        <v>45287</v>
      </c>
      <c r="B1703" s="17" t="s">
        <v>424</v>
      </c>
      <c r="C1703" s="17" t="s">
        <v>425</v>
      </c>
      <c r="D1703" s="17" t="s">
        <v>22</v>
      </c>
      <c r="E1703" s="17" t="s">
        <v>474</v>
      </c>
      <c r="F1703" s="17"/>
      <c r="G1703" s="18">
        <v>0</v>
      </c>
      <c r="H1703" s="18">
        <v>63.9400</v>
      </c>
      <c r="I1703" s="18">
        <f ca="1">((I1702 + G1703) - H1703)</f>
        <v>0</v>
      </c>
      <c r="J1703" s="18">
        <v>0</v>
      </c>
      <c r="K1703" s="19">
        <v>0</v>
      </c>
      <c r="L1703" s="17"/>
    </row>
    <row r="1704" ht="10.95" customHeight="true" customFormat="true" s="9">
      <c r="A1704" s="16">
        <v>45289</v>
      </c>
      <c r="B1704" s="17" t="s">
        <v>424</v>
      </c>
      <c r="C1704" s="17" t="s">
        <v>425</v>
      </c>
      <c r="D1704" s="17" t="s">
        <v>22</v>
      </c>
      <c r="E1704" s="17" t="s">
        <v>447</v>
      </c>
      <c r="F1704" s="17"/>
      <c r="G1704" s="18">
        <v>0</v>
      </c>
      <c r="H1704" s="18">
        <v>10.0000</v>
      </c>
      <c r="I1704" s="18">
        <f ca="1">((I1703 + G1704) - H1704)</f>
        <v>0</v>
      </c>
      <c r="J1704" s="18">
        <v>0</v>
      </c>
      <c r="K1704" s="19">
        <v>0</v>
      </c>
      <c r="L1704" s="17"/>
    </row>
    <row r="1705" ht="10.95" customHeight="true" customFormat="true" s="9">
      <c r="A1705" s="16">
        <v>45296</v>
      </c>
      <c r="B1705" s="17" t="s">
        <v>424</v>
      </c>
      <c r="C1705" s="17" t="s">
        <v>425</v>
      </c>
      <c r="D1705" s="17" t="s">
        <v>22</v>
      </c>
      <c r="E1705" s="17" t="s">
        <v>445</v>
      </c>
      <c r="F1705" s="17"/>
      <c r="G1705" s="18">
        <v>0</v>
      </c>
      <c r="H1705" s="18">
        <v>2133.1000</v>
      </c>
      <c r="I1705" s="18">
        <f ca="1">((I1704 + G1705) - H1705)</f>
        <v>0</v>
      </c>
      <c r="J1705" s="18">
        <v>0</v>
      </c>
      <c r="K1705" s="19">
        <v>0</v>
      </c>
      <c r="L1705" s="17"/>
    </row>
    <row r="1706" ht="10.95" customHeight="true" customFormat="true" s="9">
      <c r="A1706" s="16">
        <v>45296</v>
      </c>
      <c r="B1706" s="17" t="s">
        <v>424</v>
      </c>
      <c r="C1706" s="17" t="s">
        <v>425</v>
      </c>
      <c r="D1706" s="17" t="s">
        <v>22</v>
      </c>
      <c r="E1706" s="17" t="s">
        <v>426</v>
      </c>
      <c r="F1706" s="17" t="s">
        <v>491</v>
      </c>
      <c r="G1706" s="18">
        <v>0</v>
      </c>
      <c r="H1706" s="18">
        <v>2000.0000</v>
      </c>
      <c r="I1706" s="18">
        <f ca="1">((I1705 + G1706) - H1706)</f>
        <v>0</v>
      </c>
      <c r="J1706" s="18">
        <v>0</v>
      </c>
      <c r="K1706" s="19">
        <v>0</v>
      </c>
      <c r="L1706" s="17"/>
    </row>
    <row r="1707" ht="10.95" customHeight="true" customFormat="true" s="9">
      <c r="A1707" s="16">
        <v>45296</v>
      </c>
      <c r="B1707" s="17" t="s">
        <v>424</v>
      </c>
      <c r="C1707" s="17" t="s">
        <v>425</v>
      </c>
      <c r="D1707" s="17" t="s">
        <v>22</v>
      </c>
      <c r="E1707" s="17" t="s">
        <v>426</v>
      </c>
      <c r="F1707" s="17" t="s">
        <v>491</v>
      </c>
      <c r="G1707" s="18">
        <v>0</v>
      </c>
      <c r="H1707" s="18">
        <v>1342.9000</v>
      </c>
      <c r="I1707" s="18">
        <f ca="1">((I1706 + G1707) - H1707)</f>
        <v>0</v>
      </c>
      <c r="J1707" s="18">
        <v>0</v>
      </c>
      <c r="K1707" s="19">
        <v>0</v>
      </c>
      <c r="L1707" s="17"/>
    </row>
    <row r="1708" ht="10.95" customHeight="true" customFormat="true" s="9">
      <c r="A1708" s="16">
        <v>45296</v>
      </c>
      <c r="B1708" s="17" t="s">
        <v>424</v>
      </c>
      <c r="C1708" s="17" t="s">
        <v>425</v>
      </c>
      <c r="D1708" s="17" t="s">
        <v>22</v>
      </c>
      <c r="E1708" s="17" t="s">
        <v>429</v>
      </c>
      <c r="F1708" s="17"/>
      <c r="G1708" s="18">
        <v>0</v>
      </c>
      <c r="H1708" s="18">
        <v>3396.2500</v>
      </c>
      <c r="I1708" s="18">
        <f ca="1">((I1707 + G1708) - H1708)</f>
        <v>0</v>
      </c>
      <c r="J1708" s="18">
        <v>0</v>
      </c>
      <c r="K1708" s="19">
        <v>0</v>
      </c>
      <c r="L1708" s="17"/>
    </row>
    <row r="1709" ht="10.95" customHeight="true" customFormat="true" s="9">
      <c r="A1709" s="16">
        <v>45299</v>
      </c>
      <c r="B1709" s="17" t="s">
        <v>424</v>
      </c>
      <c r="C1709" s="17" t="s">
        <v>425</v>
      </c>
      <c r="D1709" s="17" t="s">
        <v>22</v>
      </c>
      <c r="E1709" s="17" t="s">
        <v>426</v>
      </c>
      <c r="F1709" s="17" t="s">
        <v>492</v>
      </c>
      <c r="G1709" s="18">
        <v>0</v>
      </c>
      <c r="H1709" s="18">
        <v>2000.0000</v>
      </c>
      <c r="I1709" s="18">
        <f ca="1">((I1708 + G1709) - H1709)</f>
        <v>0</v>
      </c>
      <c r="J1709" s="18">
        <v>0</v>
      </c>
      <c r="K1709" s="19">
        <v>0</v>
      </c>
      <c r="L1709" s="17"/>
    </row>
    <row r="1710" ht="10.95" customHeight="true" customFormat="true" s="9">
      <c r="A1710" s="16">
        <v>45299</v>
      </c>
      <c r="B1710" s="17" t="s">
        <v>424</v>
      </c>
      <c r="C1710" s="17" t="s">
        <v>425</v>
      </c>
      <c r="D1710" s="17" t="s">
        <v>22</v>
      </c>
      <c r="E1710" s="17" t="s">
        <v>426</v>
      </c>
      <c r="F1710" s="17" t="s">
        <v>492</v>
      </c>
      <c r="G1710" s="18">
        <v>0</v>
      </c>
      <c r="H1710" s="18">
        <v>1342.9000</v>
      </c>
      <c r="I1710" s="18">
        <f ca="1">((I1709 + G1710) - H1710)</f>
        <v>0</v>
      </c>
      <c r="J1710" s="18">
        <v>0</v>
      </c>
      <c r="K1710" s="19">
        <v>0</v>
      </c>
      <c r="L1710" s="17"/>
    </row>
    <row r="1711" ht="10.95" customHeight="true" customFormat="true" s="9">
      <c r="A1711" s="16">
        <v>45301</v>
      </c>
      <c r="B1711" s="17" t="s">
        <v>424</v>
      </c>
      <c r="C1711" s="17" t="s">
        <v>425</v>
      </c>
      <c r="D1711" s="17" t="s">
        <v>22</v>
      </c>
      <c r="E1711" s="17" t="s">
        <v>466</v>
      </c>
      <c r="F1711" s="17"/>
      <c r="G1711" s="18">
        <v>0</v>
      </c>
      <c r="H1711" s="18">
        <v>8860.4600</v>
      </c>
      <c r="I1711" s="18">
        <f ca="1">((I1710 + G1711) - H1711)</f>
        <v>0</v>
      </c>
      <c r="J1711" s="18">
        <v>0</v>
      </c>
      <c r="K1711" s="19">
        <v>0</v>
      </c>
      <c r="L1711" s="17"/>
    </row>
    <row r="1712" ht="10.95" customHeight="true" customFormat="true" s="9">
      <c r="A1712" s="16">
        <v>45306</v>
      </c>
      <c r="B1712" s="17" t="s">
        <v>424</v>
      </c>
      <c r="C1712" s="17" t="s">
        <v>425</v>
      </c>
      <c r="D1712" s="17" t="s">
        <v>22</v>
      </c>
      <c r="E1712" s="17" t="s">
        <v>426</v>
      </c>
      <c r="F1712" s="17" t="s">
        <v>493</v>
      </c>
      <c r="G1712" s="18">
        <v>0</v>
      </c>
      <c r="H1712" s="18">
        <v>2000.0000</v>
      </c>
      <c r="I1712" s="18">
        <f ca="1">((I1711 + G1712) - H1712)</f>
        <v>0</v>
      </c>
      <c r="J1712" s="18">
        <v>0</v>
      </c>
      <c r="K1712" s="19">
        <v>0</v>
      </c>
      <c r="L1712" s="17"/>
    </row>
    <row r="1713" ht="10.95" customHeight="true" customFormat="true" s="9">
      <c r="A1713" s="16">
        <v>45306</v>
      </c>
      <c r="B1713" s="17" t="s">
        <v>424</v>
      </c>
      <c r="C1713" s="17" t="s">
        <v>425</v>
      </c>
      <c r="D1713" s="17" t="s">
        <v>22</v>
      </c>
      <c r="E1713" s="17" t="s">
        <v>426</v>
      </c>
      <c r="F1713" s="17" t="s">
        <v>493</v>
      </c>
      <c r="G1713" s="18">
        <v>0</v>
      </c>
      <c r="H1713" s="18">
        <v>1342.9000</v>
      </c>
      <c r="I1713" s="18">
        <f ca="1">((I1712 + G1713) - H1713)</f>
        <v>0</v>
      </c>
      <c r="J1713" s="18">
        <v>0</v>
      </c>
      <c r="K1713" s="19">
        <v>0</v>
      </c>
      <c r="L1713" s="17"/>
    </row>
    <row r="1714" ht="10.95" customHeight="true" customFormat="true" s="9">
      <c r="A1714" s="16">
        <v>45306</v>
      </c>
      <c r="B1714" s="17" t="s">
        <v>424</v>
      </c>
      <c r="C1714" s="17" t="s">
        <v>425</v>
      </c>
      <c r="D1714" s="17" t="s">
        <v>22</v>
      </c>
      <c r="E1714" s="17" t="s">
        <v>298</v>
      </c>
      <c r="F1714" s="17"/>
      <c r="G1714" s="18">
        <v>0</v>
      </c>
      <c r="H1714" s="18">
        <v>5983.9500</v>
      </c>
      <c r="I1714" s="18">
        <f ca="1">((I1713 + G1714) - H1714)</f>
        <v>0</v>
      </c>
      <c r="J1714" s="18">
        <v>0</v>
      </c>
      <c r="K1714" s="19">
        <v>0</v>
      </c>
      <c r="L1714" s="17"/>
    </row>
    <row r="1715" ht="10.95" customHeight="true" customFormat="true" s="9">
      <c r="A1715" s="16">
        <v>45308</v>
      </c>
      <c r="B1715" s="17" t="s">
        <v>424</v>
      </c>
      <c r="C1715" s="17" t="s">
        <v>425</v>
      </c>
      <c r="D1715" s="17" t="s">
        <v>22</v>
      </c>
      <c r="E1715" s="17" t="s">
        <v>449</v>
      </c>
      <c r="F1715" s="17"/>
      <c r="G1715" s="18">
        <v>0</v>
      </c>
      <c r="H1715" s="18">
        <v>1126.4200</v>
      </c>
      <c r="I1715" s="18">
        <f ca="1">((I1714 + G1715) - H1715)</f>
        <v>0</v>
      </c>
      <c r="J1715" s="18">
        <v>0</v>
      </c>
      <c r="K1715" s="19">
        <v>0</v>
      </c>
      <c r="L1715" s="17"/>
    </row>
    <row r="1716" ht="10.95" customHeight="true" customFormat="true" s="9">
      <c r="A1716" s="16">
        <v>45309</v>
      </c>
      <c r="B1716" s="17" t="s">
        <v>424</v>
      </c>
      <c r="C1716" s="17" t="s">
        <v>425</v>
      </c>
      <c r="D1716" s="17" t="s">
        <v>22</v>
      </c>
      <c r="E1716" s="17" t="s">
        <v>436</v>
      </c>
      <c r="F1716" s="17"/>
      <c r="G1716" s="18">
        <v>0</v>
      </c>
      <c r="H1716" s="18">
        <v>108.0500</v>
      </c>
      <c r="I1716" s="18">
        <f ca="1">((I1715 + G1716) - H1716)</f>
        <v>0</v>
      </c>
      <c r="J1716" s="18">
        <v>0</v>
      </c>
      <c r="K1716" s="19">
        <v>0</v>
      </c>
      <c r="L1716" s="17"/>
    </row>
    <row r="1717" ht="10.95" customHeight="true" customFormat="true" s="9">
      <c r="A1717" s="16">
        <v>45313</v>
      </c>
      <c r="B1717" s="17" t="s">
        <v>424</v>
      </c>
      <c r="C1717" s="17" t="s">
        <v>425</v>
      </c>
      <c r="D1717" s="17" t="s">
        <v>22</v>
      </c>
      <c r="E1717" s="17" t="s">
        <v>426</v>
      </c>
      <c r="F1717" s="17" t="s">
        <v>494</v>
      </c>
      <c r="G1717" s="18">
        <v>0</v>
      </c>
      <c r="H1717" s="18">
        <v>811.0000</v>
      </c>
      <c r="I1717" s="18">
        <f ca="1">((I1716 + G1717) - H1717)</f>
        <v>0</v>
      </c>
      <c r="J1717" s="18">
        <v>0</v>
      </c>
      <c r="K1717" s="19">
        <v>0</v>
      </c>
      <c r="L1717" s="17"/>
    </row>
    <row r="1718" ht="10.95" customHeight="true" customFormat="true" s="9">
      <c r="A1718" s="16">
        <v>45313</v>
      </c>
      <c r="B1718" s="17" t="s">
        <v>424</v>
      </c>
      <c r="C1718" s="17" t="s">
        <v>425</v>
      </c>
      <c r="D1718" s="17" t="s">
        <v>19</v>
      </c>
      <c r="E1718" s="17" t="s">
        <v>428</v>
      </c>
      <c r="F1718" s="17"/>
      <c r="G1718" s="18">
        <v>3824.5500</v>
      </c>
      <c r="H1718" s="18">
        <v>0</v>
      </c>
      <c r="I1718" s="18">
        <f ca="1">((I1717 + G1718) - H1718)</f>
        <v>0</v>
      </c>
      <c r="J1718" s="18">
        <v>0</v>
      </c>
      <c r="K1718" s="19">
        <v>0</v>
      </c>
      <c r="L1718" s="17"/>
    </row>
    <row r="1719" ht="10.95" customHeight="true" customFormat="true" s="9">
      <c r="A1719" s="16">
        <v>45313</v>
      </c>
      <c r="B1719" s="17" t="s">
        <v>424</v>
      </c>
      <c r="C1719" s="17" t="s">
        <v>425</v>
      </c>
      <c r="D1719" s="17" t="s">
        <v>22</v>
      </c>
      <c r="E1719" s="17" t="s">
        <v>426</v>
      </c>
      <c r="F1719" s="17" t="s">
        <v>495</v>
      </c>
      <c r="G1719" s="18">
        <v>0</v>
      </c>
      <c r="H1719" s="18">
        <v>2000.0000</v>
      </c>
      <c r="I1719" s="18">
        <f ca="1">((I1718 + G1719) - H1719)</f>
        <v>0</v>
      </c>
      <c r="J1719" s="18">
        <v>0</v>
      </c>
      <c r="K1719" s="19">
        <v>0</v>
      </c>
      <c r="L1719" s="17"/>
    </row>
    <row r="1720" ht="10.95" customHeight="true" customFormat="true" s="9">
      <c r="A1720" s="16">
        <v>45313</v>
      </c>
      <c r="B1720" s="17" t="s">
        <v>424</v>
      </c>
      <c r="C1720" s="17" t="s">
        <v>425</v>
      </c>
      <c r="D1720" s="17" t="s">
        <v>19</v>
      </c>
      <c r="E1720" s="17" t="s">
        <v>428</v>
      </c>
      <c r="F1720" s="17"/>
      <c r="G1720" s="18">
        <v>2572.8500</v>
      </c>
      <c r="H1720" s="18">
        <v>0</v>
      </c>
      <c r="I1720" s="18">
        <f ca="1">((I1719 + G1720) - H1720)</f>
        <v>0</v>
      </c>
      <c r="J1720" s="18">
        <v>0</v>
      </c>
      <c r="K1720" s="19">
        <v>0</v>
      </c>
      <c r="L1720" s="17"/>
    </row>
    <row r="1721" ht="10.95" customHeight="true" customFormat="true" s="9">
      <c r="A1721" s="16">
        <v>45313</v>
      </c>
      <c r="B1721" s="17" t="s">
        <v>424</v>
      </c>
      <c r="C1721" s="17" t="s">
        <v>425</v>
      </c>
      <c r="D1721" s="17" t="s">
        <v>22</v>
      </c>
      <c r="E1721" s="17" t="s">
        <v>496</v>
      </c>
      <c r="F1721" s="17"/>
      <c r="G1721" s="18">
        <v>0</v>
      </c>
      <c r="H1721" s="18">
        <v>1843.7100</v>
      </c>
      <c r="I1721" s="18">
        <f ca="1">((I1720 + G1721) - H1721)</f>
        <v>0</v>
      </c>
      <c r="J1721" s="18">
        <v>0</v>
      </c>
      <c r="K1721" s="19">
        <v>0</v>
      </c>
      <c r="L1721" s="17"/>
    </row>
    <row r="1722" ht="10.95" customHeight="true" customFormat="true" s="9">
      <c r="A1722" s="16">
        <v>45313</v>
      </c>
      <c r="B1722" s="17" t="s">
        <v>424</v>
      </c>
      <c r="C1722" s="17" t="s">
        <v>425</v>
      </c>
      <c r="D1722" s="17" t="s">
        <v>22</v>
      </c>
      <c r="E1722" s="17" t="s">
        <v>426</v>
      </c>
      <c r="F1722" s="17" t="s">
        <v>497</v>
      </c>
      <c r="G1722" s="18">
        <v>0</v>
      </c>
      <c r="H1722" s="18">
        <v>799.8500</v>
      </c>
      <c r="I1722" s="18">
        <f ca="1">((I1721 + G1722) - H1722)</f>
        <v>0</v>
      </c>
      <c r="J1722" s="18">
        <v>0</v>
      </c>
      <c r="K1722" s="19">
        <v>0</v>
      </c>
      <c r="L1722" s="17"/>
    </row>
    <row r="1723" ht="10.95" customHeight="true" customFormat="true" s="9">
      <c r="A1723" s="16">
        <v>45313</v>
      </c>
      <c r="B1723" s="17" t="s">
        <v>424</v>
      </c>
      <c r="C1723" s="17" t="s">
        <v>425</v>
      </c>
      <c r="D1723" s="17" t="s">
        <v>22</v>
      </c>
      <c r="E1723" s="17" t="s">
        <v>426</v>
      </c>
      <c r="F1723" s="17" t="s">
        <v>498</v>
      </c>
      <c r="G1723" s="18">
        <v>0</v>
      </c>
      <c r="H1723" s="18">
        <v>144.0000</v>
      </c>
      <c r="I1723" s="18">
        <f ca="1">((I1722 + G1723) - H1723)</f>
        <v>0</v>
      </c>
      <c r="J1723" s="18">
        <v>0</v>
      </c>
      <c r="K1723" s="19">
        <v>0</v>
      </c>
      <c r="L1723" s="17"/>
    </row>
    <row r="1724" ht="10.95" customHeight="true" customFormat="true" s="9">
      <c r="A1724" s="16">
        <v>45313</v>
      </c>
      <c r="B1724" s="17" t="s">
        <v>424</v>
      </c>
      <c r="C1724" s="17" t="s">
        <v>425</v>
      </c>
      <c r="D1724" s="17" t="s">
        <v>22</v>
      </c>
      <c r="E1724" s="17" t="s">
        <v>426</v>
      </c>
      <c r="F1724" s="17" t="s">
        <v>499</v>
      </c>
      <c r="G1724" s="18">
        <v>0</v>
      </c>
      <c r="H1724" s="18">
        <v>1342.9000</v>
      </c>
      <c r="I1724" s="18">
        <f ca="1">((I1723 + G1724) - H1724)</f>
        <v>0</v>
      </c>
      <c r="J1724" s="18">
        <v>0</v>
      </c>
      <c r="K1724" s="19">
        <v>0</v>
      </c>
      <c r="L1724" s="17"/>
    </row>
    <row r="1725" ht="10.95" customHeight="true" customFormat="true" s="9">
      <c r="A1725" s="16">
        <v>45313</v>
      </c>
      <c r="B1725" s="17" t="s">
        <v>424</v>
      </c>
      <c r="C1725" s="17" t="s">
        <v>425</v>
      </c>
      <c r="D1725" s="17" t="s">
        <v>22</v>
      </c>
      <c r="E1725" s="17" t="s">
        <v>426</v>
      </c>
      <c r="F1725" s="17" t="s">
        <v>500</v>
      </c>
      <c r="G1725" s="18">
        <v>0</v>
      </c>
      <c r="H1725" s="18">
        <v>601.3800</v>
      </c>
      <c r="I1725" s="18">
        <f ca="1">((I1724 + G1725) - H1725)</f>
        <v>0</v>
      </c>
      <c r="J1725" s="18">
        <v>0</v>
      </c>
      <c r="K1725" s="19">
        <v>0</v>
      </c>
      <c r="L1725" s="17"/>
    </row>
    <row r="1726" ht="10.95" customHeight="true" customFormat="true" s="9">
      <c r="A1726" s="16">
        <v>45313</v>
      </c>
      <c r="B1726" s="17" t="s">
        <v>424</v>
      </c>
      <c r="C1726" s="17" t="s">
        <v>425</v>
      </c>
      <c r="D1726" s="17" t="s">
        <v>19</v>
      </c>
      <c r="E1726" s="17" t="s">
        <v>428</v>
      </c>
      <c r="F1726" s="17"/>
      <c r="G1726" s="18">
        <v>4506.8500</v>
      </c>
      <c r="H1726" s="18">
        <v>0</v>
      </c>
      <c r="I1726" s="18">
        <f ca="1">((I1725 + G1726) - H1726)</f>
        <v>0</v>
      </c>
      <c r="J1726" s="18">
        <v>0</v>
      </c>
      <c r="K1726" s="19">
        <v>0</v>
      </c>
      <c r="L1726" s="17"/>
    </row>
    <row r="1727" ht="10.95" customHeight="true" customFormat="true" s="9">
      <c r="A1727" s="16">
        <v>45313</v>
      </c>
      <c r="B1727" s="17" t="s">
        <v>424</v>
      </c>
      <c r="C1727" s="17" t="s">
        <v>425</v>
      </c>
      <c r="D1727" s="17" t="s">
        <v>22</v>
      </c>
      <c r="E1727" s="17" t="s">
        <v>459</v>
      </c>
      <c r="F1727" s="17"/>
      <c r="G1727" s="18">
        <v>0</v>
      </c>
      <c r="H1727" s="18">
        <v>152.3500</v>
      </c>
      <c r="I1727" s="18">
        <f ca="1">((I1726 + G1727) - H1727)</f>
        <v>0</v>
      </c>
      <c r="J1727" s="18">
        <v>0</v>
      </c>
      <c r="K1727" s="19">
        <v>0</v>
      </c>
      <c r="L1727" s="17"/>
    </row>
    <row r="1728" ht="10.95" customHeight="true" customFormat="true" s="9">
      <c r="A1728" s="16">
        <v>45313</v>
      </c>
      <c r="B1728" s="17" t="s">
        <v>424</v>
      </c>
      <c r="C1728" s="17" t="s">
        <v>425</v>
      </c>
      <c r="D1728" s="17" t="s">
        <v>22</v>
      </c>
      <c r="E1728" s="17" t="s">
        <v>430</v>
      </c>
      <c r="F1728" s="17"/>
      <c r="G1728" s="18">
        <v>0</v>
      </c>
      <c r="H1728" s="18">
        <v>2169.1300</v>
      </c>
      <c r="I1728" s="18">
        <f ca="1">((I1727 + G1728) - H1728)</f>
        <v>0</v>
      </c>
      <c r="J1728" s="18">
        <v>0</v>
      </c>
      <c r="K1728" s="19">
        <v>0</v>
      </c>
      <c r="L1728" s="17"/>
    </row>
    <row r="1729" ht="10.95" customHeight="true" customFormat="true" s="9">
      <c r="A1729" s="16">
        <v>45313</v>
      </c>
      <c r="B1729" s="17" t="s">
        <v>424</v>
      </c>
      <c r="C1729" s="17" t="s">
        <v>425</v>
      </c>
      <c r="D1729" s="17" t="s">
        <v>22</v>
      </c>
      <c r="E1729" s="17" t="s">
        <v>34</v>
      </c>
      <c r="F1729" s="17"/>
      <c r="G1729" s="18">
        <v>0</v>
      </c>
      <c r="H1729" s="18">
        <v>100.0000</v>
      </c>
      <c r="I1729" s="18">
        <f ca="1">((I1728 + G1729) - H1729)</f>
        <v>0</v>
      </c>
      <c r="J1729" s="18">
        <v>0</v>
      </c>
      <c r="K1729" s="19">
        <v>0</v>
      </c>
      <c r="L1729" s="17"/>
    </row>
    <row r="1730" ht="10.95" customHeight="true" customFormat="true" s="9">
      <c r="A1730" s="16">
        <v>45314</v>
      </c>
      <c r="B1730" s="17" t="s">
        <v>424</v>
      </c>
      <c r="C1730" s="17" t="s">
        <v>425</v>
      </c>
      <c r="D1730" s="17" t="s">
        <v>22</v>
      </c>
      <c r="E1730" s="17" t="s">
        <v>430</v>
      </c>
      <c r="F1730" s="17"/>
      <c r="G1730" s="18">
        <v>0</v>
      </c>
      <c r="H1730" s="18">
        <v>1125.6200</v>
      </c>
      <c r="I1730" s="18">
        <f ca="1">((I1729 + G1730) - H1730)</f>
        <v>0</v>
      </c>
      <c r="J1730" s="18">
        <v>0</v>
      </c>
      <c r="K1730" s="19">
        <v>0</v>
      </c>
      <c r="L1730" s="17"/>
    </row>
    <row r="1731" ht="10.95" customHeight="true" customFormat="true" s="9">
      <c r="A1731" s="16">
        <v>45315</v>
      </c>
      <c r="B1731" s="17" t="s">
        <v>424</v>
      </c>
      <c r="C1731" s="17" t="s">
        <v>425</v>
      </c>
      <c r="D1731" s="17" t="s">
        <v>19</v>
      </c>
      <c r="E1731" s="17" t="s">
        <v>428</v>
      </c>
      <c r="F1731" s="17"/>
      <c r="G1731" s="18">
        <v>2165.2000</v>
      </c>
      <c r="H1731" s="18">
        <v>0</v>
      </c>
      <c r="I1731" s="18">
        <f ca="1">((I1730 + G1731) - H1731)</f>
        <v>0</v>
      </c>
      <c r="J1731" s="18">
        <v>0</v>
      </c>
      <c r="K1731" s="19">
        <v>0</v>
      </c>
      <c r="L1731" s="17"/>
    </row>
    <row r="1732" ht="10.95" customHeight="true" customFormat="true" s="9">
      <c r="A1732" s="16">
        <v>45315</v>
      </c>
      <c r="B1732" s="17" t="s">
        <v>424</v>
      </c>
      <c r="C1732" s="17" t="s">
        <v>425</v>
      </c>
      <c r="D1732" s="17" t="s">
        <v>22</v>
      </c>
      <c r="E1732" s="17" t="s">
        <v>442</v>
      </c>
      <c r="F1732" s="17"/>
      <c r="G1732" s="18">
        <v>0</v>
      </c>
      <c r="H1732" s="18">
        <v>183.9600</v>
      </c>
      <c r="I1732" s="18">
        <f ca="1">((I1731 + G1732) - H1732)</f>
        <v>0</v>
      </c>
      <c r="J1732" s="18">
        <v>0</v>
      </c>
      <c r="K1732" s="19">
        <v>0</v>
      </c>
      <c r="L1732" s="17"/>
    </row>
    <row r="1733" ht="10.95" customHeight="true" customFormat="true" s="9">
      <c r="A1733" s="16">
        <v>45316</v>
      </c>
      <c r="B1733" s="17" t="s">
        <v>424</v>
      </c>
      <c r="C1733" s="17" t="s">
        <v>425</v>
      </c>
      <c r="D1733" s="17" t="s">
        <v>19</v>
      </c>
      <c r="E1733" s="17" t="s">
        <v>428</v>
      </c>
      <c r="F1733" s="17"/>
      <c r="G1733" s="18">
        <v>2168.4000</v>
      </c>
      <c r="H1733" s="18">
        <v>0</v>
      </c>
      <c r="I1733" s="18">
        <f ca="1">((I1732 + G1733) - H1733)</f>
        <v>0</v>
      </c>
      <c r="J1733" s="18">
        <v>0</v>
      </c>
      <c r="K1733" s="19">
        <v>0</v>
      </c>
      <c r="L1733" s="17"/>
    </row>
    <row r="1734" ht="10.95" customHeight="true" customFormat="true" s="9">
      <c r="A1734" s="16">
        <v>45316</v>
      </c>
      <c r="B1734" s="17" t="s">
        <v>424</v>
      </c>
      <c r="C1734" s="17" t="s">
        <v>425</v>
      </c>
      <c r="D1734" s="17" t="s">
        <v>22</v>
      </c>
      <c r="E1734" s="17" t="s">
        <v>433</v>
      </c>
      <c r="F1734" s="17"/>
      <c r="G1734" s="18">
        <v>0</v>
      </c>
      <c r="H1734" s="18">
        <v>770.1300</v>
      </c>
      <c r="I1734" s="18">
        <f ca="1">((I1733 + G1734) - H1734)</f>
        <v>0</v>
      </c>
      <c r="J1734" s="18">
        <v>0</v>
      </c>
      <c r="K1734" s="19">
        <v>0</v>
      </c>
      <c r="L1734" s="17"/>
    </row>
    <row r="1735" ht="10.95" customHeight="true" customFormat="true" s="9">
      <c r="A1735" s="16">
        <v>45320</v>
      </c>
      <c r="B1735" s="17" t="s">
        <v>424</v>
      </c>
      <c r="C1735" s="17" t="s">
        <v>425</v>
      </c>
      <c r="D1735" s="17" t="s">
        <v>22</v>
      </c>
      <c r="E1735" s="17" t="s">
        <v>496</v>
      </c>
      <c r="F1735" s="17"/>
      <c r="G1735" s="18">
        <v>0</v>
      </c>
      <c r="H1735" s="18">
        <v>1782.0000</v>
      </c>
      <c r="I1735" s="18">
        <f ca="1">((I1734 + G1735) - H1735)</f>
        <v>0</v>
      </c>
      <c r="J1735" s="18">
        <v>0</v>
      </c>
      <c r="K1735" s="19">
        <v>0</v>
      </c>
      <c r="L1735" s="17"/>
    </row>
    <row r="1736" ht="10.95" customHeight="true" customFormat="true" s="9">
      <c r="A1736" s="16">
        <v>45320</v>
      </c>
      <c r="B1736" s="17" t="s">
        <v>424</v>
      </c>
      <c r="C1736" s="17" t="s">
        <v>425</v>
      </c>
      <c r="D1736" s="17" t="s">
        <v>19</v>
      </c>
      <c r="E1736" s="17" t="s">
        <v>428</v>
      </c>
      <c r="F1736" s="17"/>
      <c r="G1736" s="18">
        <v>2570.4000</v>
      </c>
      <c r="H1736" s="18">
        <v>0</v>
      </c>
      <c r="I1736" s="18">
        <f ca="1">((I1735 + G1736) - H1736)</f>
        <v>0</v>
      </c>
      <c r="J1736" s="18">
        <v>0</v>
      </c>
      <c r="K1736" s="19">
        <v>0</v>
      </c>
      <c r="L1736" s="17"/>
    </row>
    <row r="1737" ht="10.95" customHeight="true" customFormat="true" s="9">
      <c r="A1737" s="16">
        <v>45320</v>
      </c>
      <c r="B1737" s="17" t="s">
        <v>424</v>
      </c>
      <c r="C1737" s="17" t="s">
        <v>425</v>
      </c>
      <c r="D1737" s="17" t="s">
        <v>22</v>
      </c>
      <c r="E1737" s="17" t="s">
        <v>426</v>
      </c>
      <c r="F1737" s="17" t="s">
        <v>501</v>
      </c>
      <c r="G1737" s="18">
        <v>0</v>
      </c>
      <c r="H1737" s="18">
        <v>1220.1800</v>
      </c>
      <c r="I1737" s="18">
        <f ca="1">((I1736 + G1737) - H1737)</f>
        <v>0</v>
      </c>
      <c r="J1737" s="18">
        <v>0</v>
      </c>
      <c r="K1737" s="19">
        <v>0</v>
      </c>
      <c r="L1737" s="17"/>
    </row>
    <row r="1738" ht="10.95" customHeight="true" customFormat="true" s="9">
      <c r="A1738" s="16">
        <v>45320</v>
      </c>
      <c r="B1738" s="17" t="s">
        <v>424</v>
      </c>
      <c r="C1738" s="17" t="s">
        <v>425</v>
      </c>
      <c r="D1738" s="17" t="s">
        <v>19</v>
      </c>
      <c r="E1738" s="17" t="s">
        <v>428</v>
      </c>
      <c r="F1738" s="17"/>
      <c r="G1738" s="18">
        <v>3668.8000</v>
      </c>
      <c r="H1738" s="18">
        <v>0</v>
      </c>
      <c r="I1738" s="18">
        <f ca="1">((I1737 + G1738) - H1738)</f>
        <v>0</v>
      </c>
      <c r="J1738" s="18">
        <v>0</v>
      </c>
      <c r="K1738" s="19">
        <v>0</v>
      </c>
      <c r="L1738" s="17"/>
    </row>
    <row r="1739" ht="10.95" customHeight="true" customFormat="true" s="9">
      <c r="A1739" s="16">
        <v>45320</v>
      </c>
      <c r="B1739" s="17" t="s">
        <v>424</v>
      </c>
      <c r="C1739" s="17" t="s">
        <v>425</v>
      </c>
      <c r="D1739" s="17" t="s">
        <v>22</v>
      </c>
      <c r="E1739" s="17" t="s">
        <v>426</v>
      </c>
      <c r="F1739" s="17" t="s">
        <v>501</v>
      </c>
      <c r="G1739" s="18">
        <v>0</v>
      </c>
      <c r="H1739" s="18">
        <v>2000.0000</v>
      </c>
      <c r="I1739" s="18">
        <f ca="1">((I1738 + G1739) - H1739)</f>
        <v>0</v>
      </c>
      <c r="J1739" s="18">
        <v>0</v>
      </c>
      <c r="K1739" s="19">
        <v>0</v>
      </c>
      <c r="L1739" s="17"/>
    </row>
    <row r="1740" ht="10.95" customHeight="true" customFormat="true" s="9">
      <c r="A1740" s="16">
        <v>45320</v>
      </c>
      <c r="B1740" s="17" t="s">
        <v>424</v>
      </c>
      <c r="C1740" s="17" t="s">
        <v>425</v>
      </c>
      <c r="D1740" s="17" t="s">
        <v>22</v>
      </c>
      <c r="E1740" s="17" t="s">
        <v>430</v>
      </c>
      <c r="F1740" s="17"/>
      <c r="G1740" s="18">
        <v>0</v>
      </c>
      <c r="H1740" s="18">
        <v>2149.0000</v>
      </c>
      <c r="I1740" s="18">
        <f ca="1">((I1739 + G1740) - H1740)</f>
        <v>0</v>
      </c>
      <c r="J1740" s="18">
        <v>0</v>
      </c>
      <c r="K1740" s="19">
        <v>0</v>
      </c>
      <c r="L1740" s="17"/>
    </row>
    <row r="1741" ht="10.95" customHeight="true" customFormat="true" s="9">
      <c r="A1741" s="16">
        <v>45320</v>
      </c>
      <c r="B1741" s="17" t="s">
        <v>424</v>
      </c>
      <c r="C1741" s="17" t="s">
        <v>425</v>
      </c>
      <c r="D1741" s="17" t="s">
        <v>19</v>
      </c>
      <c r="E1741" s="17" t="s">
        <v>428</v>
      </c>
      <c r="F1741" s="17"/>
      <c r="G1741" s="18">
        <v>4525.1500</v>
      </c>
      <c r="H1741" s="18">
        <v>0</v>
      </c>
      <c r="I1741" s="18">
        <f ca="1">((I1740 + G1741) - H1741)</f>
        <v>0</v>
      </c>
      <c r="J1741" s="18">
        <v>0</v>
      </c>
      <c r="K1741" s="19">
        <v>0</v>
      </c>
      <c r="L1741" s="17"/>
    </row>
    <row r="1742" ht="10.95" customHeight="true" customFormat="true" s="9">
      <c r="A1742" s="16">
        <v>45320</v>
      </c>
      <c r="B1742" s="17" t="s">
        <v>424</v>
      </c>
      <c r="C1742" s="17" t="s">
        <v>425</v>
      </c>
      <c r="D1742" s="17" t="s">
        <v>22</v>
      </c>
      <c r="E1742" s="17" t="s">
        <v>426</v>
      </c>
      <c r="F1742" s="17" t="s">
        <v>501</v>
      </c>
      <c r="G1742" s="18">
        <v>0</v>
      </c>
      <c r="H1742" s="18">
        <v>1342.9000</v>
      </c>
      <c r="I1742" s="18">
        <f ca="1">((I1741 + G1742) - H1742)</f>
        <v>0</v>
      </c>
      <c r="J1742" s="18">
        <v>0</v>
      </c>
      <c r="K1742" s="19">
        <v>0</v>
      </c>
      <c r="L1742" s="17"/>
    </row>
    <row r="1743" ht="10.95" customHeight="true" customFormat="true" s="9">
      <c r="A1743" s="16">
        <v>45320</v>
      </c>
      <c r="B1743" s="17" t="s">
        <v>424</v>
      </c>
      <c r="C1743" s="17" t="s">
        <v>425</v>
      </c>
      <c r="D1743" s="17" t="s">
        <v>22</v>
      </c>
      <c r="E1743" s="17" t="s">
        <v>426</v>
      </c>
      <c r="F1743" s="17" t="s">
        <v>501</v>
      </c>
      <c r="G1743" s="18">
        <v>0</v>
      </c>
      <c r="H1743" s="18">
        <v>216.0000</v>
      </c>
      <c r="I1743" s="18">
        <f ca="1">((I1742 + G1743) - H1743)</f>
        <v>0</v>
      </c>
      <c r="J1743" s="18">
        <v>0</v>
      </c>
      <c r="K1743" s="19">
        <v>0</v>
      </c>
      <c r="L1743" s="17"/>
    </row>
    <row r="1744" ht="10.95" customHeight="true" customFormat="true" s="9">
      <c r="A1744" s="16">
        <v>45320</v>
      </c>
      <c r="B1744" s="17" t="s">
        <v>424</v>
      </c>
      <c r="C1744" s="17" t="s">
        <v>425</v>
      </c>
      <c r="D1744" s="17" t="s">
        <v>19</v>
      </c>
      <c r="E1744" s="17" t="s">
        <v>428</v>
      </c>
      <c r="F1744" s="17"/>
      <c r="G1744" s="18">
        <v>4708.3500</v>
      </c>
      <c r="H1744" s="18">
        <v>0</v>
      </c>
      <c r="I1744" s="18">
        <f ca="1">((I1743 + G1744) - H1744)</f>
        <v>0</v>
      </c>
      <c r="J1744" s="18">
        <v>0</v>
      </c>
      <c r="K1744" s="19">
        <v>0</v>
      </c>
      <c r="L1744" s="17"/>
    </row>
    <row r="1745" ht="10.95" customHeight="true" customFormat="true" s="9">
      <c r="A1745" s="16">
        <v>45320</v>
      </c>
      <c r="B1745" s="17" t="s">
        <v>424</v>
      </c>
      <c r="C1745" s="17" t="s">
        <v>425</v>
      </c>
      <c r="D1745" s="17" t="s">
        <v>22</v>
      </c>
      <c r="E1745" s="17" t="s">
        <v>426</v>
      </c>
      <c r="F1745" s="17" t="s">
        <v>501</v>
      </c>
      <c r="G1745" s="18">
        <v>0</v>
      </c>
      <c r="H1745" s="18">
        <v>816.0000</v>
      </c>
      <c r="I1745" s="18">
        <f ca="1">((I1744 + G1745) - H1745)</f>
        <v>0</v>
      </c>
      <c r="J1745" s="18">
        <v>0</v>
      </c>
      <c r="K1745" s="19">
        <v>0</v>
      </c>
      <c r="L1745" s="17"/>
    </row>
    <row r="1746" ht="10.95" customHeight="true" customFormat="true" s="9">
      <c r="A1746" s="16">
        <v>45320</v>
      </c>
      <c r="B1746" s="17" t="s">
        <v>424</v>
      </c>
      <c r="C1746" s="17" t="s">
        <v>425</v>
      </c>
      <c r="D1746" s="17" t="s">
        <v>22</v>
      </c>
      <c r="E1746" s="17" t="s">
        <v>34</v>
      </c>
      <c r="F1746" s="17"/>
      <c r="G1746" s="18">
        <v>0</v>
      </c>
      <c r="H1746" s="18">
        <v>1326.0000</v>
      </c>
      <c r="I1746" s="18">
        <f ca="1">((I1745 + G1746) - H1746)</f>
        <v>0</v>
      </c>
      <c r="J1746" s="18">
        <v>0</v>
      </c>
      <c r="K1746" s="19">
        <v>0</v>
      </c>
      <c r="L1746" s="17"/>
    </row>
    <row r="1747" ht="10.95" customHeight="true" customFormat="true" s="9">
      <c r="A1747" s="16">
        <v>45322</v>
      </c>
      <c r="B1747" s="17" t="s">
        <v>424</v>
      </c>
      <c r="C1747" s="17" t="s">
        <v>425</v>
      </c>
      <c r="D1747" s="17" t="s">
        <v>19</v>
      </c>
      <c r="E1747" s="17" t="s">
        <v>428</v>
      </c>
      <c r="F1747" s="17"/>
      <c r="G1747" s="18">
        <v>2488.9500</v>
      </c>
      <c r="H1747" s="18">
        <v>0</v>
      </c>
      <c r="I1747" s="18">
        <f ca="1">((I1746 + G1747) - H1747)</f>
        <v>0</v>
      </c>
      <c r="J1747" s="18">
        <v>0</v>
      </c>
      <c r="K1747" s="19">
        <v>0</v>
      </c>
      <c r="L1747" s="17"/>
    </row>
    <row r="1748" ht="10.95" customHeight="true" customFormat="true" s="9">
      <c r="A1748" s="16">
        <v>45322</v>
      </c>
      <c r="B1748" s="17" t="s">
        <v>424</v>
      </c>
      <c r="C1748" s="17" t="s">
        <v>425</v>
      </c>
      <c r="D1748" s="17" t="s">
        <v>22</v>
      </c>
      <c r="E1748" s="17" t="s">
        <v>447</v>
      </c>
      <c r="F1748" s="17"/>
      <c r="G1748" s="18">
        <v>0</v>
      </c>
      <c r="H1748" s="18">
        <v>10.0000</v>
      </c>
      <c r="I1748" s="18">
        <f ca="1">((I1747 + G1748) - H1748)</f>
        <v>0</v>
      </c>
      <c r="J1748" s="18">
        <v>0</v>
      </c>
      <c r="K1748" s="19">
        <v>0</v>
      </c>
      <c r="L1748" s="17"/>
    </row>
    <row r="1749" ht="10.95" customHeight="true" customFormat="true" s="9">
      <c r="A1749" s="16">
        <v>45323</v>
      </c>
      <c r="B1749" s="17" t="s">
        <v>424</v>
      </c>
      <c r="C1749" s="17" t="s">
        <v>425</v>
      </c>
      <c r="D1749" s="17" t="s">
        <v>19</v>
      </c>
      <c r="E1749" s="17" t="s">
        <v>428</v>
      </c>
      <c r="F1749" s="17"/>
      <c r="G1749" s="18">
        <v>2081.4500</v>
      </c>
      <c r="H1749" s="18">
        <v>0</v>
      </c>
      <c r="I1749" s="18">
        <f ca="1">((I1748 + G1749) - H1749)</f>
        <v>0</v>
      </c>
      <c r="J1749" s="18">
        <v>0</v>
      </c>
      <c r="K1749" s="19">
        <v>0</v>
      </c>
      <c r="L1749" s="17"/>
    </row>
    <row r="1750" ht="10.95" customHeight="true" customFormat="true" s="9">
      <c r="A1750" s="16">
        <v>45323</v>
      </c>
      <c r="B1750" s="17" t="s">
        <v>424</v>
      </c>
      <c r="C1750" s="17" t="s">
        <v>425</v>
      </c>
      <c r="D1750" s="17" t="s">
        <v>22</v>
      </c>
      <c r="E1750" s="17" t="s">
        <v>430</v>
      </c>
      <c r="F1750" s="17"/>
      <c r="G1750" s="18">
        <v>0</v>
      </c>
      <c r="H1750" s="18">
        <v>1615.8500</v>
      </c>
      <c r="I1750" s="18">
        <f ca="1">((I1749 + G1750) - H1750)</f>
        <v>0</v>
      </c>
      <c r="J1750" s="18">
        <v>0</v>
      </c>
      <c r="K1750" s="19">
        <v>0</v>
      </c>
      <c r="L1750" s="17"/>
    </row>
    <row r="1751" ht="10.95" customHeight="true" customFormat="true" s="9">
      <c r="A1751" s="16">
        <v>45324</v>
      </c>
      <c r="B1751" s="17" t="s">
        <v>424</v>
      </c>
      <c r="C1751" s="17" t="s">
        <v>425</v>
      </c>
      <c r="D1751" s="17" t="s">
        <v>22</v>
      </c>
      <c r="E1751" s="17" t="s">
        <v>430</v>
      </c>
      <c r="F1751" s="17"/>
      <c r="G1751" s="18">
        <v>0</v>
      </c>
      <c r="H1751" s="18">
        <v>1661.7000</v>
      </c>
      <c r="I1751" s="18">
        <f ca="1">((I1750 + G1751) - H1751)</f>
        <v>0</v>
      </c>
      <c r="J1751" s="18">
        <v>0</v>
      </c>
      <c r="K1751" s="19">
        <v>0</v>
      </c>
      <c r="L1751" s="17"/>
    </row>
    <row r="1752" ht="10.95" customHeight="true" customFormat="true" s="9">
      <c r="A1752" s="16">
        <v>45324</v>
      </c>
      <c r="B1752" s="17" t="s">
        <v>424</v>
      </c>
      <c r="C1752" s="17" t="s">
        <v>425</v>
      </c>
      <c r="D1752" s="17" t="s">
        <v>22</v>
      </c>
      <c r="E1752" s="17" t="s">
        <v>431</v>
      </c>
      <c r="F1752" s="17"/>
      <c r="G1752" s="18">
        <v>0</v>
      </c>
      <c r="H1752" s="18">
        <v>65.0000</v>
      </c>
      <c r="I1752" s="18">
        <f ca="1">((I1751 + G1752) - H1752)</f>
        <v>0</v>
      </c>
      <c r="J1752" s="18">
        <v>0</v>
      </c>
      <c r="K1752" s="19">
        <v>0</v>
      </c>
      <c r="L1752" s="17"/>
    </row>
    <row r="1753" ht="10.95" customHeight="true" customFormat="true" s="9">
      <c r="A1753" s="16">
        <v>45324</v>
      </c>
      <c r="B1753" s="17" t="s">
        <v>424</v>
      </c>
      <c r="C1753" s="17" t="s">
        <v>425</v>
      </c>
      <c r="D1753" s="17" t="s">
        <v>19</v>
      </c>
      <c r="E1753" s="17" t="s">
        <v>428</v>
      </c>
      <c r="F1753" s="17"/>
      <c r="G1753" s="18">
        <v>2226.8500</v>
      </c>
      <c r="H1753" s="18">
        <v>0</v>
      </c>
      <c r="I1753" s="18">
        <f ca="1">((I1752 + G1753) - H1753)</f>
        <v>0</v>
      </c>
      <c r="J1753" s="18">
        <v>0</v>
      </c>
      <c r="K1753" s="19">
        <v>0</v>
      </c>
      <c r="L1753" s="17"/>
    </row>
    <row r="1754" ht="10.95" customHeight="true" customFormat="true" s="9">
      <c r="A1754" s="16">
        <v>45324</v>
      </c>
      <c r="B1754" s="17" t="s">
        <v>424</v>
      </c>
      <c r="C1754" s="17" t="s">
        <v>425</v>
      </c>
      <c r="D1754" s="17" t="s">
        <v>22</v>
      </c>
      <c r="E1754" s="17" t="s">
        <v>435</v>
      </c>
      <c r="F1754" s="17"/>
      <c r="G1754" s="18">
        <v>0</v>
      </c>
      <c r="H1754" s="18">
        <v>885.0500</v>
      </c>
      <c r="I1754" s="18">
        <f ca="1">((I1753 + G1754) - H1754)</f>
        <v>0</v>
      </c>
      <c r="J1754" s="18">
        <v>0</v>
      </c>
      <c r="K1754" s="19">
        <v>0</v>
      </c>
      <c r="L1754" s="17"/>
    </row>
    <row r="1755" ht="10.95" customHeight="true" customFormat="true" s="9">
      <c r="A1755" s="16">
        <v>45327</v>
      </c>
      <c r="B1755" s="17" t="s">
        <v>424</v>
      </c>
      <c r="C1755" s="17" t="s">
        <v>425</v>
      </c>
      <c r="D1755" s="17" t="s">
        <v>19</v>
      </c>
      <c r="E1755" s="17" t="s">
        <v>428</v>
      </c>
      <c r="F1755" s="17"/>
      <c r="G1755" s="18">
        <v>2539.5000</v>
      </c>
      <c r="H1755" s="18">
        <v>0</v>
      </c>
      <c r="I1755" s="18">
        <f ca="1">((I1754 + G1755) - H1755)</f>
        <v>0</v>
      </c>
      <c r="J1755" s="18">
        <v>0</v>
      </c>
      <c r="K1755" s="19">
        <v>0</v>
      </c>
      <c r="L1755" s="17"/>
    </row>
    <row r="1756" ht="10.95" customHeight="true" customFormat="true" s="9">
      <c r="A1756" s="16">
        <v>45327</v>
      </c>
      <c r="B1756" s="17" t="s">
        <v>424</v>
      </c>
      <c r="C1756" s="17" t="s">
        <v>425</v>
      </c>
      <c r="D1756" s="17" t="s">
        <v>19</v>
      </c>
      <c r="E1756" s="17" t="s">
        <v>24</v>
      </c>
      <c r="F1756" s="17"/>
      <c r="G1756" s="18">
        <v>327.3000</v>
      </c>
      <c r="H1756" s="18">
        <v>0</v>
      </c>
      <c r="I1756" s="18">
        <f ca="1">((I1755 + G1756) - H1756)</f>
        <v>0</v>
      </c>
      <c r="J1756" s="18">
        <v>0</v>
      </c>
      <c r="K1756" s="19">
        <v>0</v>
      </c>
      <c r="L1756" s="17"/>
    </row>
    <row r="1757" ht="10.95" customHeight="true" customFormat="true" s="9">
      <c r="A1757" s="16">
        <v>45327</v>
      </c>
      <c r="B1757" s="17" t="s">
        <v>424</v>
      </c>
      <c r="C1757" s="17" t="s">
        <v>425</v>
      </c>
      <c r="D1757" s="17" t="s">
        <v>19</v>
      </c>
      <c r="E1757" s="17" t="s">
        <v>24</v>
      </c>
      <c r="F1757" s="17"/>
      <c r="G1757" s="18">
        <v>170.0000</v>
      </c>
      <c r="H1757" s="18">
        <v>0</v>
      </c>
      <c r="I1757" s="18">
        <f ca="1">((I1756 + G1757) - H1757)</f>
        <v>0</v>
      </c>
      <c r="J1757" s="18">
        <v>0</v>
      </c>
      <c r="K1757" s="19">
        <v>0</v>
      </c>
      <c r="L1757" s="17"/>
    </row>
    <row r="1758" ht="10.95" customHeight="true" customFormat="true" s="9">
      <c r="A1758" s="16">
        <v>45327</v>
      </c>
      <c r="B1758" s="17" t="s">
        <v>424</v>
      </c>
      <c r="C1758" s="17" t="s">
        <v>425</v>
      </c>
      <c r="D1758" s="17" t="s">
        <v>22</v>
      </c>
      <c r="E1758" s="17" t="s">
        <v>426</v>
      </c>
      <c r="F1758" s="17" t="s">
        <v>502</v>
      </c>
      <c r="G1758" s="18">
        <v>0</v>
      </c>
      <c r="H1758" s="18">
        <v>1225.7000</v>
      </c>
      <c r="I1758" s="18">
        <f ca="1">((I1757 + G1758) - H1758)</f>
        <v>0</v>
      </c>
      <c r="J1758" s="18">
        <v>0</v>
      </c>
      <c r="K1758" s="19">
        <v>0</v>
      </c>
      <c r="L1758" s="17"/>
    </row>
    <row r="1759" ht="10.95" customHeight="true" customFormat="true" s="9">
      <c r="A1759" s="16">
        <v>45327</v>
      </c>
      <c r="B1759" s="17" t="s">
        <v>424</v>
      </c>
      <c r="C1759" s="17" t="s">
        <v>425</v>
      </c>
      <c r="D1759" s="17" t="s">
        <v>19</v>
      </c>
      <c r="E1759" s="17" t="s">
        <v>428</v>
      </c>
      <c r="F1759" s="17"/>
      <c r="G1759" s="18">
        <v>5611.1000</v>
      </c>
      <c r="H1759" s="18">
        <v>0</v>
      </c>
      <c r="I1759" s="18">
        <f ca="1">((I1758 + G1759) - H1759)</f>
        <v>0</v>
      </c>
      <c r="J1759" s="18">
        <v>0</v>
      </c>
      <c r="K1759" s="19">
        <v>0</v>
      </c>
      <c r="L1759" s="17"/>
    </row>
    <row r="1760" ht="10.95" customHeight="true" customFormat="true" s="9">
      <c r="A1760" s="16">
        <v>45327</v>
      </c>
      <c r="B1760" s="17" t="s">
        <v>424</v>
      </c>
      <c r="C1760" s="17" t="s">
        <v>425</v>
      </c>
      <c r="D1760" s="17" t="s">
        <v>19</v>
      </c>
      <c r="E1760" s="17" t="s">
        <v>428</v>
      </c>
      <c r="F1760" s="17"/>
      <c r="G1760" s="18">
        <v>5025.5500</v>
      </c>
      <c r="H1760" s="18">
        <v>0</v>
      </c>
      <c r="I1760" s="18">
        <f ca="1">((I1759 + G1760) - H1760)</f>
        <v>0</v>
      </c>
      <c r="J1760" s="18">
        <v>0</v>
      </c>
      <c r="K1760" s="19">
        <v>0</v>
      </c>
      <c r="L1760" s="17"/>
    </row>
    <row r="1761" ht="10.95" customHeight="true" customFormat="true" s="9">
      <c r="A1761" s="16">
        <v>45327</v>
      </c>
      <c r="B1761" s="17" t="s">
        <v>424</v>
      </c>
      <c r="C1761" s="17" t="s">
        <v>425</v>
      </c>
      <c r="D1761" s="17" t="s">
        <v>22</v>
      </c>
      <c r="E1761" s="17" t="s">
        <v>426</v>
      </c>
      <c r="F1761" s="17" t="s">
        <v>502</v>
      </c>
      <c r="G1761" s="18">
        <v>0</v>
      </c>
      <c r="H1761" s="18">
        <v>2000.0000</v>
      </c>
      <c r="I1761" s="18">
        <f ca="1">((I1760 + G1761) - H1761)</f>
        <v>0</v>
      </c>
      <c r="J1761" s="18">
        <v>0</v>
      </c>
      <c r="K1761" s="19">
        <v>0</v>
      </c>
      <c r="L1761" s="17"/>
    </row>
    <row r="1762" ht="10.95" customHeight="true" customFormat="true" s="9">
      <c r="A1762" s="16">
        <v>45327</v>
      </c>
      <c r="B1762" s="17" t="s">
        <v>424</v>
      </c>
      <c r="C1762" s="17" t="s">
        <v>425</v>
      </c>
      <c r="D1762" s="17" t="s">
        <v>22</v>
      </c>
      <c r="E1762" s="17" t="s">
        <v>426</v>
      </c>
      <c r="F1762" s="17" t="s">
        <v>502</v>
      </c>
      <c r="G1762" s="18">
        <v>0</v>
      </c>
      <c r="H1762" s="18">
        <v>144.0000</v>
      </c>
      <c r="I1762" s="18">
        <f ca="1">((I1761 + G1762) - H1762)</f>
        <v>0</v>
      </c>
      <c r="J1762" s="18">
        <v>0</v>
      </c>
      <c r="K1762" s="19">
        <v>0</v>
      </c>
      <c r="L1762" s="17"/>
    </row>
    <row r="1763" ht="10.95" customHeight="true" customFormat="true" s="9">
      <c r="A1763" s="16">
        <v>45327</v>
      </c>
      <c r="B1763" s="17" t="s">
        <v>424</v>
      </c>
      <c r="C1763" s="17" t="s">
        <v>425</v>
      </c>
      <c r="D1763" s="17" t="s">
        <v>22</v>
      </c>
      <c r="E1763" s="17" t="s">
        <v>426</v>
      </c>
      <c r="F1763" s="17" t="s">
        <v>502</v>
      </c>
      <c r="G1763" s="18">
        <v>0</v>
      </c>
      <c r="H1763" s="18">
        <v>685.9500</v>
      </c>
      <c r="I1763" s="18">
        <f ca="1">((I1762 + G1763) - H1763)</f>
        <v>0</v>
      </c>
      <c r="J1763" s="18">
        <v>0</v>
      </c>
      <c r="K1763" s="19">
        <v>0</v>
      </c>
      <c r="L1763" s="17"/>
    </row>
    <row r="1764" ht="10.95" customHeight="true" customFormat="true" s="9">
      <c r="A1764" s="16">
        <v>45327</v>
      </c>
      <c r="B1764" s="17" t="s">
        <v>424</v>
      </c>
      <c r="C1764" s="17" t="s">
        <v>425</v>
      </c>
      <c r="D1764" s="17" t="s">
        <v>22</v>
      </c>
      <c r="E1764" s="17" t="s">
        <v>426</v>
      </c>
      <c r="F1764" s="17" t="s">
        <v>502</v>
      </c>
      <c r="G1764" s="18">
        <v>0</v>
      </c>
      <c r="H1764" s="18">
        <v>1342.9000</v>
      </c>
      <c r="I1764" s="18">
        <f ca="1">((I1763 + G1764) - H1764)</f>
        <v>0</v>
      </c>
      <c r="J1764" s="18">
        <v>0</v>
      </c>
      <c r="K1764" s="19">
        <v>0</v>
      </c>
      <c r="L1764" s="17"/>
    </row>
    <row r="1765" ht="10.95" customHeight="true" customFormat="true" s="9">
      <c r="A1765" s="16">
        <v>45327</v>
      </c>
      <c r="B1765" s="17" t="s">
        <v>424</v>
      </c>
      <c r="C1765" s="17" t="s">
        <v>425</v>
      </c>
      <c r="D1765" s="17" t="s">
        <v>22</v>
      </c>
      <c r="E1765" s="17" t="s">
        <v>34</v>
      </c>
      <c r="F1765" s="17"/>
      <c r="G1765" s="18">
        <v>0</v>
      </c>
      <c r="H1765" s="18">
        <v>1473.0000</v>
      </c>
      <c r="I1765" s="18">
        <f ca="1">((I1764 + G1765) - H1765)</f>
        <v>0</v>
      </c>
      <c r="J1765" s="18">
        <v>0</v>
      </c>
      <c r="K1765" s="19">
        <v>0</v>
      </c>
      <c r="L1765" s="17"/>
    </row>
    <row r="1766" ht="10.95" customHeight="true" customFormat="true" s="9">
      <c r="A1766" s="16">
        <v>45328</v>
      </c>
      <c r="B1766" s="17" t="s">
        <v>424</v>
      </c>
      <c r="C1766" s="17" t="s">
        <v>425</v>
      </c>
      <c r="D1766" s="17" t="s">
        <v>22</v>
      </c>
      <c r="E1766" s="17" t="s">
        <v>438</v>
      </c>
      <c r="F1766" s="17"/>
      <c r="G1766" s="18">
        <v>0</v>
      </c>
      <c r="H1766" s="18">
        <v>18.5000</v>
      </c>
      <c r="I1766" s="18">
        <f ca="1">((I1765 + G1766) - H1766)</f>
        <v>0</v>
      </c>
      <c r="J1766" s="18">
        <v>0</v>
      </c>
      <c r="K1766" s="19">
        <v>0</v>
      </c>
      <c r="L1766" s="17"/>
    </row>
    <row r="1767" ht="10.95" customHeight="true" customFormat="true" s="9">
      <c r="A1767" s="16">
        <v>45329</v>
      </c>
      <c r="B1767" s="17" t="s">
        <v>424</v>
      </c>
      <c r="C1767" s="17" t="s">
        <v>425</v>
      </c>
      <c r="D1767" s="17" t="s">
        <v>19</v>
      </c>
      <c r="E1767" s="17" t="s">
        <v>428</v>
      </c>
      <c r="F1767" s="17"/>
      <c r="G1767" s="18">
        <v>2240.7500</v>
      </c>
      <c r="H1767" s="18">
        <v>0</v>
      </c>
      <c r="I1767" s="18">
        <f ca="1">((I1766 + G1767) - H1767)</f>
        <v>0</v>
      </c>
      <c r="J1767" s="18">
        <v>0</v>
      </c>
      <c r="K1767" s="19">
        <v>0</v>
      </c>
      <c r="L1767" s="17"/>
    </row>
    <row r="1768" ht="10.95" customHeight="true" customFormat="true" s="9">
      <c r="A1768" s="16">
        <v>45329</v>
      </c>
      <c r="B1768" s="17" t="s">
        <v>424</v>
      </c>
      <c r="C1768" s="17" t="s">
        <v>425</v>
      </c>
      <c r="D1768" s="17" t="s">
        <v>22</v>
      </c>
      <c r="E1768" s="17" t="s">
        <v>433</v>
      </c>
      <c r="F1768" s="17"/>
      <c r="G1768" s="18">
        <v>0</v>
      </c>
      <c r="H1768" s="18">
        <v>869.6300</v>
      </c>
      <c r="I1768" s="18">
        <f ca="1">((I1767 + G1768) - H1768)</f>
        <v>0</v>
      </c>
      <c r="J1768" s="18">
        <v>0</v>
      </c>
      <c r="K1768" s="19">
        <v>0</v>
      </c>
      <c r="L1768" s="17"/>
    </row>
    <row r="1769" ht="10.95" customHeight="true" customFormat="true" s="9">
      <c r="A1769" s="16">
        <v>45330</v>
      </c>
      <c r="B1769" s="17" t="s">
        <v>424</v>
      </c>
      <c r="C1769" s="17" t="s">
        <v>425</v>
      </c>
      <c r="D1769" s="17" t="s">
        <v>19</v>
      </c>
      <c r="E1769" s="17" t="s">
        <v>428</v>
      </c>
      <c r="F1769" s="17"/>
      <c r="G1769" s="18">
        <v>2290.9000</v>
      </c>
      <c r="H1769" s="18">
        <v>0</v>
      </c>
      <c r="I1769" s="18">
        <f ca="1">((I1768 + G1769) - H1769)</f>
        <v>0</v>
      </c>
      <c r="J1769" s="18">
        <v>0</v>
      </c>
      <c r="K1769" s="19">
        <v>0</v>
      </c>
      <c r="L1769" s="17"/>
    </row>
    <row r="1770" ht="10.95" customHeight="true" customFormat="true" s="9">
      <c r="A1770" s="16">
        <v>45330</v>
      </c>
      <c r="B1770" s="17" t="s">
        <v>424</v>
      </c>
      <c r="C1770" s="17" t="s">
        <v>425</v>
      </c>
      <c r="D1770" s="17" t="s">
        <v>22</v>
      </c>
      <c r="E1770" s="17" t="s">
        <v>430</v>
      </c>
      <c r="F1770" s="17"/>
      <c r="G1770" s="18">
        <v>0</v>
      </c>
      <c r="H1770" s="18">
        <v>1529.9400</v>
      </c>
      <c r="I1770" s="18">
        <f ca="1">((I1769 + G1770) - H1770)</f>
        <v>0</v>
      </c>
      <c r="J1770" s="18">
        <v>0</v>
      </c>
      <c r="K1770" s="19">
        <v>0</v>
      </c>
      <c r="L1770" s="17"/>
    </row>
    <row r="1771" ht="10.95" customHeight="true" customFormat="true" s="9">
      <c r="A1771" s="16">
        <v>45330</v>
      </c>
      <c r="B1771" s="17" t="s">
        <v>424</v>
      </c>
      <c r="C1771" s="17" t="s">
        <v>425</v>
      </c>
      <c r="D1771" s="17" t="s">
        <v>22</v>
      </c>
      <c r="E1771" s="17" t="s">
        <v>503</v>
      </c>
      <c r="F1771" s="17"/>
      <c r="G1771" s="18">
        <v>0</v>
      </c>
      <c r="H1771" s="18">
        <v>43.1100</v>
      </c>
      <c r="I1771" s="18">
        <f ca="1">((I1770 + G1771) - H1771)</f>
        <v>0</v>
      </c>
      <c r="J1771" s="18">
        <v>0</v>
      </c>
      <c r="K1771" s="19">
        <v>0</v>
      </c>
      <c r="L1771" s="17"/>
    </row>
    <row r="1772" ht="10.95" customHeight="true" customFormat="true" s="9">
      <c r="A1772" s="16">
        <v>45331</v>
      </c>
      <c r="B1772" s="17" t="s">
        <v>424</v>
      </c>
      <c r="C1772" s="17" t="s">
        <v>425</v>
      </c>
      <c r="D1772" s="17" t="s">
        <v>22</v>
      </c>
      <c r="E1772" s="17" t="s">
        <v>430</v>
      </c>
      <c r="F1772" s="17"/>
      <c r="G1772" s="18">
        <v>0</v>
      </c>
      <c r="H1772" s="18">
        <v>1666.2400</v>
      </c>
      <c r="I1772" s="18">
        <f ca="1">((I1771 + G1772) - H1772)</f>
        <v>0</v>
      </c>
      <c r="J1772" s="18">
        <v>0</v>
      </c>
      <c r="K1772" s="19">
        <v>0</v>
      </c>
      <c r="L1772" s="17"/>
    </row>
    <row r="1773" ht="10.95" customHeight="true" customFormat="true" s="9">
      <c r="A1773" s="16">
        <v>45331</v>
      </c>
      <c r="B1773" s="17" t="s">
        <v>424</v>
      </c>
      <c r="C1773" s="17" t="s">
        <v>425</v>
      </c>
      <c r="D1773" s="17" t="s">
        <v>19</v>
      </c>
      <c r="E1773" s="17" t="s">
        <v>428</v>
      </c>
      <c r="F1773" s="17"/>
      <c r="G1773" s="18">
        <v>2345.2500</v>
      </c>
      <c r="H1773" s="18">
        <v>0</v>
      </c>
      <c r="I1773" s="18">
        <f ca="1">((I1772 + G1773) - H1773)</f>
        <v>0</v>
      </c>
      <c r="J1773" s="18">
        <v>0</v>
      </c>
      <c r="K1773" s="19">
        <v>0</v>
      </c>
      <c r="L1773" s="17"/>
    </row>
    <row r="1774" ht="10.95" customHeight="true" customFormat="true" s="9">
      <c r="A1774" s="16">
        <v>45331</v>
      </c>
      <c r="B1774" s="17" t="s">
        <v>424</v>
      </c>
      <c r="C1774" s="17" t="s">
        <v>425</v>
      </c>
      <c r="D1774" s="17" t="s">
        <v>22</v>
      </c>
      <c r="E1774" s="17" t="s">
        <v>66</v>
      </c>
      <c r="F1774" s="17"/>
      <c r="G1774" s="18">
        <v>0</v>
      </c>
      <c r="H1774" s="18">
        <v>43875.0000</v>
      </c>
      <c r="I1774" s="18">
        <f ca="1">((I1773 + G1774) - H1774)</f>
        <v>0</v>
      </c>
      <c r="J1774" s="18">
        <v>0</v>
      </c>
      <c r="K1774" s="19">
        <v>0</v>
      </c>
      <c r="L1774" s="17"/>
    </row>
    <row r="1775" ht="10.95" customHeight="true" customFormat="true" s="9">
      <c r="A1775" s="16">
        <v>45334</v>
      </c>
      <c r="B1775" s="17" t="s">
        <v>424</v>
      </c>
      <c r="C1775" s="17" t="s">
        <v>425</v>
      </c>
      <c r="D1775" s="17" t="s">
        <v>19</v>
      </c>
      <c r="E1775" s="17" t="s">
        <v>428</v>
      </c>
      <c r="F1775" s="17"/>
      <c r="G1775" s="18">
        <v>5358.1000</v>
      </c>
      <c r="H1775" s="18">
        <v>0</v>
      </c>
      <c r="I1775" s="18">
        <f ca="1">((I1774 + G1775) - H1775)</f>
        <v>0</v>
      </c>
      <c r="J1775" s="18">
        <v>0</v>
      </c>
      <c r="K1775" s="19">
        <v>0</v>
      </c>
      <c r="L1775" s="17"/>
    </row>
    <row r="1776" ht="10.95" customHeight="true" customFormat="true" s="9">
      <c r="A1776" s="16">
        <v>45334</v>
      </c>
      <c r="B1776" s="17" t="s">
        <v>424</v>
      </c>
      <c r="C1776" s="17" t="s">
        <v>425</v>
      </c>
      <c r="D1776" s="17" t="s">
        <v>22</v>
      </c>
      <c r="E1776" s="17" t="s">
        <v>426</v>
      </c>
      <c r="F1776" s="17" t="s">
        <v>504</v>
      </c>
      <c r="G1776" s="18">
        <v>0</v>
      </c>
      <c r="H1776" s="18">
        <v>1342.9000</v>
      </c>
      <c r="I1776" s="18">
        <f ca="1">((I1775 + G1776) - H1776)</f>
        <v>0</v>
      </c>
      <c r="J1776" s="18">
        <v>0</v>
      </c>
      <c r="K1776" s="19">
        <v>0</v>
      </c>
      <c r="L1776" s="17"/>
    </row>
    <row r="1777" ht="10.95" customHeight="true" customFormat="true" s="9">
      <c r="A1777" s="16">
        <v>45334</v>
      </c>
      <c r="B1777" s="17" t="s">
        <v>424</v>
      </c>
      <c r="C1777" s="17" t="s">
        <v>425</v>
      </c>
      <c r="D1777" s="17" t="s">
        <v>22</v>
      </c>
      <c r="E1777" s="17" t="s">
        <v>426</v>
      </c>
      <c r="F1777" s="17" t="s">
        <v>505</v>
      </c>
      <c r="G1777" s="18">
        <v>0</v>
      </c>
      <c r="H1777" s="18">
        <v>1225.7000</v>
      </c>
      <c r="I1777" s="18">
        <f ca="1">((I1776 + G1777) - H1777)</f>
        <v>0</v>
      </c>
      <c r="J1777" s="18">
        <v>0</v>
      </c>
      <c r="K1777" s="19">
        <v>0</v>
      </c>
      <c r="L1777" s="17"/>
    </row>
    <row r="1778" ht="10.95" customHeight="true" customFormat="true" s="9">
      <c r="A1778" s="16">
        <v>45334</v>
      </c>
      <c r="B1778" s="17" t="s">
        <v>424</v>
      </c>
      <c r="C1778" s="17" t="s">
        <v>425</v>
      </c>
      <c r="D1778" s="17" t="s">
        <v>19</v>
      </c>
      <c r="E1778" s="17" t="s">
        <v>428</v>
      </c>
      <c r="F1778" s="17"/>
      <c r="G1778" s="18">
        <v>5583.6000</v>
      </c>
      <c r="H1778" s="18">
        <v>0</v>
      </c>
      <c r="I1778" s="18">
        <f ca="1">((I1777 + G1778) - H1778)</f>
        <v>0</v>
      </c>
      <c r="J1778" s="18">
        <v>0</v>
      </c>
      <c r="K1778" s="19">
        <v>0</v>
      </c>
      <c r="L1778" s="17"/>
    </row>
    <row r="1779" ht="10.95" customHeight="true" customFormat="true" s="9">
      <c r="A1779" s="16">
        <v>45334</v>
      </c>
      <c r="B1779" s="17" t="s">
        <v>424</v>
      </c>
      <c r="C1779" s="17" t="s">
        <v>425</v>
      </c>
      <c r="D1779" s="17" t="s">
        <v>22</v>
      </c>
      <c r="E1779" s="17" t="s">
        <v>426</v>
      </c>
      <c r="F1779" s="17" t="s">
        <v>505</v>
      </c>
      <c r="G1779" s="18">
        <v>0</v>
      </c>
      <c r="H1779" s="18">
        <v>78.0000</v>
      </c>
      <c r="I1779" s="18">
        <f ca="1">((I1778 + G1779) - H1779)</f>
        <v>0</v>
      </c>
      <c r="J1779" s="18">
        <v>0</v>
      </c>
      <c r="K1779" s="19">
        <v>0</v>
      </c>
      <c r="L1779" s="17"/>
    </row>
    <row r="1780" ht="10.95" customHeight="true" customFormat="true" s="9">
      <c r="A1780" s="16">
        <v>45334</v>
      </c>
      <c r="B1780" s="17" t="s">
        <v>424</v>
      </c>
      <c r="C1780" s="17" t="s">
        <v>425</v>
      </c>
      <c r="D1780" s="17" t="s">
        <v>19</v>
      </c>
      <c r="E1780" s="17" t="s">
        <v>428</v>
      </c>
      <c r="F1780" s="17"/>
      <c r="G1780" s="18">
        <v>2711.2000</v>
      </c>
      <c r="H1780" s="18">
        <v>0</v>
      </c>
      <c r="I1780" s="18">
        <f ca="1">((I1779 + G1780) - H1780)</f>
        <v>0</v>
      </c>
      <c r="J1780" s="18">
        <v>0</v>
      </c>
      <c r="K1780" s="19">
        <v>0</v>
      </c>
      <c r="L1780" s="17"/>
    </row>
    <row r="1781" ht="10.95" customHeight="true" customFormat="true" s="9">
      <c r="A1781" s="16">
        <v>45334</v>
      </c>
      <c r="B1781" s="17" t="s">
        <v>424</v>
      </c>
      <c r="C1781" s="17" t="s">
        <v>425</v>
      </c>
      <c r="D1781" s="17" t="s">
        <v>22</v>
      </c>
      <c r="E1781" s="17" t="s">
        <v>474</v>
      </c>
      <c r="F1781" s="17"/>
      <c r="G1781" s="18">
        <v>0</v>
      </c>
      <c r="H1781" s="18">
        <v>10.6900</v>
      </c>
      <c r="I1781" s="18">
        <f ca="1">((I1780 + G1781) - H1781)</f>
        <v>0</v>
      </c>
      <c r="J1781" s="18">
        <v>0</v>
      </c>
      <c r="K1781" s="19">
        <v>0</v>
      </c>
      <c r="L1781" s="17"/>
    </row>
    <row r="1782" ht="10.95" customHeight="true" customFormat="true" s="9">
      <c r="A1782" s="16">
        <v>45334</v>
      </c>
      <c r="B1782" s="17" t="s">
        <v>424</v>
      </c>
      <c r="C1782" s="17" t="s">
        <v>425</v>
      </c>
      <c r="D1782" s="17" t="s">
        <v>22</v>
      </c>
      <c r="E1782" s="17" t="s">
        <v>474</v>
      </c>
      <c r="F1782" s="17"/>
      <c r="G1782" s="18">
        <v>0</v>
      </c>
      <c r="H1782" s="18">
        <v>20.0400</v>
      </c>
      <c r="I1782" s="18">
        <f ca="1">((I1781 + G1782) - H1782)</f>
        <v>0</v>
      </c>
      <c r="J1782" s="18">
        <v>0</v>
      </c>
      <c r="K1782" s="19">
        <v>0</v>
      </c>
      <c r="L1782" s="17"/>
    </row>
    <row r="1783" ht="10.95" customHeight="true" customFormat="true" s="9">
      <c r="A1783" s="16">
        <v>45334</v>
      </c>
      <c r="B1783" s="17" t="s">
        <v>424</v>
      </c>
      <c r="C1783" s="17" t="s">
        <v>425</v>
      </c>
      <c r="D1783" s="17" t="s">
        <v>22</v>
      </c>
      <c r="E1783" s="17" t="s">
        <v>426</v>
      </c>
      <c r="F1783" s="17" t="s">
        <v>506</v>
      </c>
      <c r="G1783" s="18">
        <v>0</v>
      </c>
      <c r="H1783" s="18">
        <v>144.0000</v>
      </c>
      <c r="I1783" s="18">
        <f ca="1">((I1782 + G1783) - H1783)</f>
        <v>0</v>
      </c>
      <c r="J1783" s="18">
        <v>0</v>
      </c>
      <c r="K1783" s="19">
        <v>0</v>
      </c>
      <c r="L1783" s="17"/>
    </row>
    <row r="1784" ht="10.95" customHeight="true" customFormat="true" s="9">
      <c r="A1784" s="16">
        <v>45334</v>
      </c>
      <c r="B1784" s="17" t="s">
        <v>424</v>
      </c>
      <c r="C1784" s="17" t="s">
        <v>425</v>
      </c>
      <c r="D1784" s="17" t="s">
        <v>22</v>
      </c>
      <c r="E1784" s="17" t="s">
        <v>426</v>
      </c>
      <c r="F1784" s="17" t="s">
        <v>507</v>
      </c>
      <c r="G1784" s="18">
        <v>0</v>
      </c>
      <c r="H1784" s="18">
        <v>2000.0000</v>
      </c>
      <c r="I1784" s="18">
        <f ca="1">((I1783 + G1784) - H1784)</f>
        <v>0</v>
      </c>
      <c r="J1784" s="18">
        <v>0</v>
      </c>
      <c r="K1784" s="19">
        <v>0</v>
      </c>
      <c r="L1784" s="17"/>
    </row>
    <row r="1785" ht="10.95" customHeight="true" customFormat="true" s="9">
      <c r="A1785" s="16">
        <v>45334</v>
      </c>
      <c r="B1785" s="17" t="s">
        <v>424</v>
      </c>
      <c r="C1785" s="17" t="s">
        <v>425</v>
      </c>
      <c r="D1785" s="17" t="s">
        <v>22</v>
      </c>
      <c r="E1785" s="17" t="s">
        <v>34</v>
      </c>
      <c r="F1785" s="17"/>
      <c r="G1785" s="18">
        <v>0</v>
      </c>
      <c r="H1785" s="18">
        <v>2830.5000</v>
      </c>
      <c r="I1785" s="18">
        <f ca="1">((I1784 + G1785) - H1785)</f>
        <v>0</v>
      </c>
      <c r="J1785" s="18">
        <v>0</v>
      </c>
      <c r="K1785" s="19">
        <v>0</v>
      </c>
      <c r="L1785" s="17"/>
    </row>
    <row r="1786" ht="10.95" customHeight="true" customFormat="true" s="9">
      <c r="A1786" s="16">
        <v>45335</v>
      </c>
      <c r="B1786" s="17" t="s">
        <v>424</v>
      </c>
      <c r="C1786" s="17" t="s">
        <v>425</v>
      </c>
      <c r="D1786" s="17" t="s">
        <v>22</v>
      </c>
      <c r="E1786" s="17" t="s">
        <v>430</v>
      </c>
      <c r="F1786" s="17"/>
      <c r="G1786" s="18">
        <v>0</v>
      </c>
      <c r="H1786" s="18">
        <v>1260.8800</v>
      </c>
      <c r="I1786" s="18">
        <f ca="1">((I1785 + G1786) - H1786)</f>
        <v>0</v>
      </c>
      <c r="J1786" s="18">
        <v>0</v>
      </c>
      <c r="K1786" s="19">
        <v>0</v>
      </c>
      <c r="L1786" s="17"/>
    </row>
    <row r="1787" ht="10.95" customHeight="true" customFormat="true" s="9">
      <c r="A1787" s="16">
        <v>45335</v>
      </c>
      <c r="B1787" s="17" t="s">
        <v>424</v>
      </c>
      <c r="C1787" s="17" t="s">
        <v>425</v>
      </c>
      <c r="D1787" s="17" t="s">
        <v>22</v>
      </c>
      <c r="E1787" s="17" t="s">
        <v>430</v>
      </c>
      <c r="F1787" s="17"/>
      <c r="G1787" s="18">
        <v>0</v>
      </c>
      <c r="H1787" s="18">
        <v>548.5000</v>
      </c>
      <c r="I1787" s="18">
        <f ca="1">((I1786 + G1787) - H1787)</f>
        <v>0</v>
      </c>
      <c r="J1787" s="18">
        <v>0</v>
      </c>
      <c r="K1787" s="19">
        <v>0</v>
      </c>
      <c r="L1787" s="17"/>
    </row>
    <row r="1788" ht="10.95" customHeight="true" customFormat="true" s="9">
      <c r="A1788" s="16">
        <v>45335</v>
      </c>
      <c r="B1788" s="17" t="s">
        <v>424</v>
      </c>
      <c r="C1788" s="17" t="s">
        <v>425</v>
      </c>
      <c r="D1788" s="17" t="s">
        <v>22</v>
      </c>
      <c r="E1788" s="17" t="s">
        <v>438</v>
      </c>
      <c r="F1788" s="17"/>
      <c r="G1788" s="18">
        <v>0</v>
      </c>
      <c r="H1788" s="18">
        <v>13.5000</v>
      </c>
      <c r="I1788" s="18">
        <f ca="1">((I1787 + G1788) - H1788)</f>
        <v>0</v>
      </c>
      <c r="J1788" s="18">
        <v>0</v>
      </c>
      <c r="K1788" s="19">
        <v>0</v>
      </c>
      <c r="L1788" s="17"/>
    </row>
    <row r="1789" ht="10.95" customHeight="true" customFormat="true" s="9">
      <c r="A1789" s="16">
        <v>45336</v>
      </c>
      <c r="B1789" s="17" t="s">
        <v>424</v>
      </c>
      <c r="C1789" s="17" t="s">
        <v>425</v>
      </c>
      <c r="D1789" s="17" t="s">
        <v>22</v>
      </c>
      <c r="E1789" s="17" t="s">
        <v>452</v>
      </c>
      <c r="F1789" s="17"/>
      <c r="G1789" s="18">
        <v>0</v>
      </c>
      <c r="H1789" s="18">
        <v>264.0000</v>
      </c>
      <c r="I1789" s="18">
        <f ca="1">((I1788 + G1789) - H1789)</f>
        <v>0</v>
      </c>
      <c r="J1789" s="18">
        <v>0</v>
      </c>
      <c r="K1789" s="19">
        <v>0</v>
      </c>
      <c r="L1789" s="17"/>
    </row>
    <row r="1790" ht="10.95" customHeight="true" customFormat="true" s="9">
      <c r="A1790" s="16">
        <v>45336</v>
      </c>
      <c r="B1790" s="17" t="s">
        <v>424</v>
      </c>
      <c r="C1790" s="17" t="s">
        <v>425</v>
      </c>
      <c r="D1790" s="17" t="s">
        <v>19</v>
      </c>
      <c r="E1790" s="17" t="s">
        <v>428</v>
      </c>
      <c r="F1790" s="17"/>
      <c r="G1790" s="18">
        <v>2122.3000</v>
      </c>
      <c r="H1790" s="18">
        <v>0</v>
      </c>
      <c r="I1790" s="18">
        <f ca="1">((I1789 + G1790) - H1790)</f>
        <v>0</v>
      </c>
      <c r="J1790" s="18">
        <v>0</v>
      </c>
      <c r="K1790" s="19">
        <v>0</v>
      </c>
      <c r="L1790" s="17"/>
    </row>
    <row r="1791" ht="10.95" customHeight="true" customFormat="true" s="9">
      <c r="A1791" s="16">
        <v>45336</v>
      </c>
      <c r="B1791" s="17" t="s">
        <v>424</v>
      </c>
      <c r="C1791" s="17" t="s">
        <v>425</v>
      </c>
      <c r="D1791" s="17" t="s">
        <v>22</v>
      </c>
      <c r="E1791" s="17" t="s">
        <v>459</v>
      </c>
      <c r="F1791" s="17"/>
      <c r="G1791" s="18">
        <v>0</v>
      </c>
      <c r="H1791" s="18">
        <v>46.2000</v>
      </c>
      <c r="I1791" s="18">
        <f ca="1">((I1790 + G1791) - H1791)</f>
        <v>0</v>
      </c>
      <c r="J1791" s="18">
        <v>0</v>
      </c>
      <c r="K1791" s="19">
        <v>0</v>
      </c>
      <c r="L1791" s="17"/>
    </row>
    <row r="1792" ht="10.95" customHeight="true" customFormat="true" s="9">
      <c r="A1792" s="16">
        <v>45336</v>
      </c>
      <c r="B1792" s="17" t="s">
        <v>424</v>
      </c>
      <c r="C1792" s="17" t="s">
        <v>425</v>
      </c>
      <c r="D1792" s="17" t="s">
        <v>22</v>
      </c>
      <c r="E1792" s="17" t="s">
        <v>453</v>
      </c>
      <c r="F1792" s="17"/>
      <c r="G1792" s="18">
        <v>0</v>
      </c>
      <c r="H1792" s="18">
        <v>132.0000</v>
      </c>
      <c r="I1792" s="18">
        <f ca="1">((I1791 + G1792) - H1792)</f>
        <v>0</v>
      </c>
      <c r="J1792" s="18">
        <v>0</v>
      </c>
      <c r="K1792" s="19">
        <v>0</v>
      </c>
      <c r="L1792" s="17"/>
    </row>
    <row r="1793" ht="10.95" customHeight="true" customFormat="true" s="9">
      <c r="A1793" s="16">
        <v>45337</v>
      </c>
      <c r="B1793" s="17" t="s">
        <v>424</v>
      </c>
      <c r="C1793" s="17" t="s">
        <v>425</v>
      </c>
      <c r="D1793" s="17" t="s">
        <v>19</v>
      </c>
      <c r="E1793" s="17" t="s">
        <v>428</v>
      </c>
      <c r="F1793" s="17"/>
      <c r="G1793" s="18">
        <v>2375.0000</v>
      </c>
      <c r="H1793" s="18">
        <v>0</v>
      </c>
      <c r="I1793" s="18">
        <f ca="1">((I1792 + G1793) - H1793)</f>
        <v>0</v>
      </c>
      <c r="J1793" s="18">
        <v>0</v>
      </c>
      <c r="K1793" s="19">
        <v>0</v>
      </c>
      <c r="L1793" s="17"/>
    </row>
    <row r="1794" ht="10.95" customHeight="true" customFormat="true" s="9">
      <c r="A1794" s="16">
        <v>45337</v>
      </c>
      <c r="B1794" s="17" t="s">
        <v>424</v>
      </c>
      <c r="C1794" s="17" t="s">
        <v>425</v>
      </c>
      <c r="D1794" s="17" t="s">
        <v>22</v>
      </c>
      <c r="E1794" s="17" t="s">
        <v>431</v>
      </c>
      <c r="F1794" s="17"/>
      <c r="G1794" s="18">
        <v>0</v>
      </c>
      <c r="H1794" s="18">
        <v>65.0000</v>
      </c>
      <c r="I1794" s="18">
        <f ca="1">((I1793 + G1794) - H1794)</f>
        <v>0</v>
      </c>
      <c r="J1794" s="18">
        <v>0</v>
      </c>
      <c r="K1794" s="19">
        <v>0</v>
      </c>
      <c r="L1794" s="17"/>
    </row>
    <row r="1795" ht="10.95" customHeight="true" customFormat="true" s="9">
      <c r="A1795" s="16">
        <v>45338</v>
      </c>
      <c r="B1795" s="17" t="s">
        <v>424</v>
      </c>
      <c r="C1795" s="17" t="s">
        <v>425</v>
      </c>
      <c r="D1795" s="17" t="s">
        <v>19</v>
      </c>
      <c r="E1795" s="17" t="s">
        <v>428</v>
      </c>
      <c r="F1795" s="17"/>
      <c r="G1795" s="18">
        <v>2303.6500</v>
      </c>
      <c r="H1795" s="18">
        <v>0</v>
      </c>
      <c r="I1795" s="18">
        <f ca="1">((I1794 + G1795) - H1795)</f>
        <v>0</v>
      </c>
      <c r="J1795" s="18">
        <v>0</v>
      </c>
      <c r="K1795" s="19">
        <v>0</v>
      </c>
      <c r="L1795" s="17"/>
    </row>
    <row r="1796" ht="10.95" customHeight="true" customFormat="true" s="9">
      <c r="A1796" s="16">
        <v>45338</v>
      </c>
      <c r="B1796" s="17" t="s">
        <v>424</v>
      </c>
      <c r="C1796" s="17" t="s">
        <v>425</v>
      </c>
      <c r="D1796" s="17" t="s">
        <v>22</v>
      </c>
      <c r="E1796" s="17" t="s">
        <v>430</v>
      </c>
      <c r="F1796" s="17"/>
      <c r="G1796" s="18">
        <v>0</v>
      </c>
      <c r="H1796" s="18">
        <v>1681.2600</v>
      </c>
      <c r="I1796" s="18">
        <f ca="1">((I1795 + G1796) - H1796)</f>
        <v>0</v>
      </c>
      <c r="J1796" s="18">
        <v>0</v>
      </c>
      <c r="K1796" s="19">
        <v>0</v>
      </c>
      <c r="L1796" s="17"/>
    </row>
    <row r="1797" ht="10.95" customHeight="true" customFormat="true" s="9">
      <c r="A1797" s="16">
        <v>45338</v>
      </c>
      <c r="B1797" s="17" t="s">
        <v>424</v>
      </c>
      <c r="C1797" s="17" t="s">
        <v>425</v>
      </c>
      <c r="D1797" s="17" t="s">
        <v>19</v>
      </c>
      <c r="E1797" s="17" t="s">
        <v>24</v>
      </c>
      <c r="F1797" s="17"/>
      <c r="G1797" s="18">
        <v>310.0000</v>
      </c>
      <c r="H1797" s="18">
        <v>0</v>
      </c>
      <c r="I1797" s="18">
        <f ca="1">((I1796 + G1797) - H1797)</f>
        <v>0</v>
      </c>
      <c r="J1797" s="18">
        <v>0</v>
      </c>
      <c r="K1797" s="19">
        <v>0</v>
      </c>
      <c r="L1797" s="17"/>
    </row>
    <row r="1798" ht="10.95" customHeight="true" customFormat="true" s="9">
      <c r="A1798" s="16">
        <v>45341</v>
      </c>
      <c r="B1798" s="17" t="s">
        <v>424</v>
      </c>
      <c r="C1798" s="17" t="s">
        <v>425</v>
      </c>
      <c r="D1798" s="17" t="s">
        <v>19</v>
      </c>
      <c r="E1798" s="17" t="s">
        <v>428</v>
      </c>
      <c r="F1798" s="17"/>
      <c r="G1798" s="18">
        <v>5454.3000</v>
      </c>
      <c r="H1798" s="18">
        <v>0</v>
      </c>
      <c r="I1798" s="18">
        <f ca="1">((I1797 + G1798) - H1798)</f>
        <v>0</v>
      </c>
      <c r="J1798" s="18">
        <v>0</v>
      </c>
      <c r="K1798" s="19">
        <v>0</v>
      </c>
      <c r="L1798" s="17"/>
    </row>
    <row r="1799" ht="10.95" customHeight="true" customFormat="true" s="9">
      <c r="A1799" s="16">
        <v>45341</v>
      </c>
      <c r="B1799" s="17" t="s">
        <v>424</v>
      </c>
      <c r="C1799" s="17" t="s">
        <v>425</v>
      </c>
      <c r="D1799" s="17" t="s">
        <v>19</v>
      </c>
      <c r="E1799" s="17" t="s">
        <v>428</v>
      </c>
      <c r="F1799" s="17"/>
      <c r="G1799" s="18">
        <v>5489.0000</v>
      </c>
      <c r="H1799" s="18">
        <v>0</v>
      </c>
      <c r="I1799" s="18">
        <f ca="1">((I1798 + G1799) - H1799)</f>
        <v>0</v>
      </c>
      <c r="J1799" s="18">
        <v>0</v>
      </c>
      <c r="K1799" s="19">
        <v>0</v>
      </c>
      <c r="L1799" s="17"/>
    </row>
    <row r="1800" ht="10.95" customHeight="true" customFormat="true" s="9">
      <c r="A1800" s="16">
        <v>45341</v>
      </c>
      <c r="B1800" s="17" t="s">
        <v>424</v>
      </c>
      <c r="C1800" s="17" t="s">
        <v>425</v>
      </c>
      <c r="D1800" s="17" t="s">
        <v>22</v>
      </c>
      <c r="E1800" s="17" t="s">
        <v>426</v>
      </c>
      <c r="F1800" s="17" t="s">
        <v>508</v>
      </c>
      <c r="G1800" s="18">
        <v>0</v>
      </c>
      <c r="H1800" s="18">
        <v>144.0000</v>
      </c>
      <c r="I1800" s="18">
        <f ca="1">((I1799 + G1800) - H1800)</f>
        <v>0</v>
      </c>
      <c r="J1800" s="18">
        <v>0</v>
      </c>
      <c r="K1800" s="19">
        <v>0</v>
      </c>
      <c r="L1800" s="17"/>
    </row>
    <row r="1801" ht="10.95" customHeight="true" customFormat="true" s="9">
      <c r="A1801" s="16">
        <v>45341</v>
      </c>
      <c r="B1801" s="17" t="s">
        <v>424</v>
      </c>
      <c r="C1801" s="17" t="s">
        <v>425</v>
      </c>
      <c r="D1801" s="17" t="s">
        <v>22</v>
      </c>
      <c r="E1801" s="17" t="s">
        <v>34</v>
      </c>
      <c r="F1801" s="17"/>
      <c r="G1801" s="18">
        <v>0</v>
      </c>
      <c r="H1801" s="18">
        <v>2477.7500</v>
      </c>
      <c r="I1801" s="18">
        <f ca="1">((I1800 + G1801) - H1801)</f>
        <v>0</v>
      </c>
      <c r="J1801" s="18">
        <v>0</v>
      </c>
      <c r="K1801" s="19">
        <v>0</v>
      </c>
      <c r="L1801" s="17"/>
    </row>
    <row r="1802" ht="10.95" customHeight="true" customFormat="true" s="9">
      <c r="A1802" s="16">
        <v>45341</v>
      </c>
      <c r="B1802" s="17" t="s">
        <v>424</v>
      </c>
      <c r="C1802" s="17" t="s">
        <v>425</v>
      </c>
      <c r="D1802" s="17" t="s">
        <v>19</v>
      </c>
      <c r="E1802" s="17" t="s">
        <v>428</v>
      </c>
      <c r="F1802" s="17"/>
      <c r="G1802" s="18">
        <v>2966.8000</v>
      </c>
      <c r="H1802" s="18">
        <v>0</v>
      </c>
      <c r="I1802" s="18">
        <f ca="1">((I1801 + G1802) - H1802)</f>
        <v>0</v>
      </c>
      <c r="J1802" s="18">
        <v>0</v>
      </c>
      <c r="K1802" s="19">
        <v>0</v>
      </c>
      <c r="L1802" s="17"/>
    </row>
    <row r="1803" ht="10.95" customHeight="true" customFormat="true" s="9">
      <c r="A1803" s="16">
        <v>45341</v>
      </c>
      <c r="B1803" s="17" t="s">
        <v>424</v>
      </c>
      <c r="C1803" s="17" t="s">
        <v>425</v>
      </c>
      <c r="D1803" s="17" t="s">
        <v>22</v>
      </c>
      <c r="E1803" s="17" t="s">
        <v>426</v>
      </c>
      <c r="F1803" s="17" t="s">
        <v>508</v>
      </c>
      <c r="G1803" s="18">
        <v>0</v>
      </c>
      <c r="H1803" s="18">
        <v>1225.7000</v>
      </c>
      <c r="I1803" s="18">
        <f ca="1">((I1802 + G1803) - H1803)</f>
        <v>0</v>
      </c>
      <c r="J1803" s="18">
        <v>0</v>
      </c>
      <c r="K1803" s="19">
        <v>0</v>
      </c>
      <c r="L1803" s="17"/>
    </row>
    <row r="1804" ht="10.95" customHeight="true" customFormat="true" s="9">
      <c r="A1804" s="16">
        <v>45341</v>
      </c>
      <c r="B1804" s="17" t="s">
        <v>424</v>
      </c>
      <c r="C1804" s="17" t="s">
        <v>425</v>
      </c>
      <c r="D1804" s="17" t="s">
        <v>22</v>
      </c>
      <c r="E1804" s="17" t="s">
        <v>426</v>
      </c>
      <c r="F1804" s="17" t="s">
        <v>508</v>
      </c>
      <c r="G1804" s="18">
        <v>0</v>
      </c>
      <c r="H1804" s="18">
        <v>1342.9000</v>
      </c>
      <c r="I1804" s="18">
        <f ca="1">((I1803 + G1804) - H1804)</f>
        <v>0</v>
      </c>
      <c r="J1804" s="18">
        <v>0</v>
      </c>
      <c r="K1804" s="19">
        <v>0</v>
      </c>
      <c r="L1804" s="17"/>
    </row>
    <row r="1805" ht="10.95" customHeight="true" customFormat="true" s="9">
      <c r="A1805" s="16">
        <v>45341</v>
      </c>
      <c r="B1805" s="17" t="s">
        <v>424</v>
      </c>
      <c r="C1805" s="17" t="s">
        <v>425</v>
      </c>
      <c r="D1805" s="17" t="s">
        <v>22</v>
      </c>
      <c r="E1805" s="17" t="s">
        <v>426</v>
      </c>
      <c r="F1805" s="17" t="s">
        <v>508</v>
      </c>
      <c r="G1805" s="18">
        <v>0</v>
      </c>
      <c r="H1805" s="18">
        <v>78.0000</v>
      </c>
      <c r="I1805" s="18">
        <f ca="1">((I1804 + G1805) - H1805)</f>
        <v>0</v>
      </c>
      <c r="J1805" s="18">
        <v>0</v>
      </c>
      <c r="K1805" s="19">
        <v>0</v>
      </c>
      <c r="L1805" s="17"/>
    </row>
    <row r="1806" ht="10.95" customHeight="true" customFormat="true" s="9">
      <c r="A1806" s="16">
        <v>45341</v>
      </c>
      <c r="B1806" s="17" t="s">
        <v>424</v>
      </c>
      <c r="C1806" s="17" t="s">
        <v>425</v>
      </c>
      <c r="D1806" s="17" t="s">
        <v>22</v>
      </c>
      <c r="E1806" s="17" t="s">
        <v>426</v>
      </c>
      <c r="F1806" s="17" t="s">
        <v>508</v>
      </c>
      <c r="G1806" s="18">
        <v>0</v>
      </c>
      <c r="H1806" s="18">
        <v>2000.0000</v>
      </c>
      <c r="I1806" s="18">
        <f ca="1">((I1805 + G1806) - H1806)</f>
        <v>0</v>
      </c>
      <c r="J1806" s="18">
        <v>0</v>
      </c>
      <c r="K1806" s="19">
        <v>0</v>
      </c>
      <c r="L1806" s="17"/>
    </row>
    <row r="1807" ht="10.95" customHeight="true" customFormat="true" s="9">
      <c r="A1807" s="16">
        <v>45341</v>
      </c>
      <c r="B1807" s="17" t="s">
        <v>424</v>
      </c>
      <c r="C1807" s="17" t="s">
        <v>425</v>
      </c>
      <c r="D1807" s="17" t="s">
        <v>19</v>
      </c>
      <c r="E1807" s="17" t="s">
        <v>24</v>
      </c>
      <c r="F1807" s="17"/>
      <c r="G1807" s="18">
        <v>200.0000</v>
      </c>
      <c r="H1807" s="18">
        <v>0</v>
      </c>
      <c r="I1807" s="18">
        <f ca="1">((I1806 + G1807) - H1807)</f>
        <v>0</v>
      </c>
      <c r="J1807" s="18">
        <v>0</v>
      </c>
      <c r="K1807" s="19">
        <v>0</v>
      </c>
      <c r="L1807" s="17"/>
    </row>
    <row r="1808" ht="10.95" customHeight="true" customFormat="true" s="9">
      <c r="A1808" s="16">
        <v>45341</v>
      </c>
      <c r="B1808" s="17" t="s">
        <v>424</v>
      </c>
      <c r="C1808" s="17" t="s">
        <v>425</v>
      </c>
      <c r="D1808" s="17" t="s">
        <v>22</v>
      </c>
      <c r="E1808" s="17" t="s">
        <v>509</v>
      </c>
      <c r="F1808" s="17"/>
      <c r="G1808" s="18">
        <v>0</v>
      </c>
      <c r="H1808" s="18">
        <v>31.1600</v>
      </c>
      <c r="I1808" s="18">
        <f ca="1">((I1807 + G1808) - H1808)</f>
        <v>0</v>
      </c>
      <c r="J1808" s="18">
        <v>0</v>
      </c>
      <c r="K1808" s="19">
        <v>0</v>
      </c>
      <c r="L1808" s="17"/>
    </row>
    <row r="1809" ht="10.95" customHeight="true" customFormat="true" s="9">
      <c r="A1809" s="16">
        <v>45341</v>
      </c>
      <c r="B1809" s="17" t="s">
        <v>424</v>
      </c>
      <c r="C1809" s="17" t="s">
        <v>425</v>
      </c>
      <c r="D1809" s="17" t="s">
        <v>22</v>
      </c>
      <c r="E1809" s="17" t="s">
        <v>436</v>
      </c>
      <c r="F1809" s="17"/>
      <c r="G1809" s="18">
        <v>0</v>
      </c>
      <c r="H1809" s="18">
        <v>114.5000</v>
      </c>
      <c r="I1809" s="18">
        <f ca="1">((I1808 + G1809) - H1809)</f>
        <v>0</v>
      </c>
      <c r="J1809" s="18">
        <v>0</v>
      </c>
      <c r="K1809" s="19">
        <v>0</v>
      </c>
      <c r="L1809" s="17"/>
    </row>
    <row r="1810" ht="10.95" customHeight="true" customFormat="true" s="9">
      <c r="A1810" s="16">
        <v>45343</v>
      </c>
      <c r="B1810" s="17" t="s">
        <v>424</v>
      </c>
      <c r="C1810" s="17" t="s">
        <v>425</v>
      </c>
      <c r="D1810" s="17" t="s">
        <v>22</v>
      </c>
      <c r="E1810" s="17" t="s">
        <v>430</v>
      </c>
      <c r="F1810" s="17"/>
      <c r="G1810" s="18">
        <v>0</v>
      </c>
      <c r="H1810" s="18">
        <v>1366.4500</v>
      </c>
      <c r="I1810" s="18">
        <f ca="1">((I1809 + G1810) - H1810)</f>
        <v>0</v>
      </c>
      <c r="J1810" s="18">
        <v>0</v>
      </c>
      <c r="K1810" s="19">
        <v>0</v>
      </c>
      <c r="L1810" s="17"/>
    </row>
    <row r="1811" ht="10.95" customHeight="true" customFormat="true" s="9">
      <c r="A1811" s="16">
        <v>45343</v>
      </c>
      <c r="B1811" s="17" t="s">
        <v>424</v>
      </c>
      <c r="C1811" s="17" t="s">
        <v>425</v>
      </c>
      <c r="D1811" s="17" t="s">
        <v>19</v>
      </c>
      <c r="E1811" s="17" t="s">
        <v>428</v>
      </c>
      <c r="F1811" s="17"/>
      <c r="G1811" s="18">
        <v>2112.1000</v>
      </c>
      <c r="H1811" s="18">
        <v>0</v>
      </c>
      <c r="I1811" s="18">
        <f ca="1">((I1810 + G1811) - H1811)</f>
        <v>0</v>
      </c>
      <c r="J1811" s="18">
        <v>0</v>
      </c>
      <c r="K1811" s="19">
        <v>0</v>
      </c>
      <c r="L1811" s="17"/>
    </row>
    <row r="1812" ht="10.95" customHeight="true" customFormat="true" s="9">
      <c r="A1812" s="16">
        <v>45343</v>
      </c>
      <c r="B1812" s="17" t="s">
        <v>424</v>
      </c>
      <c r="C1812" s="17" t="s">
        <v>425</v>
      </c>
      <c r="D1812" s="17" t="s">
        <v>22</v>
      </c>
      <c r="E1812" s="17" t="s">
        <v>298</v>
      </c>
      <c r="F1812" s="17"/>
      <c r="G1812" s="18">
        <v>0</v>
      </c>
      <c r="H1812" s="18">
        <v>5983.9500</v>
      </c>
      <c r="I1812" s="18">
        <f ca="1">((I1811 + G1812) - H1812)</f>
        <v>0</v>
      </c>
      <c r="J1812" s="18">
        <v>0</v>
      </c>
      <c r="K1812" s="19">
        <v>0</v>
      </c>
      <c r="L1812" s="17"/>
    </row>
    <row r="1813" ht="10.95" customHeight="true" customFormat="true" s="9">
      <c r="A1813" s="16">
        <v>45343</v>
      </c>
      <c r="B1813" s="17" t="s">
        <v>424</v>
      </c>
      <c r="C1813" s="17" t="s">
        <v>425</v>
      </c>
      <c r="D1813" s="17" t="s">
        <v>22</v>
      </c>
      <c r="E1813" s="17" t="s">
        <v>433</v>
      </c>
      <c r="F1813" s="17"/>
      <c r="G1813" s="18">
        <v>0</v>
      </c>
      <c r="H1813" s="18">
        <v>842.7500</v>
      </c>
      <c r="I1813" s="18">
        <f ca="1">((I1812 + G1813) - H1813)</f>
        <v>0</v>
      </c>
      <c r="J1813" s="18">
        <v>0</v>
      </c>
      <c r="K1813" s="19">
        <v>0</v>
      </c>
      <c r="L1813" s="17"/>
    </row>
    <row r="1814" ht="10.95" customHeight="true" customFormat="true" s="9">
      <c r="A1814" s="16">
        <v>45344</v>
      </c>
      <c r="B1814" s="17" t="s">
        <v>424</v>
      </c>
      <c r="C1814" s="17" t="s">
        <v>425</v>
      </c>
      <c r="D1814" s="17" t="s">
        <v>19</v>
      </c>
      <c r="E1814" s="17" t="s">
        <v>428</v>
      </c>
      <c r="F1814" s="17"/>
      <c r="G1814" s="18">
        <v>2336.9500</v>
      </c>
      <c r="H1814" s="18">
        <v>0</v>
      </c>
      <c r="I1814" s="18">
        <f ca="1">((I1813 + G1814) - H1814)</f>
        <v>0</v>
      </c>
      <c r="J1814" s="18">
        <v>0</v>
      </c>
      <c r="K1814" s="19">
        <v>0</v>
      </c>
      <c r="L1814" s="17"/>
    </row>
    <row r="1815" ht="10.95" customHeight="true" customFormat="true" s="9">
      <c r="A1815" s="16">
        <v>45344</v>
      </c>
      <c r="B1815" s="17" t="s">
        <v>424</v>
      </c>
      <c r="C1815" s="17" t="s">
        <v>425</v>
      </c>
      <c r="D1815" s="17" t="s">
        <v>22</v>
      </c>
      <c r="E1815" s="17" t="s">
        <v>440</v>
      </c>
      <c r="F1815" s="17"/>
      <c r="G1815" s="18">
        <v>0</v>
      </c>
      <c r="H1815" s="18">
        <v>231.0000</v>
      </c>
      <c r="I1815" s="18">
        <f ca="1">((I1814 + G1815) - H1815)</f>
        <v>0</v>
      </c>
      <c r="J1815" s="18">
        <v>0</v>
      </c>
      <c r="K1815" s="19">
        <v>0</v>
      </c>
      <c r="L1815" s="17"/>
    </row>
    <row r="1816" ht="10.95" customHeight="true" customFormat="true" s="9">
      <c r="A1816" s="16">
        <v>45345</v>
      </c>
      <c r="B1816" s="17" t="s">
        <v>424</v>
      </c>
      <c r="C1816" s="17" t="s">
        <v>425</v>
      </c>
      <c r="D1816" s="17" t="s">
        <v>19</v>
      </c>
      <c r="E1816" s="17" t="s">
        <v>428</v>
      </c>
      <c r="F1816" s="17"/>
      <c r="G1816" s="18">
        <v>2413.7500</v>
      </c>
      <c r="H1816" s="18">
        <v>0</v>
      </c>
      <c r="I1816" s="18">
        <f ca="1">((I1815 + G1816) - H1816)</f>
        <v>0</v>
      </c>
      <c r="J1816" s="18">
        <v>0</v>
      </c>
      <c r="K1816" s="19">
        <v>0</v>
      </c>
      <c r="L1816" s="17"/>
    </row>
    <row r="1817" ht="10.95" customHeight="true" customFormat="true" s="9">
      <c r="A1817" s="16">
        <v>45345</v>
      </c>
      <c r="B1817" s="17" t="s">
        <v>424</v>
      </c>
      <c r="C1817" s="17" t="s">
        <v>425</v>
      </c>
      <c r="D1817" s="17" t="s">
        <v>22</v>
      </c>
      <c r="E1817" s="17" t="s">
        <v>430</v>
      </c>
      <c r="F1817" s="17"/>
      <c r="G1817" s="18">
        <v>0</v>
      </c>
      <c r="H1817" s="18">
        <v>1681.2600</v>
      </c>
      <c r="I1817" s="18">
        <f ca="1">((I1816 + G1817) - H1817)</f>
        <v>0</v>
      </c>
      <c r="J1817" s="18">
        <v>0</v>
      </c>
      <c r="K1817" s="19">
        <v>0</v>
      </c>
      <c r="L1817" s="17"/>
    </row>
    <row r="1818" ht="10.95" customHeight="true" customFormat="true" s="9">
      <c r="A1818" s="16">
        <v>45348</v>
      </c>
      <c r="B1818" s="17" t="s">
        <v>424</v>
      </c>
      <c r="C1818" s="17" t="s">
        <v>425</v>
      </c>
      <c r="D1818" s="17" t="s">
        <v>19</v>
      </c>
      <c r="E1818" s="17" t="s">
        <v>428</v>
      </c>
      <c r="F1818" s="17"/>
      <c r="G1818" s="18">
        <v>5124.6500</v>
      </c>
      <c r="H1818" s="18">
        <v>0</v>
      </c>
      <c r="I1818" s="18">
        <f ca="1">((I1817 + G1818) - H1818)</f>
        <v>0</v>
      </c>
      <c r="J1818" s="18">
        <v>0</v>
      </c>
      <c r="K1818" s="19">
        <v>0</v>
      </c>
      <c r="L1818" s="17"/>
    </row>
    <row r="1819" ht="10.95" customHeight="true" customFormat="true" s="9">
      <c r="A1819" s="16">
        <v>45348</v>
      </c>
      <c r="B1819" s="17" t="s">
        <v>424</v>
      </c>
      <c r="C1819" s="17" t="s">
        <v>425</v>
      </c>
      <c r="D1819" s="17" t="s">
        <v>19</v>
      </c>
      <c r="E1819" s="17" t="s">
        <v>428</v>
      </c>
      <c r="F1819" s="17"/>
      <c r="G1819" s="18">
        <v>6065.2400</v>
      </c>
      <c r="H1819" s="18">
        <v>0</v>
      </c>
      <c r="I1819" s="18">
        <f ca="1">((I1818 + G1819) - H1819)</f>
        <v>0</v>
      </c>
      <c r="J1819" s="18">
        <v>0</v>
      </c>
      <c r="K1819" s="19">
        <v>0</v>
      </c>
      <c r="L1819" s="17"/>
    </row>
    <row r="1820" ht="10.95" customHeight="true" customFormat="true" s="9">
      <c r="A1820" s="16">
        <v>45348</v>
      </c>
      <c r="B1820" s="17" t="s">
        <v>424</v>
      </c>
      <c r="C1820" s="17" t="s">
        <v>425</v>
      </c>
      <c r="D1820" s="17" t="s">
        <v>19</v>
      </c>
      <c r="E1820" s="17" t="s">
        <v>428</v>
      </c>
      <c r="F1820" s="17"/>
      <c r="G1820" s="18">
        <v>2721.1500</v>
      </c>
      <c r="H1820" s="18">
        <v>0</v>
      </c>
      <c r="I1820" s="18">
        <f ca="1">((I1819 + G1820) - H1820)</f>
        <v>0</v>
      </c>
      <c r="J1820" s="18">
        <v>0</v>
      </c>
      <c r="K1820" s="19">
        <v>0</v>
      </c>
      <c r="L1820" s="17"/>
    </row>
    <row r="1821" ht="10.95" customHeight="true" customFormat="true" s="9">
      <c r="A1821" s="16">
        <v>45348</v>
      </c>
      <c r="B1821" s="17" t="s">
        <v>424</v>
      </c>
      <c r="C1821" s="17" t="s">
        <v>425</v>
      </c>
      <c r="D1821" s="17" t="s">
        <v>22</v>
      </c>
      <c r="E1821" s="17" t="s">
        <v>442</v>
      </c>
      <c r="F1821" s="17"/>
      <c r="G1821" s="18">
        <v>0</v>
      </c>
      <c r="H1821" s="18">
        <v>183.9600</v>
      </c>
      <c r="I1821" s="18">
        <f ca="1">((I1820 + G1821) - H1821)</f>
        <v>0</v>
      </c>
      <c r="J1821" s="18">
        <v>0</v>
      </c>
      <c r="K1821" s="19">
        <v>0</v>
      </c>
      <c r="L1821" s="17"/>
    </row>
    <row r="1822" ht="10.95" customHeight="true" customFormat="true" s="9">
      <c r="A1822" s="16">
        <v>45348</v>
      </c>
      <c r="B1822" s="17" t="s">
        <v>424</v>
      </c>
      <c r="C1822" s="17" t="s">
        <v>425</v>
      </c>
      <c r="D1822" s="17" t="s">
        <v>22</v>
      </c>
      <c r="E1822" s="17" t="s">
        <v>426</v>
      </c>
      <c r="F1822" s="17" t="s">
        <v>510</v>
      </c>
      <c r="G1822" s="18">
        <v>0</v>
      </c>
      <c r="H1822" s="18">
        <v>2000.0000</v>
      </c>
      <c r="I1822" s="18">
        <f ca="1">((I1821 + G1822) - H1822)</f>
        <v>0</v>
      </c>
      <c r="J1822" s="18">
        <v>0</v>
      </c>
      <c r="K1822" s="19">
        <v>0</v>
      </c>
      <c r="L1822" s="17"/>
    </row>
    <row r="1823" ht="10.95" customHeight="true" customFormat="true" s="9">
      <c r="A1823" s="16">
        <v>45348</v>
      </c>
      <c r="B1823" s="17" t="s">
        <v>424</v>
      </c>
      <c r="C1823" s="17" t="s">
        <v>425</v>
      </c>
      <c r="D1823" s="17" t="s">
        <v>22</v>
      </c>
      <c r="E1823" s="17" t="s">
        <v>426</v>
      </c>
      <c r="F1823" s="17" t="s">
        <v>510</v>
      </c>
      <c r="G1823" s="18">
        <v>0</v>
      </c>
      <c r="H1823" s="18">
        <v>1225.7000</v>
      </c>
      <c r="I1823" s="18">
        <f ca="1">((I1822 + G1823) - H1823)</f>
        <v>0</v>
      </c>
      <c r="J1823" s="18">
        <v>0</v>
      </c>
      <c r="K1823" s="19">
        <v>0</v>
      </c>
      <c r="L1823" s="17"/>
    </row>
    <row r="1824" ht="10.95" customHeight="true" customFormat="true" s="9">
      <c r="A1824" s="16">
        <v>45348</v>
      </c>
      <c r="B1824" s="17" t="s">
        <v>424</v>
      </c>
      <c r="C1824" s="17" t="s">
        <v>425</v>
      </c>
      <c r="D1824" s="17" t="s">
        <v>22</v>
      </c>
      <c r="E1824" s="17" t="s">
        <v>426</v>
      </c>
      <c r="F1824" s="17" t="s">
        <v>510</v>
      </c>
      <c r="G1824" s="18">
        <v>0</v>
      </c>
      <c r="H1824" s="18">
        <v>78.0000</v>
      </c>
      <c r="I1824" s="18">
        <f ca="1">((I1823 + G1824) - H1824)</f>
        <v>0</v>
      </c>
      <c r="J1824" s="18">
        <v>0</v>
      </c>
      <c r="K1824" s="19">
        <v>0</v>
      </c>
      <c r="L1824" s="17"/>
    </row>
    <row r="1825" ht="10.95" customHeight="true" customFormat="true" s="9">
      <c r="A1825" s="16">
        <v>45348</v>
      </c>
      <c r="B1825" s="17" t="s">
        <v>424</v>
      </c>
      <c r="C1825" s="17" t="s">
        <v>425</v>
      </c>
      <c r="D1825" s="17" t="s">
        <v>19</v>
      </c>
      <c r="E1825" s="17" t="s">
        <v>24</v>
      </c>
      <c r="F1825" s="17"/>
      <c r="G1825" s="18">
        <v>150.0000</v>
      </c>
      <c r="H1825" s="18">
        <v>0</v>
      </c>
      <c r="I1825" s="18">
        <f ca="1">((I1824 + G1825) - H1825)</f>
        <v>0</v>
      </c>
      <c r="J1825" s="18">
        <v>0</v>
      </c>
      <c r="K1825" s="19">
        <v>0</v>
      </c>
      <c r="L1825" s="17"/>
    </row>
    <row r="1826" ht="10.95" customHeight="true" customFormat="true" s="9">
      <c r="A1826" s="16">
        <v>45348</v>
      </c>
      <c r="B1826" s="17" t="s">
        <v>424</v>
      </c>
      <c r="C1826" s="17" t="s">
        <v>425</v>
      </c>
      <c r="D1826" s="17" t="s">
        <v>22</v>
      </c>
      <c r="E1826" s="17" t="s">
        <v>34</v>
      </c>
      <c r="F1826" s="17"/>
      <c r="G1826" s="18">
        <v>0</v>
      </c>
      <c r="H1826" s="18">
        <v>2400.0000</v>
      </c>
      <c r="I1826" s="18">
        <f ca="1">((I1825 + G1826) - H1826)</f>
        <v>0</v>
      </c>
      <c r="J1826" s="18">
        <v>0</v>
      </c>
      <c r="K1826" s="19">
        <v>0</v>
      </c>
      <c r="L1826" s="17"/>
    </row>
    <row r="1827" ht="10.95" customHeight="true" customFormat="true" s="9">
      <c r="A1827" s="16">
        <v>45348</v>
      </c>
      <c r="B1827" s="17" t="s">
        <v>424</v>
      </c>
      <c r="C1827" s="17" t="s">
        <v>425</v>
      </c>
      <c r="D1827" s="17" t="s">
        <v>22</v>
      </c>
      <c r="E1827" s="17" t="s">
        <v>426</v>
      </c>
      <c r="F1827" s="17" t="s">
        <v>510</v>
      </c>
      <c r="G1827" s="18">
        <v>0</v>
      </c>
      <c r="H1827" s="18">
        <v>1342.9000</v>
      </c>
      <c r="I1827" s="18">
        <f ca="1">((I1826 + G1827) - H1827)</f>
        <v>0</v>
      </c>
      <c r="J1827" s="18">
        <v>0</v>
      </c>
      <c r="K1827" s="19">
        <v>0</v>
      </c>
      <c r="L1827" s="17"/>
    </row>
    <row r="1828" ht="10.95" customHeight="true" customFormat="true" s="9">
      <c r="A1828" s="16">
        <v>45348</v>
      </c>
      <c r="B1828" s="17" t="s">
        <v>424</v>
      </c>
      <c r="C1828" s="17" t="s">
        <v>425</v>
      </c>
      <c r="D1828" s="17" t="s">
        <v>22</v>
      </c>
      <c r="E1828" s="17" t="s">
        <v>426</v>
      </c>
      <c r="F1828" s="17" t="s">
        <v>510</v>
      </c>
      <c r="G1828" s="18">
        <v>0</v>
      </c>
      <c r="H1828" s="18">
        <v>201.8800</v>
      </c>
      <c r="I1828" s="18">
        <f ca="1">((I1827 + G1828) - H1828)</f>
        <v>0</v>
      </c>
      <c r="J1828" s="18">
        <v>0</v>
      </c>
      <c r="K1828" s="19">
        <v>0</v>
      </c>
      <c r="L1828" s="17"/>
    </row>
    <row r="1829" ht="10.95" customHeight="true" customFormat="true" s="9">
      <c r="A1829" s="16">
        <v>45348</v>
      </c>
      <c r="B1829" s="17" t="s">
        <v>424</v>
      </c>
      <c r="C1829" s="17" t="s">
        <v>425</v>
      </c>
      <c r="D1829" s="17" t="s">
        <v>22</v>
      </c>
      <c r="E1829" s="17" t="s">
        <v>426</v>
      </c>
      <c r="F1829" s="17" t="s">
        <v>510</v>
      </c>
      <c r="G1829" s="18">
        <v>0</v>
      </c>
      <c r="H1829" s="18">
        <v>144.0000</v>
      </c>
      <c r="I1829" s="18">
        <f ca="1">((I1828 + G1829) - H1829)</f>
        <v>0</v>
      </c>
      <c r="J1829" s="18">
        <v>0</v>
      </c>
      <c r="K1829" s="19">
        <v>0</v>
      </c>
      <c r="L1829" s="17"/>
    </row>
    <row r="1830" ht="10.95" customHeight="true" customFormat="true" s="9">
      <c r="A1830" s="16">
        <v>45349</v>
      </c>
      <c r="B1830" s="17" t="s">
        <v>424</v>
      </c>
      <c r="C1830" s="17" t="s">
        <v>425</v>
      </c>
      <c r="D1830" s="17" t="s">
        <v>22</v>
      </c>
      <c r="E1830" s="17" t="s">
        <v>431</v>
      </c>
      <c r="F1830" s="17"/>
      <c r="G1830" s="18">
        <v>0</v>
      </c>
      <c r="H1830" s="18">
        <v>65.0000</v>
      </c>
      <c r="I1830" s="18">
        <f ca="1">((I1829 + G1830) - H1830)</f>
        <v>0</v>
      </c>
      <c r="J1830" s="18">
        <v>0</v>
      </c>
      <c r="K1830" s="19">
        <v>0</v>
      </c>
      <c r="L1830" s="17"/>
    </row>
    <row r="1831" ht="10.95" customHeight="true" customFormat="true" s="9">
      <c r="A1831" s="16">
        <v>45349</v>
      </c>
      <c r="B1831" s="17" t="s">
        <v>424</v>
      </c>
      <c r="C1831" s="17" t="s">
        <v>425</v>
      </c>
      <c r="D1831" s="17" t="s">
        <v>22</v>
      </c>
      <c r="E1831" s="17" t="s">
        <v>430</v>
      </c>
      <c r="F1831" s="17"/>
      <c r="G1831" s="18">
        <v>0</v>
      </c>
      <c r="H1831" s="18">
        <v>1903.8100</v>
      </c>
      <c r="I1831" s="18">
        <f ca="1">((I1830 + G1831) - H1831)</f>
        <v>0</v>
      </c>
      <c r="J1831" s="18">
        <v>0</v>
      </c>
      <c r="K1831" s="19">
        <v>0</v>
      </c>
      <c r="L1831" s="17"/>
    </row>
    <row r="1832" ht="10.95" customHeight="true" customFormat="true" s="9">
      <c r="A1832" s="16">
        <v>45349</v>
      </c>
      <c r="B1832" s="17" t="s">
        <v>424</v>
      </c>
      <c r="C1832" s="17" t="s">
        <v>425</v>
      </c>
      <c r="D1832" s="17" t="s">
        <v>22</v>
      </c>
      <c r="E1832" s="17" t="s">
        <v>438</v>
      </c>
      <c r="F1832" s="17"/>
      <c r="G1832" s="18">
        <v>0</v>
      </c>
      <c r="H1832" s="18">
        <v>29.7500</v>
      </c>
      <c r="I1832" s="18">
        <f ca="1">((I1831 + G1832) - H1832)</f>
        <v>0</v>
      </c>
      <c r="J1832" s="18">
        <v>0</v>
      </c>
      <c r="K1832" s="19">
        <v>0</v>
      </c>
      <c r="L1832" s="17"/>
    </row>
    <row r="1833" ht="10.95" customHeight="true" customFormat="true" s="9">
      <c r="A1833" s="16">
        <v>45350</v>
      </c>
      <c r="B1833" s="17" t="s">
        <v>424</v>
      </c>
      <c r="C1833" s="17" t="s">
        <v>425</v>
      </c>
      <c r="D1833" s="17" t="s">
        <v>19</v>
      </c>
      <c r="E1833" s="17" t="s">
        <v>428</v>
      </c>
      <c r="F1833" s="17"/>
      <c r="G1833" s="18">
        <v>932.1500</v>
      </c>
      <c r="H1833" s="18">
        <v>0</v>
      </c>
      <c r="I1833" s="18">
        <f ca="1">((I1832 + G1833) - H1833)</f>
        <v>0</v>
      </c>
      <c r="J1833" s="18">
        <v>0</v>
      </c>
      <c r="K1833" s="19">
        <v>0</v>
      </c>
      <c r="L1833" s="17"/>
    </row>
    <row r="1834" ht="10.95" customHeight="true" customFormat="true" s="9">
      <c r="A1834" s="16">
        <v>45351</v>
      </c>
      <c r="B1834" s="17" t="s">
        <v>424</v>
      </c>
      <c r="C1834" s="17" t="s">
        <v>425</v>
      </c>
      <c r="D1834" s="17" t="s">
        <v>19</v>
      </c>
      <c r="E1834" s="17" t="s">
        <v>428</v>
      </c>
      <c r="F1834" s="17"/>
      <c r="G1834" s="18">
        <v>1939.4500</v>
      </c>
      <c r="H1834" s="18">
        <v>0</v>
      </c>
      <c r="I1834" s="18">
        <f ca="1">((I1833 + G1834) - H1834)</f>
        <v>0</v>
      </c>
      <c r="J1834" s="18">
        <v>0</v>
      </c>
      <c r="K1834" s="19">
        <v>0</v>
      </c>
      <c r="L1834" s="17"/>
    </row>
    <row r="1835" ht="10.95" customHeight="true" customFormat="true" s="9">
      <c r="A1835" s="16">
        <v>45351</v>
      </c>
      <c r="B1835" s="17" t="s">
        <v>424</v>
      </c>
      <c r="C1835" s="17" t="s">
        <v>425</v>
      </c>
      <c r="D1835" s="17" t="s">
        <v>22</v>
      </c>
      <c r="E1835" s="17" t="s">
        <v>447</v>
      </c>
      <c r="F1835" s="17"/>
      <c r="G1835" s="18">
        <v>0</v>
      </c>
      <c r="H1835" s="18">
        <v>10.0000</v>
      </c>
      <c r="I1835" s="18">
        <f ca="1">((I1834 + G1835) - H1835)</f>
        <v>0</v>
      </c>
      <c r="J1835" s="18">
        <v>0</v>
      </c>
      <c r="K1835" s="19">
        <v>0</v>
      </c>
      <c r="L1835" s="17"/>
    </row>
    <row r="1836" ht="10.95" customHeight="true" customFormat="true" s="9">
      <c r="A1836" s="16">
        <v>45351</v>
      </c>
      <c r="B1836" s="17" t="s">
        <v>424</v>
      </c>
      <c r="C1836" s="17" t="s">
        <v>425</v>
      </c>
      <c r="D1836" s="17" t="s">
        <v>22</v>
      </c>
      <c r="E1836" s="17" t="s">
        <v>474</v>
      </c>
      <c r="F1836" s="17"/>
      <c r="G1836" s="18">
        <v>0</v>
      </c>
      <c r="H1836" s="18">
        <v>11.9100</v>
      </c>
      <c r="I1836" s="18">
        <f ca="1">((I1835 + G1836) - H1836)</f>
        <v>0</v>
      </c>
      <c r="J1836" s="18">
        <v>0</v>
      </c>
      <c r="K1836" s="19">
        <v>0</v>
      </c>
      <c r="L1836" s="17"/>
    </row>
    <row r="1837" ht="10.95" customHeight="true" customFormat="true" s="9">
      <c r="A1837" s="16">
        <v>45352</v>
      </c>
      <c r="B1837" s="17" t="s">
        <v>424</v>
      </c>
      <c r="C1837" s="17" t="s">
        <v>425</v>
      </c>
      <c r="D1837" s="17" t="s">
        <v>19</v>
      </c>
      <c r="E1837" s="17" t="s">
        <v>428</v>
      </c>
      <c r="F1837" s="17"/>
      <c r="G1837" s="18">
        <v>2317.9500</v>
      </c>
      <c r="H1837" s="18">
        <v>0</v>
      </c>
      <c r="I1837" s="18">
        <f ca="1">((I1836 + G1837) - H1837)</f>
        <v>0</v>
      </c>
      <c r="J1837" s="18">
        <v>0</v>
      </c>
      <c r="K1837" s="19">
        <v>0</v>
      </c>
      <c r="L1837" s="17"/>
    </row>
    <row r="1838" ht="10.95" customHeight="true" customFormat="true" s="9">
      <c r="A1838" s="16">
        <v>45352</v>
      </c>
      <c r="B1838" s="17" t="s">
        <v>424</v>
      </c>
      <c r="C1838" s="17" t="s">
        <v>425</v>
      </c>
      <c r="D1838" s="17" t="s">
        <v>22</v>
      </c>
      <c r="E1838" s="17" t="s">
        <v>430</v>
      </c>
      <c r="F1838" s="17"/>
      <c r="G1838" s="18">
        <v>0</v>
      </c>
      <c r="H1838" s="18">
        <v>1805.1400</v>
      </c>
      <c r="I1838" s="18">
        <f ca="1">((I1837 + G1838) - H1838)</f>
        <v>0</v>
      </c>
      <c r="J1838" s="18">
        <v>0</v>
      </c>
      <c r="K1838" s="19">
        <v>0</v>
      </c>
      <c r="L1838" s="17"/>
    </row>
    <row r="1839" ht="10.95" customHeight="true" customFormat="true" s="9">
      <c r="A1839" s="16">
        <v>45352</v>
      </c>
      <c r="B1839" s="17" t="s">
        <v>424</v>
      </c>
      <c r="C1839" s="17" t="s">
        <v>425</v>
      </c>
      <c r="D1839" s="17" t="s">
        <v>22</v>
      </c>
      <c r="E1839" s="17" t="s">
        <v>511</v>
      </c>
      <c r="F1839" s="17"/>
      <c r="G1839" s="18">
        <v>0</v>
      </c>
      <c r="H1839" s="18">
        <v>29.5000</v>
      </c>
      <c r="I1839" s="18">
        <f ca="1">((I1838 + G1839) - H1839)</f>
        <v>0</v>
      </c>
      <c r="J1839" s="18">
        <v>0</v>
      </c>
      <c r="K1839" s="19">
        <v>0</v>
      </c>
      <c r="L1839" s="17"/>
    </row>
    <row r="1840" ht="10.95" customHeight="true" customFormat="true" s="9">
      <c r="A1840" s="16">
        <v>45355</v>
      </c>
      <c r="B1840" s="17" t="s">
        <v>424</v>
      </c>
      <c r="C1840" s="17" t="s">
        <v>425</v>
      </c>
      <c r="D1840" s="17" t="s">
        <v>19</v>
      </c>
      <c r="E1840" s="17" t="s">
        <v>428</v>
      </c>
      <c r="F1840" s="17"/>
      <c r="G1840" s="18">
        <v>5196.3500</v>
      </c>
      <c r="H1840" s="18">
        <v>0</v>
      </c>
      <c r="I1840" s="18">
        <f ca="1">((I1839 + G1840) - H1840)</f>
        <v>0</v>
      </c>
      <c r="J1840" s="18">
        <v>0</v>
      </c>
      <c r="K1840" s="19">
        <v>0</v>
      </c>
      <c r="L1840" s="17"/>
    </row>
    <row r="1841" ht="10.95" customHeight="true" customFormat="true" s="9">
      <c r="A1841" s="16">
        <v>45355</v>
      </c>
      <c r="B1841" s="17" t="s">
        <v>424</v>
      </c>
      <c r="C1841" s="17" t="s">
        <v>425</v>
      </c>
      <c r="D1841" s="17" t="s">
        <v>22</v>
      </c>
      <c r="E1841" s="17" t="s">
        <v>512</v>
      </c>
      <c r="F1841" s="17"/>
      <c r="G1841" s="18">
        <v>0</v>
      </c>
      <c r="H1841" s="18">
        <v>8.0600</v>
      </c>
      <c r="I1841" s="18">
        <f ca="1">((I1840 + G1841) - H1841)</f>
        <v>0</v>
      </c>
      <c r="J1841" s="18">
        <v>0</v>
      </c>
      <c r="K1841" s="19">
        <v>0</v>
      </c>
      <c r="L1841" s="17"/>
    </row>
    <row r="1842" ht="10.95" customHeight="true" customFormat="true" s="9">
      <c r="A1842" s="16">
        <v>45355</v>
      </c>
      <c r="B1842" s="17" t="s">
        <v>424</v>
      </c>
      <c r="C1842" s="17" t="s">
        <v>425</v>
      </c>
      <c r="D1842" s="17" t="s">
        <v>22</v>
      </c>
      <c r="E1842" s="17" t="s">
        <v>428</v>
      </c>
      <c r="F1842" s="17"/>
      <c r="G1842" s="18">
        <v>0</v>
      </c>
      <c r="H1842" s="18">
        <v>49.5000</v>
      </c>
      <c r="I1842" s="18">
        <f ca="1">((I1841 + G1842) - H1842)</f>
        <v>0</v>
      </c>
      <c r="J1842" s="18">
        <v>0</v>
      </c>
      <c r="K1842" s="19">
        <v>0</v>
      </c>
      <c r="L1842" s="17"/>
    </row>
    <row r="1843" ht="10.95" customHeight="true" customFormat="true" s="9">
      <c r="A1843" s="16">
        <v>45355</v>
      </c>
      <c r="B1843" s="17" t="s">
        <v>424</v>
      </c>
      <c r="C1843" s="17" t="s">
        <v>425</v>
      </c>
      <c r="D1843" s="17" t="s">
        <v>22</v>
      </c>
      <c r="E1843" s="17" t="s">
        <v>426</v>
      </c>
      <c r="F1843" s="17" t="s">
        <v>513</v>
      </c>
      <c r="G1843" s="18">
        <v>0</v>
      </c>
      <c r="H1843" s="18">
        <v>144.0000</v>
      </c>
      <c r="I1843" s="18">
        <f ca="1">((I1842 + G1843) - H1843)</f>
        <v>0</v>
      </c>
      <c r="J1843" s="18">
        <v>0</v>
      </c>
      <c r="K1843" s="19">
        <v>0</v>
      </c>
      <c r="L1843" s="17"/>
    </row>
    <row r="1844" ht="10.95" customHeight="true" customFormat="true" s="9">
      <c r="A1844" s="16">
        <v>45355</v>
      </c>
      <c r="B1844" s="17" t="s">
        <v>424</v>
      </c>
      <c r="C1844" s="17" t="s">
        <v>425</v>
      </c>
      <c r="D1844" s="17" t="s">
        <v>22</v>
      </c>
      <c r="E1844" s="17" t="s">
        <v>426</v>
      </c>
      <c r="F1844" s="17" t="s">
        <v>513</v>
      </c>
      <c r="G1844" s="18">
        <v>0</v>
      </c>
      <c r="H1844" s="18">
        <v>658.7500</v>
      </c>
      <c r="I1844" s="18">
        <f ca="1">((I1843 + G1844) - H1844)</f>
        <v>0</v>
      </c>
      <c r="J1844" s="18">
        <v>0</v>
      </c>
      <c r="K1844" s="19">
        <v>0</v>
      </c>
      <c r="L1844" s="17"/>
    </row>
    <row r="1845" ht="10.95" customHeight="true" customFormat="true" s="9">
      <c r="A1845" s="16">
        <v>45355</v>
      </c>
      <c r="B1845" s="17" t="s">
        <v>424</v>
      </c>
      <c r="C1845" s="17" t="s">
        <v>425</v>
      </c>
      <c r="D1845" s="17" t="s">
        <v>19</v>
      </c>
      <c r="E1845" s="17" t="s">
        <v>24</v>
      </c>
      <c r="F1845" s="17"/>
      <c r="G1845" s="18">
        <v>100.0000</v>
      </c>
      <c r="H1845" s="18">
        <v>0</v>
      </c>
      <c r="I1845" s="18">
        <f ca="1">((I1844 + G1845) - H1845)</f>
        <v>0</v>
      </c>
      <c r="J1845" s="18">
        <v>0</v>
      </c>
      <c r="K1845" s="19">
        <v>0</v>
      </c>
      <c r="L1845" s="17"/>
    </row>
    <row r="1846" ht="10.95" customHeight="true" customFormat="true" s="9">
      <c r="A1846" s="16">
        <v>45355</v>
      </c>
      <c r="B1846" s="17" t="s">
        <v>424</v>
      </c>
      <c r="C1846" s="17" t="s">
        <v>425</v>
      </c>
      <c r="D1846" s="17" t="s">
        <v>22</v>
      </c>
      <c r="E1846" s="17" t="s">
        <v>426</v>
      </c>
      <c r="F1846" s="17" t="s">
        <v>513</v>
      </c>
      <c r="G1846" s="18">
        <v>0</v>
      </c>
      <c r="H1846" s="18">
        <v>2000.0000</v>
      </c>
      <c r="I1846" s="18">
        <f ca="1">((I1845 + G1846) - H1846)</f>
        <v>0</v>
      </c>
      <c r="J1846" s="18">
        <v>0</v>
      </c>
      <c r="K1846" s="19">
        <v>0</v>
      </c>
      <c r="L1846" s="17"/>
    </row>
    <row r="1847" ht="10.95" customHeight="true" customFormat="true" s="9">
      <c r="A1847" s="16">
        <v>45355</v>
      </c>
      <c r="B1847" s="17" t="s">
        <v>424</v>
      </c>
      <c r="C1847" s="17" t="s">
        <v>425</v>
      </c>
      <c r="D1847" s="17" t="s">
        <v>19</v>
      </c>
      <c r="E1847" s="17" t="s">
        <v>428</v>
      </c>
      <c r="F1847" s="17"/>
      <c r="G1847" s="18">
        <v>5841.2500</v>
      </c>
      <c r="H1847" s="18">
        <v>0</v>
      </c>
      <c r="I1847" s="18">
        <f ca="1">((I1846 + G1847) - H1847)</f>
        <v>0</v>
      </c>
      <c r="J1847" s="18">
        <v>0</v>
      </c>
      <c r="K1847" s="19">
        <v>0</v>
      </c>
      <c r="L1847" s="17"/>
    </row>
    <row r="1848" ht="10.95" customHeight="true" customFormat="true" s="9">
      <c r="A1848" s="16">
        <v>45355</v>
      </c>
      <c r="B1848" s="17" t="s">
        <v>424</v>
      </c>
      <c r="C1848" s="17" t="s">
        <v>425</v>
      </c>
      <c r="D1848" s="17" t="s">
        <v>19</v>
      </c>
      <c r="E1848" s="17" t="s">
        <v>428</v>
      </c>
      <c r="F1848" s="17"/>
      <c r="G1848" s="18">
        <v>2969.1000</v>
      </c>
      <c r="H1848" s="18">
        <v>0</v>
      </c>
      <c r="I1848" s="18">
        <f ca="1">((I1847 + G1848) - H1848)</f>
        <v>0</v>
      </c>
      <c r="J1848" s="18">
        <v>0</v>
      </c>
      <c r="K1848" s="19">
        <v>0</v>
      </c>
      <c r="L1848" s="17"/>
    </row>
    <row r="1849" ht="10.95" customHeight="true" customFormat="true" s="9">
      <c r="A1849" s="16">
        <v>45355</v>
      </c>
      <c r="B1849" s="17" t="s">
        <v>424</v>
      </c>
      <c r="C1849" s="17" t="s">
        <v>425</v>
      </c>
      <c r="D1849" s="17" t="s">
        <v>22</v>
      </c>
      <c r="E1849" s="17" t="s">
        <v>34</v>
      </c>
      <c r="F1849" s="17"/>
      <c r="G1849" s="18">
        <v>0</v>
      </c>
      <c r="H1849" s="18">
        <v>1205.5000</v>
      </c>
      <c r="I1849" s="18">
        <f ca="1">((I1848 + G1849) - H1849)</f>
        <v>0</v>
      </c>
      <c r="J1849" s="18">
        <v>0</v>
      </c>
      <c r="K1849" s="19">
        <v>0</v>
      </c>
      <c r="L1849" s="17"/>
    </row>
    <row r="1850" ht="10.95" customHeight="true" customFormat="true" s="9">
      <c r="A1850" s="16">
        <v>45355</v>
      </c>
      <c r="B1850" s="17" t="s">
        <v>424</v>
      </c>
      <c r="C1850" s="17" t="s">
        <v>425</v>
      </c>
      <c r="D1850" s="17" t="s">
        <v>22</v>
      </c>
      <c r="E1850" s="17" t="s">
        <v>426</v>
      </c>
      <c r="F1850" s="17" t="s">
        <v>513</v>
      </c>
      <c r="G1850" s="18">
        <v>0</v>
      </c>
      <c r="H1850" s="18">
        <v>1342.9000</v>
      </c>
      <c r="I1850" s="18">
        <f ca="1">((I1849 + G1850) - H1850)</f>
        <v>0</v>
      </c>
      <c r="J1850" s="18">
        <v>0</v>
      </c>
      <c r="K1850" s="19">
        <v>0</v>
      </c>
      <c r="L1850" s="17"/>
    </row>
    <row r="1851" ht="10.95" customHeight="true" customFormat="true" s="9">
      <c r="A1851" s="16">
        <v>45355</v>
      </c>
      <c r="B1851" s="17" t="s">
        <v>424</v>
      </c>
      <c r="C1851" s="17" t="s">
        <v>425</v>
      </c>
      <c r="D1851" s="17" t="s">
        <v>22</v>
      </c>
      <c r="E1851" s="17" t="s">
        <v>426</v>
      </c>
      <c r="F1851" s="17" t="s">
        <v>513</v>
      </c>
      <c r="G1851" s="18">
        <v>0</v>
      </c>
      <c r="H1851" s="18">
        <v>25.5000</v>
      </c>
      <c r="I1851" s="18">
        <f ca="1">((I1850 + G1851) - H1851)</f>
        <v>0</v>
      </c>
      <c r="J1851" s="18">
        <v>0</v>
      </c>
      <c r="K1851" s="19">
        <v>0</v>
      </c>
      <c r="L1851" s="17"/>
    </row>
    <row r="1852" ht="10.95" customHeight="true" customFormat="true" s="9">
      <c r="A1852" s="16">
        <v>45355</v>
      </c>
      <c r="B1852" s="17" t="s">
        <v>424</v>
      </c>
      <c r="C1852" s="17" t="s">
        <v>425</v>
      </c>
      <c r="D1852" s="17" t="s">
        <v>22</v>
      </c>
      <c r="E1852" s="17" t="s">
        <v>426</v>
      </c>
      <c r="F1852" s="17" t="s">
        <v>513</v>
      </c>
      <c r="G1852" s="18">
        <v>0</v>
      </c>
      <c r="H1852" s="18">
        <v>639.0000</v>
      </c>
      <c r="I1852" s="18">
        <f ca="1">((I1851 + G1852) - H1852)</f>
        <v>0</v>
      </c>
      <c r="J1852" s="18">
        <v>0</v>
      </c>
      <c r="K1852" s="19">
        <v>0</v>
      </c>
      <c r="L1852" s="17"/>
    </row>
    <row r="1853" ht="10.95" customHeight="true" customFormat="true" s="9">
      <c r="A1853" s="16">
        <v>45356</v>
      </c>
      <c r="B1853" s="17" t="s">
        <v>424</v>
      </c>
      <c r="C1853" s="17" t="s">
        <v>425</v>
      </c>
      <c r="D1853" s="17" t="s">
        <v>22</v>
      </c>
      <c r="E1853" s="17" t="s">
        <v>430</v>
      </c>
      <c r="F1853" s="17"/>
      <c r="G1853" s="18">
        <v>0</v>
      </c>
      <c r="H1853" s="18">
        <v>1407.8000</v>
      </c>
      <c r="I1853" s="18">
        <f ca="1">((I1852 + G1853) - H1853)</f>
        <v>0</v>
      </c>
      <c r="J1853" s="18">
        <v>0</v>
      </c>
      <c r="K1853" s="19">
        <v>0</v>
      </c>
      <c r="L1853" s="17"/>
    </row>
    <row r="1854" ht="10.95" customHeight="true" customFormat="true" s="9">
      <c r="A1854" s="16">
        <v>45356</v>
      </c>
      <c r="B1854" s="17" t="s">
        <v>424</v>
      </c>
      <c r="C1854" s="17" t="s">
        <v>425</v>
      </c>
      <c r="D1854" s="17" t="s">
        <v>22</v>
      </c>
      <c r="E1854" s="17" t="s">
        <v>430</v>
      </c>
      <c r="F1854" s="17"/>
      <c r="G1854" s="18">
        <v>0</v>
      </c>
      <c r="H1854" s="18">
        <v>365.0000</v>
      </c>
      <c r="I1854" s="18">
        <f ca="1">((I1853 + G1854) - H1854)</f>
        <v>0</v>
      </c>
      <c r="J1854" s="18">
        <v>0</v>
      </c>
      <c r="K1854" s="19">
        <v>0</v>
      </c>
      <c r="L1854" s="17"/>
    </row>
    <row r="1855" ht="10.95" customHeight="true" customFormat="true" s="9">
      <c r="A1855" s="16">
        <v>45357</v>
      </c>
      <c r="B1855" s="17" t="s">
        <v>424</v>
      </c>
      <c r="C1855" s="17" t="s">
        <v>425</v>
      </c>
      <c r="D1855" s="17" t="s">
        <v>19</v>
      </c>
      <c r="E1855" s="17" t="s">
        <v>428</v>
      </c>
      <c r="F1855" s="17"/>
      <c r="G1855" s="18">
        <v>2342.6500</v>
      </c>
      <c r="H1855" s="18">
        <v>0</v>
      </c>
      <c r="I1855" s="18">
        <f ca="1">((I1854 + G1855) - H1855)</f>
        <v>0</v>
      </c>
      <c r="J1855" s="18">
        <v>0</v>
      </c>
      <c r="K1855" s="19">
        <v>0</v>
      </c>
      <c r="L1855" s="17"/>
    </row>
    <row r="1856" ht="10.95" customHeight="true" customFormat="true" s="9">
      <c r="A1856" s="16">
        <v>45357</v>
      </c>
      <c r="B1856" s="17" t="s">
        <v>424</v>
      </c>
      <c r="C1856" s="17" t="s">
        <v>425</v>
      </c>
      <c r="D1856" s="17" t="s">
        <v>22</v>
      </c>
      <c r="E1856" s="17" t="s">
        <v>433</v>
      </c>
      <c r="F1856" s="17"/>
      <c r="G1856" s="18">
        <v>0</v>
      </c>
      <c r="H1856" s="18">
        <v>725.6900</v>
      </c>
      <c r="I1856" s="18">
        <f ca="1">((I1855 + G1856) - H1856)</f>
        <v>0</v>
      </c>
      <c r="J1856" s="18">
        <v>0</v>
      </c>
      <c r="K1856" s="19">
        <v>0</v>
      </c>
      <c r="L1856" s="17"/>
    </row>
    <row r="1857" ht="10.95" customHeight="true" customFormat="true" s="9">
      <c r="A1857" s="16">
        <v>45358</v>
      </c>
      <c r="B1857" s="17" t="s">
        <v>424</v>
      </c>
      <c r="C1857" s="17" t="s">
        <v>425</v>
      </c>
      <c r="D1857" s="17" t="s">
        <v>19</v>
      </c>
      <c r="E1857" s="17" t="s">
        <v>428</v>
      </c>
      <c r="F1857" s="17"/>
      <c r="G1857" s="18">
        <v>2877.2500</v>
      </c>
      <c r="H1857" s="18">
        <v>0</v>
      </c>
      <c r="I1857" s="18">
        <f ca="1">((I1856 + G1857) - H1857)</f>
        <v>0</v>
      </c>
      <c r="J1857" s="18">
        <v>0</v>
      </c>
      <c r="K1857" s="19">
        <v>0</v>
      </c>
      <c r="L1857" s="17"/>
    </row>
    <row r="1858" ht="10.95" customHeight="true" customFormat="true" s="9">
      <c r="A1858" s="16">
        <v>45359</v>
      </c>
      <c r="B1858" s="17" t="s">
        <v>424</v>
      </c>
      <c r="C1858" s="17" t="s">
        <v>425</v>
      </c>
      <c r="D1858" s="17" t="s">
        <v>22</v>
      </c>
      <c r="E1858" s="17" t="s">
        <v>430</v>
      </c>
      <c r="F1858" s="17"/>
      <c r="G1858" s="18">
        <v>0</v>
      </c>
      <c r="H1858" s="18">
        <v>1760.2900</v>
      </c>
      <c r="I1858" s="18">
        <f ca="1">((I1857 + G1858) - H1858)</f>
        <v>0</v>
      </c>
      <c r="J1858" s="18">
        <v>0</v>
      </c>
      <c r="K1858" s="19">
        <v>0</v>
      </c>
      <c r="L1858" s="17"/>
    </row>
    <row r="1859" ht="10.95" customHeight="true" customFormat="true" s="9">
      <c r="A1859" s="16">
        <v>45359</v>
      </c>
      <c r="B1859" s="17" t="s">
        <v>424</v>
      </c>
      <c r="C1859" s="17" t="s">
        <v>425</v>
      </c>
      <c r="D1859" s="17" t="s">
        <v>19</v>
      </c>
      <c r="E1859" s="17" t="s">
        <v>428</v>
      </c>
      <c r="F1859" s="17"/>
      <c r="G1859" s="18">
        <v>2477.9500</v>
      </c>
      <c r="H1859" s="18">
        <v>0</v>
      </c>
      <c r="I1859" s="18">
        <f ca="1">((I1858 + G1859) - H1859)</f>
        <v>0</v>
      </c>
      <c r="J1859" s="18">
        <v>0</v>
      </c>
      <c r="K1859" s="19">
        <v>0</v>
      </c>
      <c r="L1859" s="17"/>
    </row>
    <row r="1860" ht="10.95" customHeight="true" customFormat="true" s="9">
      <c r="A1860" s="16">
        <v>45359</v>
      </c>
      <c r="B1860" s="17" t="s">
        <v>424</v>
      </c>
      <c r="C1860" s="17" t="s">
        <v>425</v>
      </c>
      <c r="D1860" s="17" t="s">
        <v>22</v>
      </c>
      <c r="E1860" s="17" t="s">
        <v>431</v>
      </c>
      <c r="F1860" s="17"/>
      <c r="G1860" s="18">
        <v>0</v>
      </c>
      <c r="H1860" s="18">
        <v>65.0000</v>
      </c>
      <c r="I1860" s="18">
        <f ca="1">((I1859 + G1860) - H1860)</f>
        <v>0</v>
      </c>
      <c r="J1860" s="18">
        <v>0</v>
      </c>
      <c r="K1860" s="19">
        <v>0</v>
      </c>
      <c r="L1860" s="17"/>
    </row>
    <row r="1861" ht="10.95" customHeight="true" customFormat="true" s="9">
      <c r="A1861" s="16">
        <v>45362</v>
      </c>
      <c r="B1861" s="17" t="s">
        <v>424</v>
      </c>
      <c r="C1861" s="17" t="s">
        <v>425</v>
      </c>
      <c r="D1861" s="17" t="s">
        <v>22</v>
      </c>
      <c r="E1861" s="17" t="s">
        <v>474</v>
      </c>
      <c r="F1861" s="17"/>
      <c r="G1861" s="18">
        <v>0</v>
      </c>
      <c r="H1861" s="18">
        <v>45.6700</v>
      </c>
      <c r="I1861" s="18">
        <f ca="1">((I1860 + G1861) - H1861)</f>
        <v>0</v>
      </c>
      <c r="J1861" s="18">
        <v>0</v>
      </c>
      <c r="K1861" s="19">
        <v>0</v>
      </c>
      <c r="L1861" s="17"/>
    </row>
    <row r="1862" ht="10.95" customHeight="true" customFormat="true" s="9">
      <c r="A1862" s="16">
        <v>45362</v>
      </c>
      <c r="B1862" s="17" t="s">
        <v>424</v>
      </c>
      <c r="C1862" s="17" t="s">
        <v>425</v>
      </c>
      <c r="D1862" s="17" t="s">
        <v>19</v>
      </c>
      <c r="E1862" s="17" t="s">
        <v>428</v>
      </c>
      <c r="F1862" s="17"/>
      <c r="G1862" s="18">
        <v>5516.5000</v>
      </c>
      <c r="H1862" s="18">
        <v>0</v>
      </c>
      <c r="I1862" s="18">
        <f ca="1">((I1861 + G1862) - H1862)</f>
        <v>0</v>
      </c>
      <c r="J1862" s="18">
        <v>0</v>
      </c>
      <c r="K1862" s="19">
        <v>0</v>
      </c>
      <c r="L1862" s="17"/>
    </row>
    <row r="1863" ht="10.95" customHeight="true" customFormat="true" s="9">
      <c r="A1863" s="16">
        <v>45362</v>
      </c>
      <c r="B1863" s="17" t="s">
        <v>424</v>
      </c>
      <c r="C1863" s="17" t="s">
        <v>425</v>
      </c>
      <c r="D1863" s="17" t="s">
        <v>22</v>
      </c>
      <c r="E1863" s="17" t="s">
        <v>426</v>
      </c>
      <c r="F1863" s="17" t="s">
        <v>514</v>
      </c>
      <c r="G1863" s="18">
        <v>0</v>
      </c>
      <c r="H1863" s="18">
        <v>1342.9000</v>
      </c>
      <c r="I1863" s="18">
        <f ca="1">((I1862 + G1863) - H1863)</f>
        <v>0</v>
      </c>
      <c r="J1863" s="18">
        <v>0</v>
      </c>
      <c r="K1863" s="19">
        <v>0</v>
      </c>
      <c r="L1863" s="17"/>
    </row>
    <row r="1864" ht="10.95" customHeight="true" customFormat="true" s="9">
      <c r="A1864" s="16">
        <v>45362</v>
      </c>
      <c r="B1864" s="17" t="s">
        <v>424</v>
      </c>
      <c r="C1864" s="17" t="s">
        <v>425</v>
      </c>
      <c r="D1864" s="17" t="s">
        <v>22</v>
      </c>
      <c r="E1864" s="17" t="s">
        <v>426</v>
      </c>
      <c r="F1864" s="17" t="s">
        <v>514</v>
      </c>
      <c r="G1864" s="18">
        <v>0</v>
      </c>
      <c r="H1864" s="18">
        <v>144.0000</v>
      </c>
      <c r="I1864" s="18">
        <f ca="1">((I1863 + G1864) - H1864)</f>
        <v>0</v>
      </c>
      <c r="J1864" s="18">
        <v>0</v>
      </c>
      <c r="K1864" s="19">
        <v>0</v>
      </c>
      <c r="L1864" s="17"/>
    </row>
    <row r="1865" ht="10.95" customHeight="true" customFormat="true" s="9">
      <c r="A1865" s="16">
        <v>45362</v>
      </c>
      <c r="B1865" s="17" t="s">
        <v>424</v>
      </c>
      <c r="C1865" s="17" t="s">
        <v>425</v>
      </c>
      <c r="D1865" s="17" t="s">
        <v>22</v>
      </c>
      <c r="E1865" s="17" t="s">
        <v>509</v>
      </c>
      <c r="F1865" s="17"/>
      <c r="G1865" s="18">
        <v>0</v>
      </c>
      <c r="H1865" s="18">
        <v>40.9600</v>
      </c>
      <c r="I1865" s="18">
        <f ca="1">((I1864 + G1865) - H1865)</f>
        <v>0</v>
      </c>
      <c r="J1865" s="18">
        <v>0</v>
      </c>
      <c r="K1865" s="19">
        <v>0</v>
      </c>
      <c r="L1865" s="17"/>
    </row>
    <row r="1866" ht="10.95" customHeight="true" customFormat="true" s="9">
      <c r="A1866" s="16">
        <v>45362</v>
      </c>
      <c r="B1866" s="17" t="s">
        <v>424</v>
      </c>
      <c r="C1866" s="17" t="s">
        <v>425</v>
      </c>
      <c r="D1866" s="17" t="s">
        <v>22</v>
      </c>
      <c r="E1866" s="17" t="s">
        <v>426</v>
      </c>
      <c r="F1866" s="17" t="s">
        <v>514</v>
      </c>
      <c r="G1866" s="18">
        <v>0</v>
      </c>
      <c r="H1866" s="18">
        <v>2000.0000</v>
      </c>
      <c r="I1866" s="18">
        <f ca="1">((I1865 + G1866) - H1866)</f>
        <v>0</v>
      </c>
      <c r="J1866" s="18">
        <v>0</v>
      </c>
      <c r="K1866" s="19">
        <v>0</v>
      </c>
      <c r="L1866" s="17"/>
    </row>
    <row r="1867" ht="10.95" customHeight="true" customFormat="true" s="9">
      <c r="A1867" s="16">
        <v>45362</v>
      </c>
      <c r="B1867" s="17" t="s">
        <v>424</v>
      </c>
      <c r="C1867" s="17" t="s">
        <v>425</v>
      </c>
      <c r="D1867" s="17" t="s">
        <v>22</v>
      </c>
      <c r="E1867" s="17" t="s">
        <v>426</v>
      </c>
      <c r="F1867" s="17" t="s">
        <v>514</v>
      </c>
      <c r="G1867" s="18">
        <v>0</v>
      </c>
      <c r="H1867" s="18">
        <v>652.0000</v>
      </c>
      <c r="I1867" s="18">
        <f ca="1">((I1866 + G1867) - H1867)</f>
        <v>0</v>
      </c>
      <c r="J1867" s="18">
        <v>0</v>
      </c>
      <c r="K1867" s="19">
        <v>0</v>
      </c>
      <c r="L1867" s="17"/>
    </row>
    <row r="1868" ht="10.95" customHeight="true" customFormat="true" s="9">
      <c r="A1868" s="16">
        <v>45362</v>
      </c>
      <c r="B1868" s="17" t="s">
        <v>424</v>
      </c>
      <c r="C1868" s="17" t="s">
        <v>425</v>
      </c>
      <c r="D1868" s="17" t="s">
        <v>19</v>
      </c>
      <c r="E1868" s="17" t="s">
        <v>428</v>
      </c>
      <c r="F1868" s="17"/>
      <c r="G1868" s="18">
        <v>2767.8000</v>
      </c>
      <c r="H1868" s="18">
        <v>0</v>
      </c>
      <c r="I1868" s="18">
        <f ca="1">((I1867 + G1868) - H1868)</f>
        <v>0</v>
      </c>
      <c r="J1868" s="18">
        <v>0</v>
      </c>
      <c r="K1868" s="19">
        <v>0</v>
      </c>
      <c r="L1868" s="17"/>
    </row>
    <row r="1869" ht="10.95" customHeight="true" customFormat="true" s="9">
      <c r="A1869" s="16">
        <v>45362</v>
      </c>
      <c r="B1869" s="17" t="s">
        <v>424</v>
      </c>
      <c r="C1869" s="17" t="s">
        <v>425</v>
      </c>
      <c r="D1869" s="17" t="s">
        <v>22</v>
      </c>
      <c r="E1869" s="17" t="s">
        <v>34</v>
      </c>
      <c r="F1869" s="17"/>
      <c r="G1869" s="18">
        <v>0</v>
      </c>
      <c r="H1869" s="18">
        <v>2898.0000</v>
      </c>
      <c r="I1869" s="18">
        <f ca="1">((I1868 + G1869) - H1869)</f>
        <v>0</v>
      </c>
      <c r="J1869" s="18">
        <v>0</v>
      </c>
      <c r="K1869" s="19">
        <v>0</v>
      </c>
      <c r="L1869" s="17"/>
    </row>
    <row r="1870" ht="10.95" customHeight="true" customFormat="true" s="9">
      <c r="A1870" s="16">
        <v>45362</v>
      </c>
      <c r="B1870" s="17" t="s">
        <v>424</v>
      </c>
      <c r="C1870" s="17" t="s">
        <v>425</v>
      </c>
      <c r="D1870" s="17" t="s">
        <v>19</v>
      </c>
      <c r="E1870" s="17" t="s">
        <v>428</v>
      </c>
      <c r="F1870" s="17"/>
      <c r="G1870" s="18">
        <v>5171.6000</v>
      </c>
      <c r="H1870" s="18">
        <v>0</v>
      </c>
      <c r="I1870" s="18">
        <f ca="1">((I1869 + G1870) - H1870)</f>
        <v>0</v>
      </c>
      <c r="J1870" s="18">
        <v>0</v>
      </c>
      <c r="K1870" s="19">
        <v>0</v>
      </c>
      <c r="L1870" s="17"/>
    </row>
    <row r="1871" ht="10.95" customHeight="true" customFormat="true" s="9">
      <c r="A1871" s="16">
        <v>45362</v>
      </c>
      <c r="B1871" s="17" t="s">
        <v>424</v>
      </c>
      <c r="C1871" s="17" t="s">
        <v>425</v>
      </c>
      <c r="D1871" s="17" t="s">
        <v>22</v>
      </c>
      <c r="E1871" s="17" t="s">
        <v>426</v>
      </c>
      <c r="F1871" s="17" t="s">
        <v>514</v>
      </c>
      <c r="G1871" s="18">
        <v>0</v>
      </c>
      <c r="H1871" s="18">
        <v>605.6300</v>
      </c>
      <c r="I1871" s="18">
        <f ca="1">((I1870 + G1871) - H1871)</f>
        <v>0</v>
      </c>
      <c r="J1871" s="18">
        <v>0</v>
      </c>
      <c r="K1871" s="19">
        <v>0</v>
      </c>
      <c r="L1871" s="17"/>
    </row>
    <row r="1872" ht="10.95" customHeight="true" customFormat="true" s="9">
      <c r="A1872" s="16">
        <v>45363</v>
      </c>
      <c r="B1872" s="17" t="s">
        <v>424</v>
      </c>
      <c r="C1872" s="17" t="s">
        <v>425</v>
      </c>
      <c r="D1872" s="17" t="s">
        <v>22</v>
      </c>
      <c r="E1872" s="17" t="s">
        <v>430</v>
      </c>
      <c r="F1872" s="17"/>
      <c r="G1872" s="18">
        <v>0</v>
      </c>
      <c r="H1872" s="18">
        <v>1881.0200</v>
      </c>
      <c r="I1872" s="18">
        <f ca="1">((I1871 + G1872) - H1872)</f>
        <v>0</v>
      </c>
      <c r="J1872" s="18">
        <v>0</v>
      </c>
      <c r="K1872" s="19">
        <v>0</v>
      </c>
      <c r="L1872" s="17"/>
    </row>
    <row r="1873" ht="10.95" customHeight="true" customFormat="true" s="9">
      <c r="A1873" s="16">
        <v>45364</v>
      </c>
      <c r="B1873" s="17" t="s">
        <v>424</v>
      </c>
      <c r="C1873" s="17" t="s">
        <v>425</v>
      </c>
      <c r="D1873" s="17" t="s">
        <v>19</v>
      </c>
      <c r="E1873" s="17" t="s">
        <v>428</v>
      </c>
      <c r="F1873" s="17"/>
      <c r="G1873" s="18">
        <v>2169.5000</v>
      </c>
      <c r="H1873" s="18">
        <v>0</v>
      </c>
      <c r="I1873" s="18">
        <f ca="1">((I1872 + G1873) - H1873)</f>
        <v>0</v>
      </c>
      <c r="J1873" s="18">
        <v>0</v>
      </c>
      <c r="K1873" s="19">
        <v>0</v>
      </c>
      <c r="L1873" s="17"/>
    </row>
    <row r="1874" ht="10.95" customHeight="true" customFormat="true" s="9">
      <c r="A1874" s="16">
        <v>45364</v>
      </c>
      <c r="B1874" s="17" t="s">
        <v>424</v>
      </c>
      <c r="C1874" s="17" t="s">
        <v>425</v>
      </c>
      <c r="D1874" s="17" t="s">
        <v>19</v>
      </c>
      <c r="E1874" s="17" t="s">
        <v>24</v>
      </c>
      <c r="F1874" s="17"/>
      <c r="G1874" s="18">
        <v>170.2000</v>
      </c>
      <c r="H1874" s="18">
        <v>0</v>
      </c>
      <c r="I1874" s="18">
        <f ca="1">((I1873 + G1874) - H1874)</f>
        <v>0</v>
      </c>
      <c r="J1874" s="18">
        <v>0</v>
      </c>
      <c r="K1874" s="19">
        <v>0</v>
      </c>
      <c r="L1874" s="17"/>
    </row>
    <row r="1875" ht="10.95" customHeight="true" customFormat="true" s="9">
      <c r="A1875" s="16">
        <v>45365</v>
      </c>
      <c r="B1875" s="17" t="s">
        <v>424</v>
      </c>
      <c r="C1875" s="17" t="s">
        <v>425</v>
      </c>
      <c r="D1875" s="17" t="s">
        <v>19</v>
      </c>
      <c r="E1875" s="17" t="s">
        <v>428</v>
      </c>
      <c r="F1875" s="17"/>
      <c r="G1875" s="18">
        <v>2325.8500</v>
      </c>
      <c r="H1875" s="18">
        <v>0</v>
      </c>
      <c r="I1875" s="18">
        <f ca="1">((I1874 + G1875) - H1875)</f>
        <v>0</v>
      </c>
      <c r="J1875" s="18">
        <v>0</v>
      </c>
      <c r="K1875" s="19">
        <v>0</v>
      </c>
      <c r="L1875" s="17"/>
    </row>
    <row r="1876" ht="10.95" customHeight="true" customFormat="true" s="9">
      <c r="A1876" s="16">
        <v>45365</v>
      </c>
      <c r="B1876" s="17" t="s">
        <v>424</v>
      </c>
      <c r="C1876" s="17" t="s">
        <v>425</v>
      </c>
      <c r="D1876" s="17" t="s">
        <v>22</v>
      </c>
      <c r="E1876" s="17" t="s">
        <v>474</v>
      </c>
      <c r="F1876" s="17"/>
      <c r="G1876" s="18">
        <v>0</v>
      </c>
      <c r="H1876" s="18">
        <v>27.0900</v>
      </c>
      <c r="I1876" s="18">
        <f ca="1">((I1875 + G1876) - H1876)</f>
        <v>0</v>
      </c>
      <c r="J1876" s="18">
        <v>0</v>
      </c>
      <c r="K1876" s="19">
        <v>0</v>
      </c>
      <c r="L1876" s="17"/>
    </row>
    <row r="1877" ht="10.95" customHeight="true" customFormat="true" s="9">
      <c r="A1877" s="16">
        <v>45366</v>
      </c>
      <c r="B1877" s="17" t="s">
        <v>424</v>
      </c>
      <c r="C1877" s="17" t="s">
        <v>425</v>
      </c>
      <c r="D1877" s="17" t="s">
        <v>22</v>
      </c>
      <c r="E1877" s="17" t="s">
        <v>430</v>
      </c>
      <c r="F1877" s="17"/>
      <c r="G1877" s="18">
        <v>0</v>
      </c>
      <c r="H1877" s="18">
        <v>1516.4800</v>
      </c>
      <c r="I1877" s="18">
        <f ca="1">((I1876 + G1877) - H1877)</f>
        <v>0</v>
      </c>
      <c r="J1877" s="18">
        <v>0</v>
      </c>
      <c r="K1877" s="19">
        <v>0</v>
      </c>
      <c r="L1877" s="17"/>
    </row>
    <row r="1878" ht="10.95" customHeight="true" customFormat="true" s="9">
      <c r="A1878" s="16">
        <v>45366</v>
      </c>
      <c r="B1878" s="17" t="s">
        <v>424</v>
      </c>
      <c r="C1878" s="17" t="s">
        <v>425</v>
      </c>
      <c r="D1878" s="17" t="s">
        <v>19</v>
      </c>
      <c r="E1878" s="17" t="s">
        <v>428</v>
      </c>
      <c r="F1878" s="17"/>
      <c r="G1878" s="18">
        <v>2326.9500</v>
      </c>
      <c r="H1878" s="18">
        <v>0</v>
      </c>
      <c r="I1878" s="18">
        <f ca="1">((I1877 + G1878) - H1878)</f>
        <v>0</v>
      </c>
      <c r="J1878" s="18">
        <v>0</v>
      </c>
      <c r="K1878" s="19">
        <v>0</v>
      </c>
      <c r="L1878" s="17"/>
    </row>
    <row r="1879" ht="10.95" customHeight="true" customFormat="true" s="9">
      <c r="A1879" s="16">
        <v>45369</v>
      </c>
      <c r="B1879" s="17" t="s">
        <v>424</v>
      </c>
      <c r="C1879" s="17" t="s">
        <v>425</v>
      </c>
      <c r="D1879" s="17" t="s">
        <v>22</v>
      </c>
      <c r="E1879" s="17" t="s">
        <v>426</v>
      </c>
      <c r="F1879" s="17" t="s">
        <v>515</v>
      </c>
      <c r="G1879" s="18">
        <v>0</v>
      </c>
      <c r="H1879" s="18">
        <v>1342.9000</v>
      </c>
      <c r="I1879" s="18">
        <f ca="1">((I1878 + G1879) - H1879)</f>
        <v>0</v>
      </c>
      <c r="J1879" s="18">
        <v>0</v>
      </c>
      <c r="K1879" s="19">
        <v>0</v>
      </c>
      <c r="L1879" s="17"/>
    </row>
    <row r="1880" ht="10.95" customHeight="true" customFormat="true" s="9">
      <c r="A1880" s="16">
        <v>45369</v>
      </c>
      <c r="B1880" s="17" t="s">
        <v>424</v>
      </c>
      <c r="C1880" s="17" t="s">
        <v>425</v>
      </c>
      <c r="D1880" s="17" t="s">
        <v>22</v>
      </c>
      <c r="E1880" s="17" t="s">
        <v>426</v>
      </c>
      <c r="F1880" s="17" t="s">
        <v>516</v>
      </c>
      <c r="G1880" s="18">
        <v>0</v>
      </c>
      <c r="H1880" s="18">
        <v>461.0000</v>
      </c>
      <c r="I1880" s="18">
        <f ca="1">((I1879 + G1880) - H1880)</f>
        <v>0</v>
      </c>
      <c r="J1880" s="18">
        <v>0</v>
      </c>
      <c r="K1880" s="19">
        <v>0</v>
      </c>
      <c r="L1880" s="17"/>
    </row>
    <row r="1881" ht="10.95" customHeight="true" customFormat="true" s="9">
      <c r="A1881" s="16">
        <v>45369</v>
      </c>
      <c r="B1881" s="17" t="s">
        <v>424</v>
      </c>
      <c r="C1881" s="17" t="s">
        <v>425</v>
      </c>
      <c r="D1881" s="17" t="s">
        <v>19</v>
      </c>
      <c r="E1881" s="17" t="s">
        <v>428</v>
      </c>
      <c r="F1881" s="17"/>
      <c r="G1881" s="18">
        <v>2723.1500</v>
      </c>
      <c r="H1881" s="18">
        <v>0</v>
      </c>
      <c r="I1881" s="18">
        <f ca="1">((I1880 + G1881) - H1881)</f>
        <v>0</v>
      </c>
      <c r="J1881" s="18">
        <v>0</v>
      </c>
      <c r="K1881" s="19">
        <v>0</v>
      </c>
      <c r="L1881" s="17"/>
    </row>
    <row r="1882" ht="10.95" customHeight="true" customFormat="true" s="9">
      <c r="A1882" s="16">
        <v>45369</v>
      </c>
      <c r="B1882" s="17" t="s">
        <v>424</v>
      </c>
      <c r="C1882" s="17" t="s">
        <v>425</v>
      </c>
      <c r="D1882" s="17" t="s">
        <v>22</v>
      </c>
      <c r="E1882" s="17" t="s">
        <v>426</v>
      </c>
      <c r="F1882" s="17" t="s">
        <v>516</v>
      </c>
      <c r="G1882" s="18">
        <v>0</v>
      </c>
      <c r="H1882" s="18">
        <v>807.4000</v>
      </c>
      <c r="I1882" s="18">
        <f ca="1">((I1881 + G1882) - H1882)</f>
        <v>0</v>
      </c>
      <c r="J1882" s="18">
        <v>0</v>
      </c>
      <c r="K1882" s="19">
        <v>0</v>
      </c>
      <c r="L1882" s="17"/>
    </row>
    <row r="1883" ht="10.95" customHeight="true" customFormat="true" s="9">
      <c r="A1883" s="16">
        <v>45369</v>
      </c>
      <c r="B1883" s="17" t="s">
        <v>424</v>
      </c>
      <c r="C1883" s="17" t="s">
        <v>425</v>
      </c>
      <c r="D1883" s="17" t="s">
        <v>22</v>
      </c>
      <c r="E1883" s="17" t="s">
        <v>426</v>
      </c>
      <c r="F1883" s="17" t="s">
        <v>516</v>
      </c>
      <c r="G1883" s="18">
        <v>0</v>
      </c>
      <c r="H1883" s="18">
        <v>2000.0000</v>
      </c>
      <c r="I1883" s="18">
        <f ca="1">((I1882 + G1883) - H1883)</f>
        <v>0</v>
      </c>
      <c r="J1883" s="18">
        <v>0</v>
      </c>
      <c r="K1883" s="19">
        <v>0</v>
      </c>
      <c r="L1883" s="17"/>
    </row>
    <row r="1884" ht="10.95" customHeight="true" customFormat="true" s="9">
      <c r="A1884" s="16">
        <v>45369</v>
      </c>
      <c r="B1884" s="17" t="s">
        <v>424</v>
      </c>
      <c r="C1884" s="17" t="s">
        <v>425</v>
      </c>
      <c r="D1884" s="17" t="s">
        <v>22</v>
      </c>
      <c r="E1884" s="17" t="s">
        <v>426</v>
      </c>
      <c r="F1884" s="17" t="s">
        <v>516</v>
      </c>
      <c r="G1884" s="18">
        <v>0</v>
      </c>
      <c r="H1884" s="18">
        <v>144.0000</v>
      </c>
      <c r="I1884" s="18">
        <f ca="1">((I1883 + G1884) - H1884)</f>
        <v>0</v>
      </c>
      <c r="J1884" s="18">
        <v>0</v>
      </c>
      <c r="K1884" s="19">
        <v>0</v>
      </c>
      <c r="L1884" s="17"/>
    </row>
    <row r="1885" ht="10.95" customHeight="true" customFormat="true" s="9">
      <c r="A1885" s="16">
        <v>45369</v>
      </c>
      <c r="B1885" s="17" t="s">
        <v>424</v>
      </c>
      <c r="C1885" s="17" t="s">
        <v>425</v>
      </c>
      <c r="D1885" s="17" t="s">
        <v>19</v>
      </c>
      <c r="E1885" s="17" t="s">
        <v>24</v>
      </c>
      <c r="F1885" s="17"/>
      <c r="G1885" s="18">
        <v>170.0000</v>
      </c>
      <c r="H1885" s="18">
        <v>0</v>
      </c>
      <c r="I1885" s="18">
        <f ca="1">((I1884 + G1885) - H1885)</f>
        <v>0</v>
      </c>
      <c r="J1885" s="18">
        <v>0</v>
      </c>
      <c r="K1885" s="19">
        <v>0</v>
      </c>
      <c r="L1885" s="17"/>
    </row>
    <row r="1886" ht="10.95" customHeight="true" customFormat="true" s="9">
      <c r="A1886" s="16">
        <v>45369</v>
      </c>
      <c r="B1886" s="17" t="s">
        <v>424</v>
      </c>
      <c r="C1886" s="17" t="s">
        <v>425</v>
      </c>
      <c r="D1886" s="17" t="s">
        <v>19</v>
      </c>
      <c r="E1886" s="17" t="s">
        <v>428</v>
      </c>
      <c r="F1886" s="17"/>
      <c r="G1886" s="18">
        <v>5759.7500</v>
      </c>
      <c r="H1886" s="18">
        <v>0</v>
      </c>
      <c r="I1886" s="18">
        <f ca="1">((I1885 + G1886) - H1886)</f>
        <v>0</v>
      </c>
      <c r="J1886" s="18">
        <v>0</v>
      </c>
      <c r="K1886" s="19">
        <v>0</v>
      </c>
      <c r="L1886" s="17"/>
    </row>
    <row r="1887" ht="10.95" customHeight="true" customFormat="true" s="9">
      <c r="A1887" s="16">
        <v>45369</v>
      </c>
      <c r="B1887" s="17" t="s">
        <v>424</v>
      </c>
      <c r="C1887" s="17" t="s">
        <v>425</v>
      </c>
      <c r="D1887" s="17" t="s">
        <v>22</v>
      </c>
      <c r="E1887" s="17" t="s">
        <v>436</v>
      </c>
      <c r="F1887" s="17"/>
      <c r="G1887" s="18">
        <v>0</v>
      </c>
      <c r="H1887" s="18">
        <v>108.0000</v>
      </c>
      <c r="I1887" s="18">
        <f ca="1">((I1886 + G1887) - H1887)</f>
        <v>0</v>
      </c>
      <c r="J1887" s="18">
        <v>0</v>
      </c>
      <c r="K1887" s="19">
        <v>0</v>
      </c>
      <c r="L1887" s="17"/>
    </row>
    <row r="1888" ht="10.95" customHeight="true" customFormat="true" s="9">
      <c r="A1888" s="16">
        <v>45369</v>
      </c>
      <c r="B1888" s="17" t="s">
        <v>424</v>
      </c>
      <c r="C1888" s="17" t="s">
        <v>425</v>
      </c>
      <c r="D1888" s="17" t="s">
        <v>22</v>
      </c>
      <c r="E1888" s="17" t="s">
        <v>34</v>
      </c>
      <c r="F1888" s="17"/>
      <c r="G1888" s="18">
        <v>0</v>
      </c>
      <c r="H1888" s="18">
        <v>2540.0000</v>
      </c>
      <c r="I1888" s="18">
        <f ca="1">((I1887 + G1888) - H1888)</f>
        <v>0</v>
      </c>
      <c r="J1888" s="18">
        <v>0</v>
      </c>
      <c r="K1888" s="19">
        <v>0</v>
      </c>
      <c r="L1888" s="17"/>
    </row>
    <row r="1889" ht="10.95" customHeight="true" customFormat="true" s="9">
      <c r="A1889" s="16">
        <v>45369</v>
      </c>
      <c r="B1889" s="17" t="s">
        <v>424</v>
      </c>
      <c r="C1889" s="17" t="s">
        <v>425</v>
      </c>
      <c r="D1889" s="17" t="s">
        <v>19</v>
      </c>
      <c r="E1889" s="17" t="s">
        <v>428</v>
      </c>
      <c r="F1889" s="17"/>
      <c r="G1889" s="18">
        <v>5710.7000</v>
      </c>
      <c r="H1889" s="18">
        <v>0</v>
      </c>
      <c r="I1889" s="18">
        <f ca="1">((I1888 + G1889) - H1889)</f>
        <v>0</v>
      </c>
      <c r="J1889" s="18">
        <v>0</v>
      </c>
      <c r="K1889" s="19">
        <v>0</v>
      </c>
      <c r="L1889" s="17"/>
    </row>
    <row r="1890" ht="10.95" customHeight="true" customFormat="true" s="9">
      <c r="A1890" s="16">
        <v>45370</v>
      </c>
      <c r="B1890" s="17" t="s">
        <v>424</v>
      </c>
      <c r="C1890" s="17" t="s">
        <v>425</v>
      </c>
      <c r="D1890" s="17" t="s">
        <v>22</v>
      </c>
      <c r="E1890" s="17" t="s">
        <v>431</v>
      </c>
      <c r="F1890" s="17"/>
      <c r="G1890" s="18">
        <v>0</v>
      </c>
      <c r="H1890" s="18">
        <v>65.0000</v>
      </c>
      <c r="I1890" s="18">
        <f ca="1">((I1889 + G1890) - H1890)</f>
        <v>0</v>
      </c>
      <c r="J1890" s="18">
        <v>0</v>
      </c>
      <c r="K1890" s="19">
        <v>0</v>
      </c>
      <c r="L1890" s="17"/>
    </row>
    <row r="1891" ht="10.95" customHeight="true" customFormat="true" s="9">
      <c r="A1891" s="16">
        <v>45370</v>
      </c>
      <c r="B1891" s="17" t="s">
        <v>424</v>
      </c>
      <c r="C1891" s="17" t="s">
        <v>425</v>
      </c>
      <c r="D1891" s="17" t="s">
        <v>22</v>
      </c>
      <c r="E1891" s="17" t="s">
        <v>430</v>
      </c>
      <c r="F1891" s="17"/>
      <c r="G1891" s="18">
        <v>0</v>
      </c>
      <c r="H1891" s="18">
        <v>2005.0100</v>
      </c>
      <c r="I1891" s="18">
        <f ca="1">((I1890 + G1891) - H1891)</f>
        <v>0</v>
      </c>
      <c r="J1891" s="18">
        <v>0</v>
      </c>
      <c r="K1891" s="19">
        <v>0</v>
      </c>
      <c r="L1891" s="17"/>
    </row>
    <row r="1892" ht="10.95" customHeight="true" customFormat="true" s="9">
      <c r="A1892" s="16">
        <v>45371</v>
      </c>
      <c r="B1892" s="17" t="s">
        <v>424</v>
      </c>
      <c r="C1892" s="17" t="s">
        <v>425</v>
      </c>
      <c r="D1892" s="17" t="s">
        <v>19</v>
      </c>
      <c r="E1892" s="17" t="s">
        <v>428</v>
      </c>
      <c r="F1892" s="17"/>
      <c r="G1892" s="18">
        <v>2086.0500</v>
      </c>
      <c r="H1892" s="18">
        <v>0</v>
      </c>
      <c r="I1892" s="18">
        <f ca="1">((I1891 + G1892) - H1892)</f>
        <v>0</v>
      </c>
      <c r="J1892" s="18">
        <v>0</v>
      </c>
      <c r="K1892" s="19">
        <v>0</v>
      </c>
      <c r="L1892" s="17"/>
    </row>
    <row r="1893" ht="10.95" customHeight="true" customFormat="true" s="9">
      <c r="A1893" s="16">
        <v>45371</v>
      </c>
      <c r="B1893" s="17" t="s">
        <v>424</v>
      </c>
      <c r="C1893" s="17" t="s">
        <v>425</v>
      </c>
      <c r="D1893" s="17" t="s">
        <v>22</v>
      </c>
      <c r="E1893" s="17" t="s">
        <v>433</v>
      </c>
      <c r="F1893" s="17"/>
      <c r="G1893" s="18">
        <v>0</v>
      </c>
      <c r="H1893" s="18">
        <v>544.1300</v>
      </c>
      <c r="I1893" s="18">
        <f ca="1">((I1892 + G1893) - H1893)</f>
        <v>0</v>
      </c>
      <c r="J1893" s="18">
        <v>0</v>
      </c>
      <c r="K1893" s="19">
        <v>0</v>
      </c>
      <c r="L1893" s="17"/>
    </row>
    <row r="1894" ht="10.95" customHeight="true" customFormat="true" s="9">
      <c r="A1894" s="16">
        <v>45372</v>
      </c>
      <c r="B1894" s="17" t="s">
        <v>424</v>
      </c>
      <c r="C1894" s="17" t="s">
        <v>425</v>
      </c>
      <c r="D1894" s="17" t="s">
        <v>19</v>
      </c>
      <c r="E1894" s="17" t="s">
        <v>428</v>
      </c>
      <c r="F1894" s="17"/>
      <c r="G1894" s="18">
        <v>2230.7000</v>
      </c>
      <c r="H1894" s="18">
        <v>0</v>
      </c>
      <c r="I1894" s="18">
        <f ca="1">((I1893 + G1894) - H1894)</f>
        <v>0</v>
      </c>
      <c r="J1894" s="18">
        <v>0</v>
      </c>
      <c r="K1894" s="19">
        <v>0</v>
      </c>
      <c r="L1894" s="17"/>
    </row>
    <row r="1895" ht="10.95" customHeight="true" customFormat="true" s="9">
      <c r="A1895" s="16">
        <v>45372</v>
      </c>
      <c r="B1895" s="17" t="s">
        <v>424</v>
      </c>
      <c r="C1895" s="17" t="s">
        <v>425</v>
      </c>
      <c r="D1895" s="17" t="s">
        <v>22</v>
      </c>
      <c r="E1895" s="17" t="s">
        <v>461</v>
      </c>
      <c r="F1895" s="17"/>
      <c r="G1895" s="18">
        <v>0</v>
      </c>
      <c r="H1895" s="18">
        <v>3262.4500</v>
      </c>
      <c r="I1895" s="18">
        <f ca="1">((I1894 + G1895) - H1895)</f>
        <v>0</v>
      </c>
      <c r="J1895" s="18">
        <v>0</v>
      </c>
      <c r="K1895" s="19">
        <v>0</v>
      </c>
      <c r="L1895" s="17"/>
    </row>
    <row r="1896" ht="10.95" customHeight="true" customFormat="true" s="9">
      <c r="A1896" s="16">
        <v>45373</v>
      </c>
      <c r="B1896" s="17" t="s">
        <v>424</v>
      </c>
      <c r="C1896" s="17" t="s">
        <v>425</v>
      </c>
      <c r="D1896" s="17" t="s">
        <v>19</v>
      </c>
      <c r="E1896" s="17" t="s">
        <v>428</v>
      </c>
      <c r="F1896" s="17"/>
      <c r="G1896" s="18">
        <v>2375.1000</v>
      </c>
      <c r="H1896" s="18">
        <v>0</v>
      </c>
      <c r="I1896" s="18">
        <f ca="1">((I1895 + G1896) - H1896)</f>
        <v>0</v>
      </c>
      <c r="J1896" s="18">
        <v>0</v>
      </c>
      <c r="K1896" s="19">
        <v>0</v>
      </c>
      <c r="L1896" s="17"/>
    </row>
    <row r="1897" ht="10.95" customHeight="true" customFormat="true" s="9">
      <c r="A1897" s="16">
        <v>45373</v>
      </c>
      <c r="B1897" s="17" t="s">
        <v>424</v>
      </c>
      <c r="C1897" s="17" t="s">
        <v>425</v>
      </c>
      <c r="D1897" s="17" t="s">
        <v>22</v>
      </c>
      <c r="E1897" s="17" t="s">
        <v>459</v>
      </c>
      <c r="F1897" s="17"/>
      <c r="G1897" s="18">
        <v>0</v>
      </c>
      <c r="H1897" s="18">
        <v>218.0800</v>
      </c>
      <c r="I1897" s="18">
        <f ca="1">((I1896 + G1897) - H1897)</f>
        <v>0</v>
      </c>
      <c r="J1897" s="18">
        <v>0</v>
      </c>
      <c r="K1897" s="19">
        <v>0</v>
      </c>
      <c r="L1897" s="17"/>
    </row>
    <row r="1898" ht="10.95" customHeight="true" customFormat="true" s="9">
      <c r="A1898" s="16">
        <v>45373</v>
      </c>
      <c r="B1898" s="17" t="s">
        <v>424</v>
      </c>
      <c r="C1898" s="17" t="s">
        <v>425</v>
      </c>
      <c r="D1898" s="17" t="s">
        <v>22</v>
      </c>
      <c r="E1898" s="17" t="s">
        <v>298</v>
      </c>
      <c r="F1898" s="17"/>
      <c r="G1898" s="18">
        <v>0</v>
      </c>
      <c r="H1898" s="18">
        <v>6416.6700</v>
      </c>
      <c r="I1898" s="18">
        <f ca="1">((I1897 + G1898) - H1898)</f>
        <v>0</v>
      </c>
      <c r="J1898" s="18">
        <v>0</v>
      </c>
      <c r="K1898" s="19">
        <v>0</v>
      </c>
      <c r="L1898" s="17"/>
    </row>
    <row r="1899" ht="10.95" customHeight="true" customFormat="true" s="9">
      <c r="A1899" s="16">
        <v>45373</v>
      </c>
      <c r="B1899" s="17" t="s">
        <v>424</v>
      </c>
      <c r="C1899" s="17" t="s">
        <v>425</v>
      </c>
      <c r="D1899" s="17" t="s">
        <v>22</v>
      </c>
      <c r="E1899" s="17" t="s">
        <v>430</v>
      </c>
      <c r="F1899" s="17"/>
      <c r="G1899" s="18">
        <v>0</v>
      </c>
      <c r="H1899" s="18">
        <v>1533.8500</v>
      </c>
      <c r="I1899" s="18">
        <f ca="1">((I1898 + G1899) - H1899)</f>
        <v>0</v>
      </c>
      <c r="J1899" s="18">
        <v>0</v>
      </c>
      <c r="K1899" s="19">
        <v>0</v>
      </c>
      <c r="L1899" s="17"/>
    </row>
    <row r="1900" ht="10.95" customHeight="true" customFormat="true" s="9">
      <c r="A1900" s="16">
        <v>45376</v>
      </c>
      <c r="B1900" s="17" t="s">
        <v>424</v>
      </c>
      <c r="C1900" s="17" t="s">
        <v>425</v>
      </c>
      <c r="D1900" s="17" t="s">
        <v>19</v>
      </c>
      <c r="E1900" s="17" t="s">
        <v>24</v>
      </c>
      <c r="F1900" s="17"/>
      <c r="G1900" s="18">
        <v>200.0000</v>
      </c>
      <c r="H1900" s="18">
        <v>0</v>
      </c>
      <c r="I1900" s="18">
        <f ca="1">((I1899 + G1900) - H1900)</f>
        <v>0</v>
      </c>
      <c r="J1900" s="18">
        <v>0</v>
      </c>
      <c r="K1900" s="19">
        <v>0</v>
      </c>
      <c r="L1900" s="17"/>
    </row>
    <row r="1901" ht="10.95" customHeight="true" customFormat="true" s="9">
      <c r="A1901" s="16">
        <v>45376</v>
      </c>
      <c r="B1901" s="17" t="s">
        <v>424</v>
      </c>
      <c r="C1901" s="17" t="s">
        <v>425</v>
      </c>
      <c r="D1901" s="17" t="s">
        <v>22</v>
      </c>
      <c r="E1901" s="17" t="s">
        <v>426</v>
      </c>
      <c r="F1901" s="17" t="s">
        <v>517</v>
      </c>
      <c r="G1901" s="18">
        <v>0</v>
      </c>
      <c r="H1901" s="18">
        <v>786.2500</v>
      </c>
      <c r="I1901" s="18">
        <f ca="1">((I1900 + G1901) - H1901)</f>
        <v>0</v>
      </c>
      <c r="J1901" s="18">
        <v>0</v>
      </c>
      <c r="K1901" s="19">
        <v>0</v>
      </c>
      <c r="L1901" s="17"/>
    </row>
    <row r="1902" ht="10.95" customHeight="true" customFormat="true" s="9">
      <c r="A1902" s="16">
        <v>45376</v>
      </c>
      <c r="B1902" s="17" t="s">
        <v>424</v>
      </c>
      <c r="C1902" s="17" t="s">
        <v>425</v>
      </c>
      <c r="D1902" s="17" t="s">
        <v>22</v>
      </c>
      <c r="E1902" s="17" t="s">
        <v>426</v>
      </c>
      <c r="F1902" s="17" t="s">
        <v>517</v>
      </c>
      <c r="G1902" s="18">
        <v>0</v>
      </c>
      <c r="H1902" s="18">
        <v>461.0000</v>
      </c>
      <c r="I1902" s="18">
        <f ca="1">((I1901 + G1902) - H1902)</f>
        <v>0</v>
      </c>
      <c r="J1902" s="18">
        <v>0</v>
      </c>
      <c r="K1902" s="19">
        <v>0</v>
      </c>
      <c r="L1902" s="17"/>
    </row>
    <row r="1903" ht="10.95" customHeight="true" customFormat="true" s="9">
      <c r="A1903" s="16">
        <v>45376</v>
      </c>
      <c r="B1903" s="17" t="s">
        <v>424</v>
      </c>
      <c r="C1903" s="17" t="s">
        <v>425</v>
      </c>
      <c r="D1903" s="17" t="s">
        <v>22</v>
      </c>
      <c r="E1903" s="17" t="s">
        <v>426</v>
      </c>
      <c r="F1903" s="17" t="s">
        <v>517</v>
      </c>
      <c r="G1903" s="18">
        <v>0</v>
      </c>
      <c r="H1903" s="18">
        <v>1342.9000</v>
      </c>
      <c r="I1903" s="18">
        <f ca="1">((I1902 + G1903) - H1903)</f>
        <v>0</v>
      </c>
      <c r="J1903" s="18">
        <v>0</v>
      </c>
      <c r="K1903" s="19">
        <v>0</v>
      </c>
      <c r="L1903" s="17"/>
    </row>
    <row r="1904" ht="10.95" customHeight="true" customFormat="true" s="9">
      <c r="A1904" s="16">
        <v>45376</v>
      </c>
      <c r="B1904" s="17" t="s">
        <v>424</v>
      </c>
      <c r="C1904" s="17" t="s">
        <v>425</v>
      </c>
      <c r="D1904" s="17" t="s">
        <v>22</v>
      </c>
      <c r="E1904" s="17" t="s">
        <v>426</v>
      </c>
      <c r="F1904" s="17" t="s">
        <v>517</v>
      </c>
      <c r="G1904" s="18">
        <v>0</v>
      </c>
      <c r="H1904" s="18">
        <v>2000.0000</v>
      </c>
      <c r="I1904" s="18">
        <f ca="1">((I1903 + G1904) - H1904)</f>
        <v>0</v>
      </c>
      <c r="J1904" s="18">
        <v>0</v>
      </c>
      <c r="K1904" s="19">
        <v>0</v>
      </c>
      <c r="L1904" s="17"/>
    </row>
    <row r="1905" ht="10.95" customHeight="true" customFormat="true" s="9">
      <c r="A1905" s="16">
        <v>45376</v>
      </c>
      <c r="B1905" s="17" t="s">
        <v>424</v>
      </c>
      <c r="C1905" s="17" t="s">
        <v>425</v>
      </c>
      <c r="D1905" s="17" t="s">
        <v>22</v>
      </c>
      <c r="E1905" s="17" t="s">
        <v>34</v>
      </c>
      <c r="F1905" s="17"/>
      <c r="G1905" s="18">
        <v>0</v>
      </c>
      <c r="H1905" s="18">
        <v>2255.0000</v>
      </c>
      <c r="I1905" s="18">
        <f ca="1">((I1904 + G1905) - H1905)</f>
        <v>0</v>
      </c>
      <c r="J1905" s="18">
        <v>0</v>
      </c>
      <c r="K1905" s="19">
        <v>0</v>
      </c>
      <c r="L1905" s="17"/>
    </row>
    <row r="1906" ht="10.95" customHeight="true" customFormat="true" s="9">
      <c r="A1906" s="16">
        <v>45376</v>
      </c>
      <c r="B1906" s="17" t="s">
        <v>424</v>
      </c>
      <c r="C1906" s="17" t="s">
        <v>425</v>
      </c>
      <c r="D1906" s="17" t="s">
        <v>22</v>
      </c>
      <c r="E1906" s="17" t="s">
        <v>442</v>
      </c>
      <c r="F1906" s="17"/>
      <c r="G1906" s="18">
        <v>0</v>
      </c>
      <c r="H1906" s="18">
        <v>183.9600</v>
      </c>
      <c r="I1906" s="18">
        <f ca="1">((I1905 + G1906) - H1906)</f>
        <v>0</v>
      </c>
      <c r="J1906" s="18">
        <v>0</v>
      </c>
      <c r="K1906" s="19">
        <v>0</v>
      </c>
      <c r="L1906" s="17"/>
    </row>
    <row r="1907" ht="10.95" customHeight="true" customFormat="true" s="9">
      <c r="A1907" s="16">
        <v>45376</v>
      </c>
      <c r="B1907" s="17" t="s">
        <v>424</v>
      </c>
      <c r="C1907" s="17" t="s">
        <v>425</v>
      </c>
      <c r="D1907" s="17" t="s">
        <v>22</v>
      </c>
      <c r="E1907" s="17" t="s">
        <v>426</v>
      </c>
      <c r="F1907" s="17" t="s">
        <v>517</v>
      </c>
      <c r="G1907" s="18">
        <v>0</v>
      </c>
      <c r="H1907" s="18">
        <v>144.0000</v>
      </c>
      <c r="I1907" s="18">
        <f ca="1">((I1906 + G1907) - H1907)</f>
        <v>0</v>
      </c>
      <c r="J1907" s="18">
        <v>0</v>
      </c>
      <c r="K1907" s="19">
        <v>0</v>
      </c>
      <c r="L1907" s="17"/>
    </row>
    <row r="1908" ht="10.95" customHeight="true" customFormat="true" s="9">
      <c r="A1908" s="16">
        <v>45376</v>
      </c>
      <c r="B1908" s="17" t="s">
        <v>424</v>
      </c>
      <c r="C1908" s="17" t="s">
        <v>425</v>
      </c>
      <c r="D1908" s="17" t="s">
        <v>19</v>
      </c>
      <c r="E1908" s="17" t="s">
        <v>428</v>
      </c>
      <c r="F1908" s="17"/>
      <c r="G1908" s="18">
        <v>2946.7500</v>
      </c>
      <c r="H1908" s="18">
        <v>0</v>
      </c>
      <c r="I1908" s="18">
        <f ca="1">((I1907 + G1908) - H1908)</f>
        <v>0</v>
      </c>
      <c r="J1908" s="18">
        <v>0</v>
      </c>
      <c r="K1908" s="19">
        <v>0</v>
      </c>
      <c r="L1908" s="17"/>
    </row>
    <row r="1909" ht="10.95" customHeight="true" customFormat="true" s="9">
      <c r="A1909" s="16">
        <v>45376</v>
      </c>
      <c r="B1909" s="17" t="s">
        <v>424</v>
      </c>
      <c r="C1909" s="17" t="s">
        <v>425</v>
      </c>
      <c r="D1909" s="17" t="s">
        <v>22</v>
      </c>
      <c r="E1909" s="17" t="s">
        <v>426</v>
      </c>
      <c r="F1909" s="17" t="s">
        <v>517</v>
      </c>
      <c r="G1909" s="18">
        <v>0</v>
      </c>
      <c r="H1909" s="18">
        <v>807.5000</v>
      </c>
      <c r="I1909" s="18">
        <f ca="1">((I1908 + G1909) - H1909)</f>
        <v>0</v>
      </c>
      <c r="J1909" s="18">
        <v>0</v>
      </c>
      <c r="K1909" s="19">
        <v>0</v>
      </c>
      <c r="L1909" s="17"/>
    </row>
    <row r="1910" ht="10.95" customHeight="true" customFormat="true" s="9">
      <c r="A1910" s="16">
        <v>45376</v>
      </c>
      <c r="B1910" s="17" t="s">
        <v>424</v>
      </c>
      <c r="C1910" s="17" t="s">
        <v>425</v>
      </c>
      <c r="D1910" s="17" t="s">
        <v>19</v>
      </c>
      <c r="E1910" s="17" t="s">
        <v>428</v>
      </c>
      <c r="F1910" s="17"/>
      <c r="G1910" s="18">
        <v>5400.7000</v>
      </c>
      <c r="H1910" s="18">
        <v>0</v>
      </c>
      <c r="I1910" s="18">
        <f ca="1">((I1909 + G1910) - H1910)</f>
        <v>0</v>
      </c>
      <c r="J1910" s="18">
        <v>0</v>
      </c>
      <c r="K1910" s="19">
        <v>0</v>
      </c>
      <c r="L1910" s="17"/>
    </row>
    <row r="1911" ht="10.95" customHeight="true" customFormat="true" s="9">
      <c r="A1911" s="16">
        <v>45376</v>
      </c>
      <c r="B1911" s="17" t="s">
        <v>424</v>
      </c>
      <c r="C1911" s="17" t="s">
        <v>425</v>
      </c>
      <c r="D1911" s="17" t="s">
        <v>19</v>
      </c>
      <c r="E1911" s="17" t="s">
        <v>428</v>
      </c>
      <c r="F1911" s="17"/>
      <c r="G1911" s="18">
        <v>5797.1500</v>
      </c>
      <c r="H1911" s="18">
        <v>0</v>
      </c>
      <c r="I1911" s="18">
        <f ca="1">((I1910 + G1911) - H1911)</f>
        <v>0</v>
      </c>
      <c r="J1911" s="18">
        <v>0</v>
      </c>
      <c r="K1911" s="19">
        <v>0</v>
      </c>
      <c r="L1911" s="17"/>
    </row>
    <row r="1912" ht="10.95" customHeight="true" customFormat="true" s="9">
      <c r="A1912" s="16">
        <v>45377</v>
      </c>
      <c r="B1912" s="17" t="s">
        <v>424</v>
      </c>
      <c r="C1912" s="17" t="s">
        <v>425</v>
      </c>
      <c r="D1912" s="17" t="s">
        <v>22</v>
      </c>
      <c r="E1912" s="17" t="s">
        <v>430</v>
      </c>
      <c r="F1912" s="17"/>
      <c r="G1912" s="18">
        <v>0</v>
      </c>
      <c r="H1912" s="18">
        <v>1846.1100</v>
      </c>
      <c r="I1912" s="18">
        <f ca="1">((I1911 + G1912) - H1912)</f>
        <v>0</v>
      </c>
      <c r="J1912" s="18">
        <v>0</v>
      </c>
      <c r="K1912" s="19">
        <v>0</v>
      </c>
      <c r="L1912" s="17"/>
    </row>
    <row r="1913" ht="10.95" customHeight="true" customFormat="true" s="9">
      <c r="A1913" s="16">
        <v>45378</v>
      </c>
      <c r="B1913" s="17" t="s">
        <v>424</v>
      </c>
      <c r="C1913" s="17" t="s">
        <v>425</v>
      </c>
      <c r="D1913" s="17" t="s">
        <v>19</v>
      </c>
      <c r="E1913" s="17" t="s">
        <v>428</v>
      </c>
      <c r="F1913" s="17"/>
      <c r="G1913" s="18">
        <v>2663.2500</v>
      </c>
      <c r="H1913" s="18">
        <v>0</v>
      </c>
      <c r="I1913" s="18">
        <f ca="1">((I1912 + G1913) - H1913)</f>
        <v>0</v>
      </c>
      <c r="J1913" s="18">
        <v>0</v>
      </c>
      <c r="K1913" s="19">
        <v>0</v>
      </c>
      <c r="L1913" s="17"/>
    </row>
    <row r="1914" ht="10.95" customHeight="true" customFormat="true" s="9">
      <c r="A1914" s="16">
        <v>45379</v>
      </c>
      <c r="B1914" s="17" t="s">
        <v>424</v>
      </c>
      <c r="C1914" s="17" t="s">
        <v>425</v>
      </c>
      <c r="D1914" s="17" t="s">
        <v>19</v>
      </c>
      <c r="E1914" s="17" t="s">
        <v>428</v>
      </c>
      <c r="F1914" s="17"/>
      <c r="G1914" s="18">
        <v>2319.0500</v>
      </c>
      <c r="H1914" s="18">
        <v>0</v>
      </c>
      <c r="I1914" s="18">
        <f ca="1">((I1913 + G1914) - H1914)</f>
        <v>0</v>
      </c>
      <c r="J1914" s="18">
        <v>0</v>
      </c>
      <c r="K1914" s="19">
        <v>0</v>
      </c>
      <c r="L1914" s="17"/>
    </row>
    <row r="1915" ht="10.95" customHeight="true" customFormat="true" s="9">
      <c r="A1915" s="16">
        <v>45379</v>
      </c>
      <c r="B1915" s="17" t="s">
        <v>424</v>
      </c>
      <c r="C1915" s="17" t="s">
        <v>425</v>
      </c>
      <c r="D1915" s="17" t="s">
        <v>22</v>
      </c>
      <c r="E1915" s="17" t="s">
        <v>447</v>
      </c>
      <c r="F1915" s="17"/>
      <c r="G1915" s="18">
        <v>0</v>
      </c>
      <c r="H1915" s="18">
        <v>10.0000</v>
      </c>
      <c r="I1915" s="18">
        <f ca="1">((I1914 + G1915) - H1915)</f>
        <v>0</v>
      </c>
      <c r="J1915" s="18">
        <v>0</v>
      </c>
      <c r="K1915" s="19">
        <v>0</v>
      </c>
      <c r="L1915" s="17"/>
    </row>
    <row r="1916" ht="10.95" customHeight="true" customFormat="true" s="9">
      <c r="A1916" s="16">
        <v>45379</v>
      </c>
      <c r="B1916" s="17" t="s">
        <v>424</v>
      </c>
      <c r="C1916" s="17" t="s">
        <v>425</v>
      </c>
      <c r="D1916" s="17" t="s">
        <v>22</v>
      </c>
      <c r="E1916" s="17" t="s">
        <v>430</v>
      </c>
      <c r="F1916" s="17"/>
      <c r="G1916" s="18">
        <v>0</v>
      </c>
      <c r="H1916" s="18">
        <v>2747.2400</v>
      </c>
      <c r="I1916" s="18">
        <f ca="1">((I1915 + G1916) - H1916)</f>
        <v>0</v>
      </c>
      <c r="J1916" s="18">
        <v>0</v>
      </c>
      <c r="K1916" s="19">
        <v>0</v>
      </c>
      <c r="L1916" s="17"/>
    </row>
    <row r="1917" ht="10.95" customHeight="true" customFormat="true" s="9">
      <c r="A1917" s="16">
        <v>45379</v>
      </c>
      <c r="B1917" s="17" t="s">
        <v>424</v>
      </c>
      <c r="C1917" s="17" t="s">
        <v>425</v>
      </c>
      <c r="D1917" s="17" t="s">
        <v>22</v>
      </c>
      <c r="E1917" s="17" t="s">
        <v>430</v>
      </c>
      <c r="F1917" s="17"/>
      <c r="G1917" s="18">
        <v>0</v>
      </c>
      <c r="H1917" s="18">
        <v>395.0000</v>
      </c>
      <c r="I1917" s="18">
        <f ca="1">((I1916 + G1917) - H1917)</f>
        <v>0</v>
      </c>
      <c r="J1917" s="18">
        <v>0</v>
      </c>
      <c r="K1917" s="19">
        <v>0</v>
      </c>
      <c r="L1917" s="17"/>
    </row>
    <row r="1918" ht="10.95" customHeight="true" customFormat="true" s="9">
      <c r="A1918" s="16">
        <v>45384</v>
      </c>
      <c r="B1918" s="17" t="s">
        <v>424</v>
      </c>
      <c r="C1918" s="17" t="s">
        <v>425</v>
      </c>
      <c r="D1918" s="17" t="s">
        <v>22</v>
      </c>
      <c r="E1918" s="17" t="s">
        <v>426</v>
      </c>
      <c r="F1918" s="17" t="s">
        <v>518</v>
      </c>
      <c r="G1918" s="18">
        <v>0</v>
      </c>
      <c r="H1918" s="18">
        <v>886.1300</v>
      </c>
      <c r="I1918" s="18">
        <f ca="1">((I1917 + G1918) - H1918)</f>
        <v>0</v>
      </c>
      <c r="J1918" s="18">
        <v>0</v>
      </c>
      <c r="K1918" s="19">
        <v>0</v>
      </c>
      <c r="L1918" s="17"/>
    </row>
    <row r="1919" ht="10.95" customHeight="true" customFormat="true" s="9">
      <c r="A1919" s="16">
        <v>45384</v>
      </c>
      <c r="B1919" s="17" t="s">
        <v>424</v>
      </c>
      <c r="C1919" s="17" t="s">
        <v>425</v>
      </c>
      <c r="D1919" s="17" t="s">
        <v>22</v>
      </c>
      <c r="E1919" s="17" t="s">
        <v>426</v>
      </c>
      <c r="F1919" s="17" t="s">
        <v>518</v>
      </c>
      <c r="G1919" s="18">
        <v>0</v>
      </c>
      <c r="H1919" s="18">
        <v>986.4300</v>
      </c>
      <c r="I1919" s="18">
        <f ca="1">((I1918 + G1919) - H1919)</f>
        <v>0</v>
      </c>
      <c r="J1919" s="18">
        <v>0</v>
      </c>
      <c r="K1919" s="19">
        <v>0</v>
      </c>
      <c r="L1919" s="17"/>
    </row>
    <row r="1920" ht="10.95" customHeight="true" customFormat="true" s="9">
      <c r="A1920" s="16">
        <v>45384</v>
      </c>
      <c r="B1920" s="17" t="s">
        <v>424</v>
      </c>
      <c r="C1920" s="17" t="s">
        <v>425</v>
      </c>
      <c r="D1920" s="17" t="s">
        <v>22</v>
      </c>
      <c r="E1920" s="17" t="s">
        <v>426</v>
      </c>
      <c r="F1920" s="17" t="s">
        <v>518</v>
      </c>
      <c r="G1920" s="18">
        <v>0</v>
      </c>
      <c r="H1920" s="18">
        <v>1342.9000</v>
      </c>
      <c r="I1920" s="18">
        <f ca="1">((I1919 + G1920) - H1920)</f>
        <v>0</v>
      </c>
      <c r="J1920" s="18">
        <v>0</v>
      </c>
      <c r="K1920" s="19">
        <v>0</v>
      </c>
      <c r="L1920" s="17"/>
    </row>
    <row r="1921" ht="10.95" customHeight="true" customFormat="true" s="9">
      <c r="A1921" s="16">
        <v>45384</v>
      </c>
      <c r="B1921" s="17" t="s">
        <v>424</v>
      </c>
      <c r="C1921" s="17" t="s">
        <v>425</v>
      </c>
      <c r="D1921" s="17" t="s">
        <v>22</v>
      </c>
      <c r="E1921" s="17" t="s">
        <v>426</v>
      </c>
      <c r="F1921" s="17" t="s">
        <v>518</v>
      </c>
      <c r="G1921" s="18">
        <v>0</v>
      </c>
      <c r="H1921" s="18">
        <v>216.0000</v>
      </c>
      <c r="I1921" s="18">
        <f ca="1">((I1920 + G1921) - H1921)</f>
        <v>0</v>
      </c>
      <c r="J1921" s="18">
        <v>0</v>
      </c>
      <c r="K1921" s="19">
        <v>0</v>
      </c>
      <c r="L1921" s="17"/>
    </row>
    <row r="1922" ht="10.95" customHeight="true" customFormat="true" s="9">
      <c r="A1922" s="16">
        <v>45384</v>
      </c>
      <c r="B1922" s="17" t="s">
        <v>424</v>
      </c>
      <c r="C1922" s="17" t="s">
        <v>425</v>
      </c>
      <c r="D1922" s="17" t="s">
        <v>22</v>
      </c>
      <c r="E1922" s="17" t="s">
        <v>426</v>
      </c>
      <c r="F1922" s="17" t="s">
        <v>518</v>
      </c>
      <c r="G1922" s="18">
        <v>0</v>
      </c>
      <c r="H1922" s="18">
        <v>261.0000</v>
      </c>
      <c r="I1922" s="18">
        <f ca="1">((I1921 + G1922) - H1922)</f>
        <v>0</v>
      </c>
      <c r="J1922" s="18">
        <v>0</v>
      </c>
      <c r="K1922" s="19">
        <v>0</v>
      </c>
      <c r="L1922" s="17"/>
    </row>
    <row r="1923" ht="10.95" customHeight="true" customFormat="true" s="9">
      <c r="A1923" s="16">
        <v>45384</v>
      </c>
      <c r="B1923" s="17" t="s">
        <v>424</v>
      </c>
      <c r="C1923" s="17" t="s">
        <v>425</v>
      </c>
      <c r="D1923" s="17" t="s">
        <v>19</v>
      </c>
      <c r="E1923" s="17" t="s">
        <v>428</v>
      </c>
      <c r="F1923" s="17"/>
      <c r="G1923" s="18">
        <v>4910.6000</v>
      </c>
      <c r="H1923" s="18">
        <v>0</v>
      </c>
      <c r="I1923" s="18">
        <f ca="1">((I1922 + G1923) - H1923)</f>
        <v>0</v>
      </c>
      <c r="J1923" s="18">
        <v>0</v>
      </c>
      <c r="K1923" s="19">
        <v>0</v>
      </c>
      <c r="L1923" s="17"/>
    </row>
    <row r="1924" ht="10.95" customHeight="true" customFormat="true" s="9">
      <c r="A1924" s="16">
        <v>45384</v>
      </c>
      <c r="B1924" s="17" t="s">
        <v>424</v>
      </c>
      <c r="C1924" s="17" t="s">
        <v>425</v>
      </c>
      <c r="D1924" s="17" t="s">
        <v>22</v>
      </c>
      <c r="E1924" s="17" t="s">
        <v>426</v>
      </c>
      <c r="F1924" s="17" t="s">
        <v>518</v>
      </c>
      <c r="G1924" s="18">
        <v>0</v>
      </c>
      <c r="H1924" s="18">
        <v>2000.0000</v>
      </c>
      <c r="I1924" s="18">
        <f ca="1">((I1923 + G1924) - H1924)</f>
        <v>0</v>
      </c>
      <c r="J1924" s="18">
        <v>0</v>
      </c>
      <c r="K1924" s="19">
        <v>0</v>
      </c>
      <c r="L1924" s="17"/>
    </row>
    <row r="1925" ht="10.95" customHeight="true" customFormat="true" s="9">
      <c r="A1925" s="16">
        <v>45384</v>
      </c>
      <c r="B1925" s="17" t="s">
        <v>424</v>
      </c>
      <c r="C1925" s="17" t="s">
        <v>425</v>
      </c>
      <c r="D1925" s="17" t="s">
        <v>19</v>
      </c>
      <c r="E1925" s="17" t="s">
        <v>428</v>
      </c>
      <c r="F1925" s="17"/>
      <c r="G1925" s="18">
        <v>5539.4500</v>
      </c>
      <c r="H1925" s="18">
        <v>0</v>
      </c>
      <c r="I1925" s="18">
        <f ca="1">((I1924 + G1925) - H1925)</f>
        <v>0</v>
      </c>
      <c r="J1925" s="18">
        <v>0</v>
      </c>
      <c r="K1925" s="19">
        <v>0</v>
      </c>
      <c r="L1925" s="17"/>
    </row>
    <row r="1926" ht="10.95" customHeight="true" customFormat="true" s="9">
      <c r="A1926" s="16">
        <v>45384</v>
      </c>
      <c r="B1926" s="17" t="s">
        <v>424</v>
      </c>
      <c r="C1926" s="17" t="s">
        <v>425</v>
      </c>
      <c r="D1926" s="17" t="s">
        <v>19</v>
      </c>
      <c r="E1926" s="17" t="s">
        <v>428</v>
      </c>
      <c r="F1926" s="17"/>
      <c r="G1926" s="18">
        <v>3116.6000</v>
      </c>
      <c r="H1926" s="18">
        <v>0</v>
      </c>
      <c r="I1926" s="18">
        <f ca="1">((I1925 + G1926) - H1926)</f>
        <v>0</v>
      </c>
      <c r="J1926" s="18">
        <v>0</v>
      </c>
      <c r="K1926" s="19">
        <v>0</v>
      </c>
      <c r="L1926" s="17"/>
    </row>
    <row r="1927" ht="10.95" customHeight="true" customFormat="true" s="9">
      <c r="A1927" s="16">
        <v>45384</v>
      </c>
      <c r="B1927" s="17" t="s">
        <v>424</v>
      </c>
      <c r="C1927" s="17" t="s">
        <v>425</v>
      </c>
      <c r="D1927" s="17" t="s">
        <v>22</v>
      </c>
      <c r="E1927" s="17" t="s">
        <v>34</v>
      </c>
      <c r="F1927" s="17"/>
      <c r="G1927" s="18">
        <v>0</v>
      </c>
      <c r="H1927" s="18">
        <v>3285.0000</v>
      </c>
      <c r="I1927" s="18">
        <f ca="1">((I1926 + G1927) - H1927)</f>
        <v>0</v>
      </c>
      <c r="J1927" s="18">
        <v>0</v>
      </c>
      <c r="K1927" s="19">
        <v>0</v>
      </c>
      <c r="L1927" s="17"/>
    </row>
    <row r="1928" ht="10.95" customHeight="true" customFormat="true" s="9">
      <c r="A1928" s="16">
        <v>45384</v>
      </c>
      <c r="B1928" s="17" t="s">
        <v>424</v>
      </c>
      <c r="C1928" s="17" t="s">
        <v>425</v>
      </c>
      <c r="D1928" s="17" t="s">
        <v>22</v>
      </c>
      <c r="E1928" s="17" t="s">
        <v>429</v>
      </c>
      <c r="F1928" s="17"/>
      <c r="G1928" s="18">
        <v>0</v>
      </c>
      <c r="H1928" s="18">
        <v>3396.2500</v>
      </c>
      <c r="I1928" s="18">
        <f ca="1">((I1927 + G1928) - H1928)</f>
        <v>0</v>
      </c>
      <c r="J1928" s="18">
        <v>0</v>
      </c>
      <c r="K1928" s="19">
        <v>0</v>
      </c>
      <c r="L1928" s="17"/>
    </row>
    <row r="1929" ht="10.95" customHeight="true" customFormat="true" s="9">
      <c r="A1929" s="16">
        <v>45384</v>
      </c>
      <c r="B1929" s="17" t="s">
        <v>424</v>
      </c>
      <c r="C1929" s="17" t="s">
        <v>425</v>
      </c>
      <c r="D1929" s="17" t="s">
        <v>19</v>
      </c>
      <c r="E1929" s="17" t="s">
        <v>428</v>
      </c>
      <c r="F1929" s="17"/>
      <c r="G1929" s="18">
        <v>4839.5500</v>
      </c>
      <c r="H1929" s="18">
        <v>0</v>
      </c>
      <c r="I1929" s="18">
        <f ca="1">((I1928 + G1929) - H1929)</f>
        <v>0</v>
      </c>
      <c r="J1929" s="18">
        <v>0</v>
      </c>
      <c r="K1929" s="19">
        <v>0</v>
      </c>
      <c r="L1929" s="17"/>
    </row>
    <row r="1930" ht="10.95" customHeight="true" customFormat="true" s="9">
      <c r="A1930" s="16">
        <v>45384</v>
      </c>
      <c r="B1930" s="17" t="s">
        <v>424</v>
      </c>
      <c r="C1930" s="17" t="s">
        <v>425</v>
      </c>
      <c r="D1930" s="17" t="s">
        <v>19</v>
      </c>
      <c r="E1930" s="17" t="s">
        <v>428</v>
      </c>
      <c r="F1930" s="17"/>
      <c r="G1930" s="18">
        <v>11.2000</v>
      </c>
      <c r="H1930" s="18">
        <v>0</v>
      </c>
      <c r="I1930" s="18">
        <f ca="1">((I1929 + G1930) - H1930)</f>
        <v>0</v>
      </c>
      <c r="J1930" s="18">
        <v>0</v>
      </c>
      <c r="K1930" s="19">
        <v>0</v>
      </c>
      <c r="L1930" s="17"/>
    </row>
    <row r="1931" ht="10.95" customHeight="true" customFormat="true" s="9">
      <c r="A1931" s="16">
        <v>45384</v>
      </c>
      <c r="B1931" s="17" t="s">
        <v>424</v>
      </c>
      <c r="C1931" s="17" t="s">
        <v>425</v>
      </c>
      <c r="D1931" s="17" t="s">
        <v>22</v>
      </c>
      <c r="E1931" s="17" t="s">
        <v>431</v>
      </c>
      <c r="F1931" s="17"/>
      <c r="G1931" s="18">
        <v>0</v>
      </c>
      <c r="H1931" s="18">
        <v>65.0000</v>
      </c>
      <c r="I1931" s="18">
        <f ca="1">((I1930 + G1931) - H1931)</f>
        <v>0</v>
      </c>
      <c r="J1931" s="18">
        <v>0</v>
      </c>
      <c r="K1931" s="19">
        <v>0</v>
      </c>
      <c r="L1931" s="17"/>
    </row>
    <row r="1932" ht="10.95" customHeight="true" customFormat="true" s="9">
      <c r="A1932" s="16">
        <v>45384</v>
      </c>
      <c r="B1932" s="17" t="s">
        <v>424</v>
      </c>
      <c r="C1932" s="17" t="s">
        <v>425</v>
      </c>
      <c r="D1932" s="17" t="s">
        <v>22</v>
      </c>
      <c r="E1932" s="17" t="s">
        <v>445</v>
      </c>
      <c r="F1932" s="17"/>
      <c r="G1932" s="18">
        <v>0</v>
      </c>
      <c r="H1932" s="18">
        <v>405.5000</v>
      </c>
      <c r="I1932" s="18">
        <f ca="1">((I1931 + G1932) - H1932)</f>
        <v>0</v>
      </c>
      <c r="J1932" s="18">
        <v>0</v>
      </c>
      <c r="K1932" s="19">
        <v>0</v>
      </c>
      <c r="L1932" s="17"/>
    </row>
    <row r="1933" ht="10.95" customHeight="true" customFormat="true" s="9">
      <c r="A1933" s="16">
        <v>45384</v>
      </c>
      <c r="B1933" s="17" t="s">
        <v>424</v>
      </c>
      <c r="C1933" s="17" t="s">
        <v>425</v>
      </c>
      <c r="D1933" s="17" t="s">
        <v>22</v>
      </c>
      <c r="E1933" s="17" t="s">
        <v>430</v>
      </c>
      <c r="F1933" s="17"/>
      <c r="G1933" s="18">
        <v>0</v>
      </c>
      <c r="H1933" s="18">
        <v>1343.3200</v>
      </c>
      <c r="I1933" s="18">
        <f ca="1">((I1932 + G1933) - H1933)</f>
        <v>0</v>
      </c>
      <c r="J1933" s="18">
        <v>0</v>
      </c>
      <c r="K1933" s="19">
        <v>0</v>
      </c>
      <c r="L1933" s="17"/>
    </row>
    <row r="1934" ht="10.95" customHeight="true" customFormat="true" s="9">
      <c r="A1934" s="16">
        <v>45385</v>
      </c>
      <c r="B1934" s="17" t="s">
        <v>424</v>
      </c>
      <c r="C1934" s="17" t="s">
        <v>425</v>
      </c>
      <c r="D1934" s="17" t="s">
        <v>19</v>
      </c>
      <c r="E1934" s="17" t="s">
        <v>428</v>
      </c>
      <c r="F1934" s="17"/>
      <c r="G1934" s="18">
        <v>2249.5000</v>
      </c>
      <c r="H1934" s="18">
        <v>0</v>
      </c>
      <c r="I1934" s="18">
        <f ca="1">((I1933 + G1934) - H1934)</f>
        <v>0</v>
      </c>
      <c r="J1934" s="18">
        <v>0</v>
      </c>
      <c r="K1934" s="19">
        <v>0</v>
      </c>
      <c r="L1934" s="17"/>
    </row>
    <row r="1935" ht="10.95" customHeight="true" customFormat="true" s="9">
      <c r="A1935" s="16">
        <v>45385</v>
      </c>
      <c r="B1935" s="17" t="s">
        <v>424</v>
      </c>
      <c r="C1935" s="17" t="s">
        <v>425</v>
      </c>
      <c r="D1935" s="17" t="s">
        <v>22</v>
      </c>
      <c r="E1935" s="17" t="s">
        <v>433</v>
      </c>
      <c r="F1935" s="17"/>
      <c r="G1935" s="18">
        <v>0</v>
      </c>
      <c r="H1935" s="18">
        <v>648.1300</v>
      </c>
      <c r="I1935" s="18">
        <f ca="1">((I1934 + G1935) - H1935)</f>
        <v>0</v>
      </c>
      <c r="J1935" s="18">
        <v>0</v>
      </c>
      <c r="K1935" s="19">
        <v>0</v>
      </c>
      <c r="L1935" s="17"/>
    </row>
    <row r="1936" ht="10.95" customHeight="true" customFormat="true" s="9">
      <c r="A1936" s="16">
        <v>45386</v>
      </c>
      <c r="B1936" s="17" t="s">
        <v>424</v>
      </c>
      <c r="C1936" s="17" t="s">
        <v>425</v>
      </c>
      <c r="D1936" s="17" t="s">
        <v>19</v>
      </c>
      <c r="E1936" s="17" t="s">
        <v>24</v>
      </c>
      <c r="F1936" s="17"/>
      <c r="G1936" s="18">
        <v>150.0000</v>
      </c>
      <c r="H1936" s="18">
        <v>0</v>
      </c>
      <c r="I1936" s="18">
        <f ca="1">((I1935 + G1936) - H1936)</f>
        <v>0</v>
      </c>
      <c r="J1936" s="18">
        <v>0</v>
      </c>
      <c r="K1936" s="19">
        <v>0</v>
      </c>
      <c r="L1936" s="17"/>
    </row>
    <row r="1937" ht="10.95" customHeight="true" customFormat="true" s="9">
      <c r="A1937" s="16">
        <v>45386</v>
      </c>
      <c r="B1937" s="17" t="s">
        <v>424</v>
      </c>
      <c r="C1937" s="17" t="s">
        <v>425</v>
      </c>
      <c r="D1937" s="17" t="s">
        <v>19</v>
      </c>
      <c r="E1937" s="17" t="s">
        <v>428</v>
      </c>
      <c r="F1937" s="17"/>
      <c r="G1937" s="18">
        <v>2340.3500</v>
      </c>
      <c r="H1937" s="18">
        <v>0</v>
      </c>
      <c r="I1937" s="18">
        <f ca="1">((I1936 + G1937) - H1937)</f>
        <v>0</v>
      </c>
      <c r="J1937" s="18">
        <v>0</v>
      </c>
      <c r="K1937" s="19">
        <v>0</v>
      </c>
      <c r="L1937" s="17"/>
    </row>
    <row r="1938" ht="10.95" customHeight="true" customFormat="true" s="9">
      <c r="A1938" s="16">
        <v>45387</v>
      </c>
      <c r="B1938" s="17" t="s">
        <v>424</v>
      </c>
      <c r="C1938" s="17" t="s">
        <v>425</v>
      </c>
      <c r="D1938" s="17" t="s">
        <v>22</v>
      </c>
      <c r="E1938" s="17" t="s">
        <v>430</v>
      </c>
      <c r="F1938" s="17"/>
      <c r="G1938" s="18">
        <v>0</v>
      </c>
      <c r="H1938" s="18">
        <v>1567.7000</v>
      </c>
      <c r="I1938" s="18">
        <f ca="1">((I1937 + G1938) - H1938)</f>
        <v>0</v>
      </c>
      <c r="J1938" s="18">
        <v>0</v>
      </c>
      <c r="K1938" s="19">
        <v>0</v>
      </c>
      <c r="L1938" s="17"/>
    </row>
    <row r="1939" ht="10.95" customHeight="true" customFormat="true" s="9">
      <c r="A1939" s="16">
        <v>45387</v>
      </c>
      <c r="B1939" s="17" t="s">
        <v>424</v>
      </c>
      <c r="C1939" s="17" t="s">
        <v>425</v>
      </c>
      <c r="D1939" s="17" t="s">
        <v>22</v>
      </c>
      <c r="E1939" s="17" t="s">
        <v>430</v>
      </c>
      <c r="F1939" s="17"/>
      <c r="G1939" s="18">
        <v>0</v>
      </c>
      <c r="H1939" s="18">
        <v>114.3500</v>
      </c>
      <c r="I1939" s="18">
        <f ca="1">((I1938 + G1939) - H1939)</f>
        <v>0</v>
      </c>
      <c r="J1939" s="18">
        <v>0</v>
      </c>
      <c r="K1939" s="19">
        <v>0</v>
      </c>
      <c r="L1939" s="17"/>
    </row>
    <row r="1940" ht="10.95" customHeight="true" customFormat="true" s="9">
      <c r="A1940" s="16">
        <v>45387</v>
      </c>
      <c r="B1940" s="17" t="s">
        <v>424</v>
      </c>
      <c r="C1940" s="17" t="s">
        <v>425</v>
      </c>
      <c r="D1940" s="17" t="s">
        <v>19</v>
      </c>
      <c r="E1940" s="17" t="s">
        <v>428</v>
      </c>
      <c r="F1940" s="17"/>
      <c r="G1940" s="18">
        <v>2490.2000</v>
      </c>
      <c r="H1940" s="18">
        <v>0</v>
      </c>
      <c r="I1940" s="18">
        <f ca="1">((I1939 + G1940) - H1940)</f>
        <v>0</v>
      </c>
      <c r="J1940" s="18">
        <v>0</v>
      </c>
      <c r="K1940" s="19">
        <v>0</v>
      </c>
      <c r="L1940" s="17"/>
    </row>
    <row r="1941" ht="10.95" customHeight="true" customFormat="true" s="9">
      <c r="A1941" s="16">
        <v>45390</v>
      </c>
      <c r="B1941" s="17" t="s">
        <v>424</v>
      </c>
      <c r="C1941" s="17" t="s">
        <v>425</v>
      </c>
      <c r="D1941" s="17" t="s">
        <v>22</v>
      </c>
      <c r="E1941" s="17" t="s">
        <v>426</v>
      </c>
      <c r="F1941" s="17" t="s">
        <v>519</v>
      </c>
      <c r="G1941" s="18">
        <v>0</v>
      </c>
      <c r="H1941" s="18">
        <v>1342.9000</v>
      </c>
      <c r="I1941" s="18">
        <f ca="1">((I1940 + G1941) - H1941)</f>
        <v>0</v>
      </c>
      <c r="J1941" s="18">
        <v>0</v>
      </c>
      <c r="K1941" s="19">
        <v>0</v>
      </c>
      <c r="L1941" s="17"/>
    </row>
    <row r="1942" ht="10.95" customHeight="true" customFormat="true" s="9">
      <c r="A1942" s="16">
        <v>45390</v>
      </c>
      <c r="B1942" s="17" t="s">
        <v>424</v>
      </c>
      <c r="C1942" s="17" t="s">
        <v>425</v>
      </c>
      <c r="D1942" s="17" t="s">
        <v>22</v>
      </c>
      <c r="E1942" s="17" t="s">
        <v>426</v>
      </c>
      <c r="F1942" s="17" t="s">
        <v>519</v>
      </c>
      <c r="G1942" s="18">
        <v>0</v>
      </c>
      <c r="H1942" s="18">
        <v>63.6500</v>
      </c>
      <c r="I1942" s="18">
        <f ca="1">((I1941 + G1942) - H1942)</f>
        <v>0</v>
      </c>
      <c r="J1942" s="18">
        <v>0</v>
      </c>
      <c r="K1942" s="19">
        <v>0</v>
      </c>
      <c r="L1942" s="17"/>
    </row>
    <row r="1943" ht="10.95" customHeight="true" customFormat="true" s="9">
      <c r="A1943" s="16">
        <v>45390</v>
      </c>
      <c r="B1943" s="17" t="s">
        <v>424</v>
      </c>
      <c r="C1943" s="17" t="s">
        <v>425</v>
      </c>
      <c r="D1943" s="17" t="s">
        <v>22</v>
      </c>
      <c r="E1943" s="17" t="s">
        <v>34</v>
      </c>
      <c r="F1943" s="17"/>
      <c r="G1943" s="18">
        <v>0</v>
      </c>
      <c r="H1943" s="18">
        <v>2255.0000</v>
      </c>
      <c r="I1943" s="18">
        <f ca="1">((I1942 + G1943) - H1943)</f>
        <v>0</v>
      </c>
      <c r="J1943" s="18">
        <v>0</v>
      </c>
      <c r="K1943" s="19">
        <v>0</v>
      </c>
      <c r="L1943" s="17"/>
    </row>
    <row r="1944" ht="10.95" customHeight="true" customFormat="true" s="9">
      <c r="A1944" s="16">
        <v>45390</v>
      </c>
      <c r="B1944" s="17" t="s">
        <v>424</v>
      </c>
      <c r="C1944" s="17" t="s">
        <v>425</v>
      </c>
      <c r="D1944" s="17" t="s">
        <v>22</v>
      </c>
      <c r="E1944" s="17" t="s">
        <v>426</v>
      </c>
      <c r="F1944" s="17" t="s">
        <v>519</v>
      </c>
      <c r="G1944" s="18">
        <v>0</v>
      </c>
      <c r="H1944" s="18">
        <v>605.6300</v>
      </c>
      <c r="I1944" s="18">
        <f ca="1">((I1943 + G1944) - H1944)</f>
        <v>0</v>
      </c>
      <c r="J1944" s="18">
        <v>0</v>
      </c>
      <c r="K1944" s="19">
        <v>0</v>
      </c>
      <c r="L1944" s="17"/>
    </row>
    <row r="1945" ht="10.95" customHeight="true" customFormat="true" s="9">
      <c r="A1945" s="16">
        <v>45390</v>
      </c>
      <c r="B1945" s="17" t="s">
        <v>424</v>
      </c>
      <c r="C1945" s="17" t="s">
        <v>425</v>
      </c>
      <c r="D1945" s="17" t="s">
        <v>22</v>
      </c>
      <c r="E1945" s="17" t="s">
        <v>426</v>
      </c>
      <c r="F1945" s="17" t="s">
        <v>519</v>
      </c>
      <c r="G1945" s="18">
        <v>0</v>
      </c>
      <c r="H1945" s="18">
        <v>2000.0000</v>
      </c>
      <c r="I1945" s="18">
        <f ca="1">((I1944 + G1945) - H1945)</f>
        <v>0</v>
      </c>
      <c r="J1945" s="18">
        <v>0</v>
      </c>
      <c r="K1945" s="19">
        <v>0</v>
      </c>
      <c r="L1945" s="17"/>
    </row>
    <row r="1946" ht="10.95" customHeight="true" customFormat="true" s="9">
      <c r="A1946" s="16">
        <v>45390</v>
      </c>
      <c r="B1946" s="17" t="s">
        <v>424</v>
      </c>
      <c r="C1946" s="17" t="s">
        <v>425</v>
      </c>
      <c r="D1946" s="17" t="s">
        <v>19</v>
      </c>
      <c r="E1946" s="17" t="s">
        <v>428</v>
      </c>
      <c r="F1946" s="17"/>
      <c r="G1946" s="18">
        <v>5560.8500</v>
      </c>
      <c r="H1946" s="18">
        <v>0</v>
      </c>
      <c r="I1946" s="18">
        <f ca="1">((I1945 + G1946) - H1946)</f>
        <v>0</v>
      </c>
      <c r="J1946" s="18">
        <v>0</v>
      </c>
      <c r="K1946" s="19">
        <v>0</v>
      </c>
      <c r="L1946" s="17"/>
    </row>
    <row r="1947" ht="10.95" customHeight="true" customFormat="true" s="9">
      <c r="A1947" s="16">
        <v>45390</v>
      </c>
      <c r="B1947" s="17" t="s">
        <v>424</v>
      </c>
      <c r="C1947" s="17" t="s">
        <v>425</v>
      </c>
      <c r="D1947" s="17" t="s">
        <v>19</v>
      </c>
      <c r="E1947" s="17" t="s">
        <v>24</v>
      </c>
      <c r="F1947" s="17"/>
      <c r="G1947" s="18">
        <v>280.0000</v>
      </c>
      <c r="H1947" s="18">
        <v>0</v>
      </c>
      <c r="I1947" s="18">
        <f ca="1">((I1946 + G1947) - H1947)</f>
        <v>0</v>
      </c>
      <c r="J1947" s="18">
        <v>0</v>
      </c>
      <c r="K1947" s="19">
        <v>0</v>
      </c>
      <c r="L1947" s="17"/>
    </row>
    <row r="1948" ht="10.95" customHeight="true" customFormat="true" s="9">
      <c r="A1948" s="16">
        <v>45390</v>
      </c>
      <c r="B1948" s="17" t="s">
        <v>424</v>
      </c>
      <c r="C1948" s="17" t="s">
        <v>425</v>
      </c>
      <c r="D1948" s="17" t="s">
        <v>22</v>
      </c>
      <c r="E1948" s="17" t="s">
        <v>426</v>
      </c>
      <c r="F1948" s="17" t="s">
        <v>519</v>
      </c>
      <c r="G1948" s="18">
        <v>0</v>
      </c>
      <c r="H1948" s="18">
        <v>582.6800</v>
      </c>
      <c r="I1948" s="18">
        <f ca="1">((I1947 + G1948) - H1948)</f>
        <v>0</v>
      </c>
      <c r="J1948" s="18">
        <v>0</v>
      </c>
      <c r="K1948" s="19">
        <v>0</v>
      </c>
      <c r="L1948" s="17"/>
    </row>
    <row r="1949" ht="10.95" customHeight="true" customFormat="true" s="9">
      <c r="A1949" s="16">
        <v>45390</v>
      </c>
      <c r="B1949" s="17" t="s">
        <v>424</v>
      </c>
      <c r="C1949" s="17" t="s">
        <v>425</v>
      </c>
      <c r="D1949" s="17" t="s">
        <v>22</v>
      </c>
      <c r="E1949" s="17" t="s">
        <v>426</v>
      </c>
      <c r="F1949" s="17" t="s">
        <v>519</v>
      </c>
      <c r="G1949" s="18">
        <v>0</v>
      </c>
      <c r="H1949" s="18">
        <v>30.0000</v>
      </c>
      <c r="I1949" s="18">
        <f ca="1">((I1948 + G1949) - H1949)</f>
        <v>0</v>
      </c>
      <c r="J1949" s="18">
        <v>0</v>
      </c>
      <c r="K1949" s="19">
        <v>0</v>
      </c>
      <c r="L1949" s="17"/>
    </row>
    <row r="1950" ht="10.95" customHeight="true" customFormat="true" s="9">
      <c r="A1950" s="16">
        <v>45390</v>
      </c>
      <c r="B1950" s="17" t="s">
        <v>424</v>
      </c>
      <c r="C1950" s="17" t="s">
        <v>425</v>
      </c>
      <c r="D1950" s="17" t="s">
        <v>19</v>
      </c>
      <c r="E1950" s="17" t="s">
        <v>428</v>
      </c>
      <c r="F1950" s="17"/>
      <c r="G1950" s="18">
        <v>5253.4500</v>
      </c>
      <c r="H1950" s="18">
        <v>0</v>
      </c>
      <c r="I1950" s="18">
        <f ca="1">((I1949 + G1950) - H1950)</f>
        <v>0</v>
      </c>
      <c r="J1950" s="18">
        <v>0</v>
      </c>
      <c r="K1950" s="19">
        <v>0</v>
      </c>
      <c r="L1950" s="17"/>
    </row>
    <row r="1951" ht="10.95" customHeight="true" customFormat="true" s="9">
      <c r="A1951" s="16">
        <v>45390</v>
      </c>
      <c r="B1951" s="17" t="s">
        <v>424</v>
      </c>
      <c r="C1951" s="17" t="s">
        <v>425</v>
      </c>
      <c r="D1951" s="17" t="s">
        <v>22</v>
      </c>
      <c r="E1951" s="17" t="s">
        <v>426</v>
      </c>
      <c r="F1951" s="17" t="s">
        <v>519</v>
      </c>
      <c r="G1951" s="18">
        <v>0</v>
      </c>
      <c r="H1951" s="18">
        <v>144.0000</v>
      </c>
      <c r="I1951" s="18">
        <f ca="1">((I1950 + G1951) - H1951)</f>
        <v>0</v>
      </c>
      <c r="J1951" s="18">
        <v>0</v>
      </c>
      <c r="K1951" s="19">
        <v>0</v>
      </c>
      <c r="L1951" s="17"/>
    </row>
    <row r="1952" ht="10.95" customHeight="true" customFormat="true" s="9">
      <c r="A1952" s="16">
        <v>45390</v>
      </c>
      <c r="B1952" s="17" t="s">
        <v>424</v>
      </c>
      <c r="C1952" s="17" t="s">
        <v>425</v>
      </c>
      <c r="D1952" s="17" t="s">
        <v>19</v>
      </c>
      <c r="E1952" s="17" t="s">
        <v>428</v>
      </c>
      <c r="F1952" s="17"/>
      <c r="G1952" s="18">
        <v>2807.0000</v>
      </c>
      <c r="H1952" s="18">
        <v>0</v>
      </c>
      <c r="I1952" s="18">
        <f ca="1">((I1951 + G1952) - H1952)</f>
        <v>0</v>
      </c>
      <c r="J1952" s="18">
        <v>0</v>
      </c>
      <c r="K1952" s="19">
        <v>0</v>
      </c>
      <c r="L1952" s="17"/>
    </row>
    <row r="1953" ht="10.95" customHeight="true" customFormat="true" s="9">
      <c r="A1953" s="16">
        <v>45391</v>
      </c>
      <c r="B1953" s="17" t="s">
        <v>424</v>
      </c>
      <c r="C1953" s="17" t="s">
        <v>425</v>
      </c>
      <c r="D1953" s="17" t="s">
        <v>22</v>
      </c>
      <c r="E1953" s="17" t="s">
        <v>431</v>
      </c>
      <c r="F1953" s="17"/>
      <c r="G1953" s="18">
        <v>0</v>
      </c>
      <c r="H1953" s="18">
        <v>65.0000</v>
      </c>
      <c r="I1953" s="18">
        <f ca="1">((I1952 + G1953) - H1953)</f>
        <v>0</v>
      </c>
      <c r="J1953" s="18">
        <v>0</v>
      </c>
      <c r="K1953" s="19">
        <v>0</v>
      </c>
      <c r="L1953" s="17"/>
    </row>
    <row r="1954" ht="10.95" customHeight="true" customFormat="true" s="9">
      <c r="A1954" s="16">
        <v>45392</v>
      </c>
      <c r="B1954" s="17" t="s">
        <v>424</v>
      </c>
      <c r="C1954" s="17" t="s">
        <v>425</v>
      </c>
      <c r="D1954" s="17" t="s">
        <v>19</v>
      </c>
      <c r="E1954" s="17" t="s">
        <v>428</v>
      </c>
      <c r="F1954" s="17"/>
      <c r="G1954" s="18">
        <v>2340.8500</v>
      </c>
      <c r="H1954" s="18">
        <v>0</v>
      </c>
      <c r="I1954" s="18">
        <f ca="1">((I1953 + G1954) - H1954)</f>
        <v>0</v>
      </c>
      <c r="J1954" s="18">
        <v>0</v>
      </c>
      <c r="K1954" s="19">
        <v>0</v>
      </c>
      <c r="L1954" s="17"/>
    </row>
    <row r="1955" ht="10.95" customHeight="true" customFormat="true" s="9">
      <c r="A1955" s="16">
        <v>45392</v>
      </c>
      <c r="B1955" s="17" t="s">
        <v>424</v>
      </c>
      <c r="C1955" s="17" t="s">
        <v>425</v>
      </c>
      <c r="D1955" s="17" t="s">
        <v>22</v>
      </c>
      <c r="E1955" s="17" t="s">
        <v>520</v>
      </c>
      <c r="F1955" s="17"/>
      <c r="G1955" s="18">
        <v>0</v>
      </c>
      <c r="H1955" s="18">
        <v>4877.2500</v>
      </c>
      <c r="I1955" s="18">
        <f ca="1">((I1954 + G1955) - H1955)</f>
        <v>0</v>
      </c>
      <c r="J1955" s="18">
        <v>0</v>
      </c>
      <c r="K1955" s="19">
        <v>0</v>
      </c>
      <c r="L1955" s="17"/>
    </row>
    <row r="1956" ht="10.95" customHeight="true" customFormat="true" s="9">
      <c r="A1956" s="16">
        <v>45392</v>
      </c>
      <c r="B1956" s="17" t="s">
        <v>424</v>
      </c>
      <c r="C1956" s="17" t="s">
        <v>425</v>
      </c>
      <c r="D1956" s="17" t="s">
        <v>22</v>
      </c>
      <c r="E1956" s="17" t="s">
        <v>430</v>
      </c>
      <c r="F1956" s="17"/>
      <c r="G1956" s="18">
        <v>0</v>
      </c>
      <c r="H1956" s="18">
        <v>1803.3600</v>
      </c>
      <c r="I1956" s="18">
        <f ca="1">((I1955 + G1956) - H1956)</f>
        <v>0</v>
      </c>
      <c r="J1956" s="18">
        <v>0</v>
      </c>
      <c r="K1956" s="19">
        <v>0</v>
      </c>
      <c r="L1956" s="17"/>
    </row>
    <row r="1957" ht="10.95" customHeight="true" customFormat="true" s="9">
      <c r="A1957" s="16">
        <v>45393</v>
      </c>
      <c r="B1957" s="17" t="s">
        <v>424</v>
      </c>
      <c r="C1957" s="17" t="s">
        <v>425</v>
      </c>
      <c r="D1957" s="17" t="s">
        <v>19</v>
      </c>
      <c r="E1957" s="17" t="s">
        <v>428</v>
      </c>
      <c r="F1957" s="17"/>
      <c r="G1957" s="18">
        <v>2630.4000</v>
      </c>
      <c r="H1957" s="18">
        <v>0</v>
      </c>
      <c r="I1957" s="18">
        <f ca="1">((I1956 + G1957) - H1957)</f>
        <v>0</v>
      </c>
      <c r="J1957" s="18">
        <v>0</v>
      </c>
      <c r="K1957" s="19">
        <v>0</v>
      </c>
      <c r="L1957" s="17"/>
    </row>
    <row r="1958" ht="10.95" customHeight="true" customFormat="true" s="9">
      <c r="A1958" s="16">
        <v>45394</v>
      </c>
      <c r="B1958" s="17" t="s">
        <v>424</v>
      </c>
      <c r="C1958" s="17" t="s">
        <v>425</v>
      </c>
      <c r="D1958" s="17" t="s">
        <v>22</v>
      </c>
      <c r="E1958" s="17" t="s">
        <v>433</v>
      </c>
      <c r="F1958" s="17"/>
      <c r="G1958" s="18">
        <v>0</v>
      </c>
      <c r="H1958" s="18">
        <v>922.6300</v>
      </c>
      <c r="I1958" s="18">
        <f ca="1">((I1957 + G1958) - H1958)</f>
        <v>0</v>
      </c>
      <c r="J1958" s="18">
        <v>0</v>
      </c>
      <c r="K1958" s="19">
        <v>0</v>
      </c>
      <c r="L1958" s="17"/>
    </row>
    <row r="1959" ht="10.95" customHeight="true" customFormat="true" s="9">
      <c r="A1959" s="16">
        <v>45394</v>
      </c>
      <c r="B1959" s="17" t="s">
        <v>424</v>
      </c>
      <c r="C1959" s="17" t="s">
        <v>425</v>
      </c>
      <c r="D1959" s="17" t="s">
        <v>22</v>
      </c>
      <c r="E1959" s="17" t="s">
        <v>466</v>
      </c>
      <c r="F1959" s="17"/>
      <c r="G1959" s="18">
        <v>0</v>
      </c>
      <c r="H1959" s="18">
        <v>6979.4700</v>
      </c>
      <c r="I1959" s="18">
        <f ca="1">((I1958 + G1959) - H1959)</f>
        <v>0</v>
      </c>
      <c r="J1959" s="18">
        <v>0</v>
      </c>
      <c r="K1959" s="19">
        <v>0</v>
      </c>
      <c r="L1959" s="17"/>
    </row>
    <row r="1960" ht="10.95" customHeight="true" customFormat="true" s="9">
      <c r="A1960" s="16">
        <v>45394</v>
      </c>
      <c r="B1960" s="17" t="s">
        <v>424</v>
      </c>
      <c r="C1960" s="17" t="s">
        <v>425</v>
      </c>
      <c r="D1960" s="17" t="s">
        <v>22</v>
      </c>
      <c r="E1960" s="17" t="s">
        <v>449</v>
      </c>
      <c r="F1960" s="17"/>
      <c r="G1960" s="18">
        <v>0</v>
      </c>
      <c r="H1960" s="18">
        <v>1017.6700</v>
      </c>
      <c r="I1960" s="18">
        <f ca="1">((I1959 + G1960) - H1960)</f>
        <v>0</v>
      </c>
      <c r="J1960" s="18">
        <v>0</v>
      </c>
      <c r="K1960" s="19">
        <v>0</v>
      </c>
      <c r="L1960" s="17"/>
    </row>
    <row r="1961" ht="10.95" customHeight="true" customFormat="true" s="9">
      <c r="A1961" s="16">
        <v>45394</v>
      </c>
      <c r="B1961" s="17" t="s">
        <v>424</v>
      </c>
      <c r="C1961" s="17" t="s">
        <v>425</v>
      </c>
      <c r="D1961" s="17" t="s">
        <v>22</v>
      </c>
      <c r="E1961" s="17" t="s">
        <v>430</v>
      </c>
      <c r="F1961" s="17"/>
      <c r="G1961" s="18">
        <v>0</v>
      </c>
      <c r="H1961" s="18">
        <v>1796.9000</v>
      </c>
      <c r="I1961" s="18">
        <f ca="1">((I1960 + G1961) - H1961)</f>
        <v>0</v>
      </c>
      <c r="J1961" s="18">
        <v>0</v>
      </c>
      <c r="K1961" s="19">
        <v>0</v>
      </c>
      <c r="L1961" s="17"/>
    </row>
    <row r="1962" ht="10.95" customHeight="true" customFormat="true" s="9">
      <c r="A1962" s="16">
        <v>45394</v>
      </c>
      <c r="B1962" s="17" t="s">
        <v>424</v>
      </c>
      <c r="C1962" s="17" t="s">
        <v>425</v>
      </c>
      <c r="D1962" s="17" t="s">
        <v>19</v>
      </c>
      <c r="E1962" s="17" t="s">
        <v>428</v>
      </c>
      <c r="F1962" s="17"/>
      <c r="G1962" s="18">
        <v>2924.1500</v>
      </c>
      <c r="H1962" s="18">
        <v>0</v>
      </c>
      <c r="I1962" s="18">
        <f ca="1">((I1961 + G1962) - H1962)</f>
        <v>0</v>
      </c>
      <c r="J1962" s="18">
        <v>0</v>
      </c>
      <c r="K1962" s="19">
        <v>0</v>
      </c>
      <c r="L1962" s="17"/>
    </row>
    <row r="1963" ht="10.95" customHeight="true" customFormat="true" s="9">
      <c r="A1963" s="16">
        <v>45394</v>
      </c>
      <c r="B1963" s="17" t="s">
        <v>424</v>
      </c>
      <c r="C1963" s="17" t="s">
        <v>425</v>
      </c>
      <c r="D1963" s="17" t="s">
        <v>22</v>
      </c>
      <c r="E1963" s="17" t="s">
        <v>66</v>
      </c>
      <c r="F1963" s="17"/>
      <c r="G1963" s="18">
        <v>0</v>
      </c>
      <c r="H1963" s="18">
        <v>12916.0000</v>
      </c>
      <c r="I1963" s="18">
        <f ca="1">((I1962 + G1963) - H1963)</f>
        <v>0</v>
      </c>
      <c r="J1963" s="18">
        <v>0</v>
      </c>
      <c r="K1963" s="19">
        <v>0</v>
      </c>
      <c r="L1963" s="17"/>
    </row>
    <row r="1964" ht="10.95" customHeight="true" customFormat="true" s="9">
      <c r="A1964" s="16">
        <v>45394</v>
      </c>
      <c r="B1964" s="17" t="s">
        <v>424</v>
      </c>
      <c r="C1964" s="17" t="s">
        <v>425</v>
      </c>
      <c r="D1964" s="17" t="s">
        <v>22</v>
      </c>
      <c r="E1964" s="17" t="s">
        <v>66</v>
      </c>
      <c r="F1964" s="17"/>
      <c r="G1964" s="18">
        <v>0</v>
      </c>
      <c r="H1964" s="18">
        <v>5973.0000</v>
      </c>
      <c r="I1964" s="18">
        <f ca="1">((I1963 + G1964) - H1964)</f>
        <v>0</v>
      </c>
      <c r="J1964" s="18">
        <v>0</v>
      </c>
      <c r="K1964" s="19">
        <v>0</v>
      </c>
      <c r="L1964" s="17"/>
    </row>
    <row r="1965" ht="10.95" customHeight="true" customFormat="true" s="9">
      <c r="A1965" s="16">
        <v>45394</v>
      </c>
      <c r="B1965" s="17" t="s">
        <v>424</v>
      </c>
      <c r="C1965" s="17" t="s">
        <v>425</v>
      </c>
      <c r="D1965" s="17" t="s">
        <v>22</v>
      </c>
      <c r="E1965" s="17" t="s">
        <v>435</v>
      </c>
      <c r="F1965" s="17"/>
      <c r="G1965" s="18">
        <v>0</v>
      </c>
      <c r="H1965" s="18">
        <v>296.4900</v>
      </c>
      <c r="I1965" s="18">
        <f ca="1">((I1964 + G1965) - H1965)</f>
        <v>0</v>
      </c>
      <c r="J1965" s="18">
        <v>0</v>
      </c>
      <c r="K1965" s="19">
        <v>0</v>
      </c>
      <c r="L1965" s="17"/>
    </row>
    <row r="1966" ht="10.95" customHeight="true" customFormat="true" s="9">
      <c r="A1966" s="16">
        <v>45397</v>
      </c>
      <c r="B1966" s="17" t="s">
        <v>424</v>
      </c>
      <c r="C1966" s="17" t="s">
        <v>425</v>
      </c>
      <c r="D1966" s="17" t="s">
        <v>22</v>
      </c>
      <c r="E1966" s="17" t="s">
        <v>426</v>
      </c>
      <c r="F1966" s="17" t="s">
        <v>521</v>
      </c>
      <c r="G1966" s="18">
        <v>0</v>
      </c>
      <c r="H1966" s="18">
        <v>756.5000</v>
      </c>
      <c r="I1966" s="18">
        <f ca="1">((I1965 + G1966) - H1966)</f>
        <v>0</v>
      </c>
      <c r="J1966" s="18">
        <v>0</v>
      </c>
      <c r="K1966" s="19">
        <v>0</v>
      </c>
      <c r="L1966" s="17"/>
    </row>
    <row r="1967" ht="10.95" customHeight="true" customFormat="true" s="9">
      <c r="A1967" s="16">
        <v>45397</v>
      </c>
      <c r="B1967" s="17" t="s">
        <v>424</v>
      </c>
      <c r="C1967" s="17" t="s">
        <v>425</v>
      </c>
      <c r="D1967" s="17" t="s">
        <v>22</v>
      </c>
      <c r="E1967" s="17" t="s">
        <v>34</v>
      </c>
      <c r="F1967" s="17"/>
      <c r="G1967" s="18">
        <v>0</v>
      </c>
      <c r="H1967" s="18">
        <v>2228.0000</v>
      </c>
      <c r="I1967" s="18">
        <f ca="1">((I1966 + G1967) - H1967)</f>
        <v>0</v>
      </c>
      <c r="J1967" s="18">
        <v>0</v>
      </c>
      <c r="K1967" s="19">
        <v>0</v>
      </c>
      <c r="L1967" s="17"/>
    </row>
    <row r="1968" ht="10.95" customHeight="true" customFormat="true" s="9">
      <c r="A1968" s="16">
        <v>45397</v>
      </c>
      <c r="B1968" s="17" t="s">
        <v>424</v>
      </c>
      <c r="C1968" s="17" t="s">
        <v>425</v>
      </c>
      <c r="D1968" s="17" t="s">
        <v>22</v>
      </c>
      <c r="E1968" s="17" t="s">
        <v>426</v>
      </c>
      <c r="F1968" s="17" t="s">
        <v>521</v>
      </c>
      <c r="G1968" s="18">
        <v>0</v>
      </c>
      <c r="H1968" s="18">
        <v>1342.9000</v>
      </c>
      <c r="I1968" s="18">
        <f ca="1">((I1967 + G1968) - H1968)</f>
        <v>0</v>
      </c>
      <c r="J1968" s="18">
        <v>0</v>
      </c>
      <c r="K1968" s="19">
        <v>0</v>
      </c>
      <c r="L1968" s="17"/>
    </row>
    <row r="1969" ht="10.95" customHeight="true" customFormat="true" s="9">
      <c r="A1969" s="16">
        <v>45397</v>
      </c>
      <c r="B1969" s="17" t="s">
        <v>424</v>
      </c>
      <c r="C1969" s="17" t="s">
        <v>425</v>
      </c>
      <c r="D1969" s="17" t="s">
        <v>19</v>
      </c>
      <c r="E1969" s="17" t="s">
        <v>428</v>
      </c>
      <c r="F1969" s="17"/>
      <c r="G1969" s="18">
        <v>3482.8000</v>
      </c>
      <c r="H1969" s="18">
        <v>0</v>
      </c>
      <c r="I1969" s="18">
        <f ca="1">((I1968 + G1969) - H1969)</f>
        <v>0</v>
      </c>
      <c r="J1969" s="18">
        <v>0</v>
      </c>
      <c r="K1969" s="19">
        <v>0</v>
      </c>
      <c r="L1969" s="17"/>
    </row>
    <row r="1970" ht="10.95" customHeight="true" customFormat="true" s="9">
      <c r="A1970" s="16">
        <v>45397</v>
      </c>
      <c r="B1970" s="17" t="s">
        <v>424</v>
      </c>
      <c r="C1970" s="17" t="s">
        <v>425</v>
      </c>
      <c r="D1970" s="17" t="s">
        <v>19</v>
      </c>
      <c r="E1970" s="17" t="s">
        <v>24</v>
      </c>
      <c r="F1970" s="17"/>
      <c r="G1970" s="18">
        <v>320.0000</v>
      </c>
      <c r="H1970" s="18">
        <v>0</v>
      </c>
      <c r="I1970" s="18">
        <f ca="1">((I1969 + G1970) - H1970)</f>
        <v>0</v>
      </c>
      <c r="J1970" s="18">
        <v>0</v>
      </c>
      <c r="K1970" s="19">
        <v>0</v>
      </c>
      <c r="L1970" s="17"/>
    </row>
    <row r="1971" ht="10.95" customHeight="true" customFormat="true" s="9">
      <c r="A1971" s="16">
        <v>45397</v>
      </c>
      <c r="B1971" s="17" t="s">
        <v>424</v>
      </c>
      <c r="C1971" s="17" t="s">
        <v>425</v>
      </c>
      <c r="D1971" s="17" t="s">
        <v>19</v>
      </c>
      <c r="E1971" s="17" t="s">
        <v>428</v>
      </c>
      <c r="F1971" s="17"/>
      <c r="G1971" s="18">
        <v>5867.3000</v>
      </c>
      <c r="H1971" s="18">
        <v>0</v>
      </c>
      <c r="I1971" s="18">
        <f ca="1">((I1970 + G1971) - H1971)</f>
        <v>0</v>
      </c>
      <c r="J1971" s="18">
        <v>0</v>
      </c>
      <c r="K1971" s="19">
        <v>0</v>
      </c>
      <c r="L1971" s="17"/>
    </row>
    <row r="1972" ht="10.95" customHeight="true" customFormat="true" s="9">
      <c r="A1972" s="16">
        <v>45397</v>
      </c>
      <c r="B1972" s="17" t="s">
        <v>424</v>
      </c>
      <c r="C1972" s="17" t="s">
        <v>425</v>
      </c>
      <c r="D1972" s="17" t="s">
        <v>22</v>
      </c>
      <c r="E1972" s="17" t="s">
        <v>426</v>
      </c>
      <c r="F1972" s="17" t="s">
        <v>521</v>
      </c>
      <c r="G1972" s="18">
        <v>0</v>
      </c>
      <c r="H1972" s="18">
        <v>380.8000</v>
      </c>
      <c r="I1972" s="18">
        <f ca="1">((I1971 + G1972) - H1972)</f>
        <v>0</v>
      </c>
      <c r="J1972" s="18">
        <v>0</v>
      </c>
      <c r="K1972" s="19">
        <v>0</v>
      </c>
      <c r="L1972" s="17"/>
    </row>
    <row r="1973" ht="10.95" customHeight="true" customFormat="true" s="9">
      <c r="A1973" s="16">
        <v>45397</v>
      </c>
      <c r="B1973" s="17" t="s">
        <v>424</v>
      </c>
      <c r="C1973" s="17" t="s">
        <v>425</v>
      </c>
      <c r="D1973" s="17" t="s">
        <v>22</v>
      </c>
      <c r="E1973" s="17" t="s">
        <v>426</v>
      </c>
      <c r="F1973" s="17" t="s">
        <v>521</v>
      </c>
      <c r="G1973" s="18">
        <v>0</v>
      </c>
      <c r="H1973" s="18">
        <v>807.5000</v>
      </c>
      <c r="I1973" s="18">
        <f ca="1">((I1972 + G1973) - H1973)</f>
        <v>0</v>
      </c>
      <c r="J1973" s="18">
        <v>0</v>
      </c>
      <c r="K1973" s="19">
        <v>0</v>
      </c>
      <c r="L1973" s="17"/>
    </row>
    <row r="1974" ht="10.95" customHeight="true" customFormat="true" s="9">
      <c r="A1974" s="16">
        <v>45397</v>
      </c>
      <c r="B1974" s="17" t="s">
        <v>424</v>
      </c>
      <c r="C1974" s="17" t="s">
        <v>425</v>
      </c>
      <c r="D1974" s="17" t="s">
        <v>22</v>
      </c>
      <c r="E1974" s="17" t="s">
        <v>426</v>
      </c>
      <c r="F1974" s="17" t="s">
        <v>521</v>
      </c>
      <c r="G1974" s="18">
        <v>0</v>
      </c>
      <c r="H1974" s="18">
        <v>30.0000</v>
      </c>
      <c r="I1974" s="18">
        <f ca="1">((I1973 + G1974) - H1974)</f>
        <v>0</v>
      </c>
      <c r="J1974" s="18">
        <v>0</v>
      </c>
      <c r="K1974" s="19">
        <v>0</v>
      </c>
      <c r="L1974" s="17"/>
    </row>
    <row r="1975" ht="10.95" customHeight="true" customFormat="true" s="9">
      <c r="A1975" s="16">
        <v>45397</v>
      </c>
      <c r="B1975" s="17" t="s">
        <v>424</v>
      </c>
      <c r="C1975" s="17" t="s">
        <v>425</v>
      </c>
      <c r="D1975" s="17" t="s">
        <v>22</v>
      </c>
      <c r="E1975" s="17" t="s">
        <v>426</v>
      </c>
      <c r="F1975" s="17" t="s">
        <v>521</v>
      </c>
      <c r="G1975" s="18">
        <v>0</v>
      </c>
      <c r="H1975" s="18">
        <v>2000.0000</v>
      </c>
      <c r="I1975" s="18">
        <f ca="1">((I1974 + G1975) - H1975)</f>
        <v>0</v>
      </c>
      <c r="J1975" s="18">
        <v>0</v>
      </c>
      <c r="K1975" s="19">
        <v>0</v>
      </c>
      <c r="L1975" s="17"/>
    </row>
    <row r="1976" ht="10.95" customHeight="true" customFormat="true" s="9">
      <c r="A1976" s="16">
        <v>45397</v>
      </c>
      <c r="B1976" s="17" t="s">
        <v>424</v>
      </c>
      <c r="C1976" s="17" t="s">
        <v>425</v>
      </c>
      <c r="D1976" s="17" t="s">
        <v>19</v>
      </c>
      <c r="E1976" s="17" t="s">
        <v>428</v>
      </c>
      <c r="F1976" s="17"/>
      <c r="G1976" s="18">
        <v>4876.5000</v>
      </c>
      <c r="H1976" s="18">
        <v>0</v>
      </c>
      <c r="I1976" s="18">
        <f ca="1">((I1975 + G1976) - H1976)</f>
        <v>0</v>
      </c>
      <c r="J1976" s="18">
        <v>0</v>
      </c>
      <c r="K1976" s="19">
        <v>0</v>
      </c>
      <c r="L1976" s="17"/>
    </row>
    <row r="1977" ht="10.95" customHeight="true" customFormat="true" s="9">
      <c r="A1977" s="16">
        <v>45397</v>
      </c>
      <c r="B1977" s="17" t="s">
        <v>424</v>
      </c>
      <c r="C1977" s="17" t="s">
        <v>425</v>
      </c>
      <c r="D1977" s="17" t="s">
        <v>22</v>
      </c>
      <c r="E1977" s="17" t="s">
        <v>426</v>
      </c>
      <c r="F1977" s="17" t="s">
        <v>521</v>
      </c>
      <c r="G1977" s="18">
        <v>0</v>
      </c>
      <c r="H1977" s="18">
        <v>144.0000</v>
      </c>
      <c r="I1977" s="18">
        <f ca="1">((I1976 + G1977) - H1977)</f>
        <v>0</v>
      </c>
      <c r="J1977" s="18">
        <v>0</v>
      </c>
      <c r="K1977" s="19">
        <v>0</v>
      </c>
      <c r="L1977" s="17"/>
    </row>
    <row r="1978" ht="10.95" customHeight="true" customFormat="true" s="9">
      <c r="A1978" s="16">
        <v>45397</v>
      </c>
      <c r="B1978" s="17" t="s">
        <v>424</v>
      </c>
      <c r="C1978" s="17" t="s">
        <v>425</v>
      </c>
      <c r="D1978" s="17" t="s">
        <v>22</v>
      </c>
      <c r="E1978" s="17" t="s">
        <v>438</v>
      </c>
      <c r="F1978" s="17"/>
      <c r="G1978" s="18">
        <v>0</v>
      </c>
      <c r="H1978" s="18">
        <v>40.8000</v>
      </c>
      <c r="I1978" s="18">
        <f ca="1">((I1977 + G1978) - H1978)</f>
        <v>0</v>
      </c>
      <c r="J1978" s="18">
        <v>0</v>
      </c>
      <c r="K1978" s="19">
        <v>0</v>
      </c>
      <c r="L1978" s="17"/>
    </row>
    <row r="1979" ht="10.95" customHeight="true" customFormat="true" s="9">
      <c r="A1979" s="16">
        <v>45398</v>
      </c>
      <c r="B1979" s="17" t="s">
        <v>424</v>
      </c>
      <c r="C1979" s="17" t="s">
        <v>425</v>
      </c>
      <c r="D1979" s="17" t="s">
        <v>22</v>
      </c>
      <c r="E1979" s="17" t="s">
        <v>430</v>
      </c>
      <c r="F1979" s="17"/>
      <c r="G1979" s="18">
        <v>0</v>
      </c>
      <c r="H1979" s="18">
        <v>1642.2700</v>
      </c>
      <c r="I1979" s="18">
        <f ca="1">((I1978 + G1979) - H1979)</f>
        <v>0</v>
      </c>
      <c r="J1979" s="18">
        <v>0</v>
      </c>
      <c r="K1979" s="19">
        <v>0</v>
      </c>
      <c r="L1979" s="17"/>
    </row>
    <row r="1980" ht="10.95" customHeight="true" customFormat="true" s="9">
      <c r="A1980" s="16">
        <v>45399</v>
      </c>
      <c r="B1980" s="17" t="s">
        <v>424</v>
      </c>
      <c r="C1980" s="17" t="s">
        <v>425</v>
      </c>
      <c r="D1980" s="17" t="s">
        <v>19</v>
      </c>
      <c r="E1980" s="17" t="s">
        <v>428</v>
      </c>
      <c r="F1980" s="17"/>
      <c r="G1980" s="18">
        <v>2582.1000</v>
      </c>
      <c r="H1980" s="18">
        <v>0</v>
      </c>
      <c r="I1980" s="18">
        <f ca="1">((I1979 + G1980) - H1980)</f>
        <v>0</v>
      </c>
      <c r="J1980" s="18">
        <v>0</v>
      </c>
      <c r="K1980" s="19">
        <v>0</v>
      </c>
      <c r="L1980" s="17"/>
    </row>
    <row r="1981" ht="10.95" customHeight="true" customFormat="true" s="9">
      <c r="A1981" s="16">
        <v>45399</v>
      </c>
      <c r="B1981" s="17" t="s">
        <v>424</v>
      </c>
      <c r="C1981" s="17" t="s">
        <v>425</v>
      </c>
      <c r="D1981" s="17" t="s">
        <v>22</v>
      </c>
      <c r="E1981" s="17" t="s">
        <v>434</v>
      </c>
      <c r="F1981" s="17"/>
      <c r="G1981" s="18">
        <v>0</v>
      </c>
      <c r="H1981" s="18">
        <v>415.4500</v>
      </c>
      <c r="I1981" s="18">
        <f ca="1">((I1980 + G1981) - H1981)</f>
        <v>0</v>
      </c>
      <c r="J1981" s="18">
        <v>0</v>
      </c>
      <c r="K1981" s="19">
        <v>0</v>
      </c>
      <c r="L1981" s="17"/>
    </row>
    <row r="1982" ht="10.95" customHeight="true" customFormat="true" s="9">
      <c r="A1982" s="16">
        <v>45400</v>
      </c>
      <c r="B1982" s="17" t="s">
        <v>424</v>
      </c>
      <c r="C1982" s="17" t="s">
        <v>425</v>
      </c>
      <c r="D1982" s="17" t="s">
        <v>22</v>
      </c>
      <c r="E1982" s="17" t="s">
        <v>298</v>
      </c>
      <c r="F1982" s="17"/>
      <c r="G1982" s="18">
        <v>0</v>
      </c>
      <c r="H1982" s="18">
        <v>6416.6700</v>
      </c>
      <c r="I1982" s="18">
        <f ca="1">((I1981 + G1982) - H1982)</f>
        <v>0</v>
      </c>
      <c r="J1982" s="18">
        <v>0</v>
      </c>
      <c r="K1982" s="19">
        <v>0</v>
      </c>
      <c r="L1982" s="17"/>
    </row>
    <row r="1983" ht="10.95" customHeight="true" customFormat="true" s="9">
      <c r="A1983" s="16">
        <v>45400</v>
      </c>
      <c r="B1983" s="17" t="s">
        <v>424</v>
      </c>
      <c r="C1983" s="17" t="s">
        <v>425</v>
      </c>
      <c r="D1983" s="17" t="s">
        <v>19</v>
      </c>
      <c r="E1983" s="17" t="s">
        <v>428</v>
      </c>
      <c r="F1983" s="17"/>
      <c r="G1983" s="18">
        <v>2689.5000</v>
      </c>
      <c r="H1983" s="18">
        <v>0</v>
      </c>
      <c r="I1983" s="18">
        <f ca="1">((I1982 + G1983) - H1983)</f>
        <v>0</v>
      </c>
      <c r="J1983" s="18">
        <v>0</v>
      </c>
      <c r="K1983" s="19">
        <v>0</v>
      </c>
      <c r="L1983" s="17"/>
    </row>
    <row r="1984" ht="10.95" customHeight="true" customFormat="true" s="9">
      <c r="A1984" s="16">
        <v>45400</v>
      </c>
      <c r="B1984" s="17" t="s">
        <v>424</v>
      </c>
      <c r="C1984" s="17" t="s">
        <v>425</v>
      </c>
      <c r="D1984" s="17" t="s">
        <v>22</v>
      </c>
      <c r="E1984" s="17" t="s">
        <v>436</v>
      </c>
      <c r="F1984" s="17"/>
      <c r="G1984" s="18">
        <v>0</v>
      </c>
      <c r="H1984" s="18">
        <v>108.0000</v>
      </c>
      <c r="I1984" s="18">
        <f ca="1">((I1983 + G1984) - H1984)</f>
        <v>0</v>
      </c>
      <c r="J1984" s="18">
        <v>0</v>
      </c>
      <c r="K1984" s="19">
        <v>0</v>
      </c>
      <c r="L1984" s="17"/>
    </row>
    <row r="1985" ht="10.95" customHeight="true" customFormat="true" s="9">
      <c r="A1985" s="16">
        <v>45401</v>
      </c>
      <c r="B1985" s="17" t="s">
        <v>424</v>
      </c>
      <c r="C1985" s="17" t="s">
        <v>425</v>
      </c>
      <c r="D1985" s="17" t="s">
        <v>22</v>
      </c>
      <c r="E1985" s="17" t="s">
        <v>431</v>
      </c>
      <c r="F1985" s="17"/>
      <c r="G1985" s="18">
        <v>0</v>
      </c>
      <c r="H1985" s="18">
        <v>65.0000</v>
      </c>
      <c r="I1985" s="18">
        <f ca="1">((I1984 + G1985) - H1985)</f>
        <v>0</v>
      </c>
      <c r="J1985" s="18">
        <v>0</v>
      </c>
      <c r="K1985" s="19">
        <v>0</v>
      </c>
      <c r="L1985" s="17"/>
    </row>
    <row r="1986" ht="10.95" customHeight="true" customFormat="true" s="9">
      <c r="A1986" s="16">
        <v>45401</v>
      </c>
      <c r="B1986" s="17" t="s">
        <v>424</v>
      </c>
      <c r="C1986" s="17" t="s">
        <v>425</v>
      </c>
      <c r="D1986" s="17" t="s">
        <v>22</v>
      </c>
      <c r="E1986" s="17" t="s">
        <v>430</v>
      </c>
      <c r="F1986" s="17"/>
      <c r="G1986" s="18">
        <v>0</v>
      </c>
      <c r="H1986" s="18">
        <v>1715.2400</v>
      </c>
      <c r="I1986" s="18">
        <f ca="1">((I1985 + G1986) - H1986)</f>
        <v>0</v>
      </c>
      <c r="J1986" s="18">
        <v>0</v>
      </c>
      <c r="K1986" s="19">
        <v>0</v>
      </c>
      <c r="L1986" s="17"/>
    </row>
    <row r="1987" ht="10.95" customHeight="true" customFormat="true" s="9">
      <c r="A1987" s="16">
        <v>45401</v>
      </c>
      <c r="B1987" s="17" t="s">
        <v>424</v>
      </c>
      <c r="C1987" s="17" t="s">
        <v>425</v>
      </c>
      <c r="D1987" s="17" t="s">
        <v>19</v>
      </c>
      <c r="E1987" s="17" t="s">
        <v>428</v>
      </c>
      <c r="F1987" s="17"/>
      <c r="G1987" s="18">
        <v>2792.4000</v>
      </c>
      <c r="H1987" s="18">
        <v>0</v>
      </c>
      <c r="I1987" s="18">
        <f ca="1">((I1986 + G1987) - H1987)</f>
        <v>0</v>
      </c>
      <c r="J1987" s="18">
        <v>0</v>
      </c>
      <c r="K1987" s="19">
        <v>0</v>
      </c>
      <c r="L1987" s="17"/>
    </row>
    <row r="1988" ht="10.95" customHeight="true" customFormat="true" s="9">
      <c r="A1988" s="16">
        <v>45401</v>
      </c>
      <c r="B1988" s="17" t="s">
        <v>424</v>
      </c>
      <c r="C1988" s="17" t="s">
        <v>425</v>
      </c>
      <c r="D1988" s="17" t="s">
        <v>22</v>
      </c>
      <c r="E1988" s="17" t="s">
        <v>451</v>
      </c>
      <c r="F1988" s="17"/>
      <c r="G1988" s="18">
        <v>0</v>
      </c>
      <c r="H1988" s="18">
        <v>8234.3400</v>
      </c>
      <c r="I1988" s="18">
        <f ca="1">((I1987 + G1988) - H1988)</f>
        <v>0</v>
      </c>
      <c r="J1988" s="18">
        <v>0</v>
      </c>
      <c r="K1988" s="19">
        <v>0</v>
      </c>
      <c r="L1988" s="17"/>
    </row>
    <row r="1989" ht="10.95" customHeight="true" customFormat="true" s="9">
      <c r="A1989" s="16">
        <v>45404</v>
      </c>
      <c r="B1989" s="17" t="s">
        <v>424</v>
      </c>
      <c r="C1989" s="17" t="s">
        <v>425</v>
      </c>
      <c r="D1989" s="17" t="s">
        <v>22</v>
      </c>
      <c r="E1989" s="17" t="s">
        <v>426</v>
      </c>
      <c r="F1989" s="17" t="s">
        <v>522</v>
      </c>
      <c r="G1989" s="18">
        <v>0</v>
      </c>
      <c r="H1989" s="18">
        <v>2000.0000</v>
      </c>
      <c r="I1989" s="18">
        <f ca="1">((I1988 + G1989) - H1989)</f>
        <v>0</v>
      </c>
      <c r="J1989" s="18">
        <v>0</v>
      </c>
      <c r="K1989" s="19">
        <v>0</v>
      </c>
      <c r="L1989" s="17"/>
    </row>
    <row r="1990" ht="10.95" customHeight="true" customFormat="true" s="9">
      <c r="A1990" s="16">
        <v>45404</v>
      </c>
      <c r="B1990" s="17" t="s">
        <v>424</v>
      </c>
      <c r="C1990" s="17" t="s">
        <v>425</v>
      </c>
      <c r="D1990" s="17" t="s">
        <v>22</v>
      </c>
      <c r="E1990" s="17" t="s">
        <v>426</v>
      </c>
      <c r="F1990" s="17" t="s">
        <v>522</v>
      </c>
      <c r="G1990" s="18">
        <v>0</v>
      </c>
      <c r="H1990" s="18">
        <v>807.5000</v>
      </c>
      <c r="I1990" s="18">
        <f ca="1">((I1989 + G1990) - H1990)</f>
        <v>0</v>
      </c>
      <c r="J1990" s="18">
        <v>0</v>
      </c>
      <c r="K1990" s="19">
        <v>0</v>
      </c>
      <c r="L1990" s="17"/>
    </row>
    <row r="1991" ht="10.95" customHeight="true" customFormat="true" s="9">
      <c r="A1991" s="16">
        <v>45404</v>
      </c>
      <c r="B1991" s="17" t="s">
        <v>424</v>
      </c>
      <c r="C1991" s="17" t="s">
        <v>425</v>
      </c>
      <c r="D1991" s="17" t="s">
        <v>19</v>
      </c>
      <c r="E1991" s="17" t="s">
        <v>428</v>
      </c>
      <c r="F1991" s="17"/>
      <c r="G1991" s="18">
        <v>5151.9800</v>
      </c>
      <c r="H1991" s="18">
        <v>0</v>
      </c>
      <c r="I1991" s="18">
        <f ca="1">((I1990 + G1991) - H1991)</f>
        <v>0</v>
      </c>
      <c r="J1991" s="18">
        <v>0</v>
      </c>
      <c r="K1991" s="19">
        <v>0</v>
      </c>
      <c r="L1991" s="17"/>
    </row>
    <row r="1992" ht="10.95" customHeight="true" customFormat="true" s="9">
      <c r="A1992" s="16">
        <v>45404</v>
      </c>
      <c r="B1992" s="17" t="s">
        <v>424</v>
      </c>
      <c r="C1992" s="17" t="s">
        <v>425</v>
      </c>
      <c r="D1992" s="17" t="s">
        <v>19</v>
      </c>
      <c r="E1992" s="17" t="s">
        <v>428</v>
      </c>
      <c r="F1992" s="17"/>
      <c r="G1992" s="18">
        <v>3168.3500</v>
      </c>
      <c r="H1992" s="18">
        <v>0</v>
      </c>
      <c r="I1992" s="18">
        <f ca="1">((I1991 + G1992) - H1992)</f>
        <v>0</v>
      </c>
      <c r="J1992" s="18">
        <v>0</v>
      </c>
      <c r="K1992" s="19">
        <v>0</v>
      </c>
      <c r="L1992" s="17"/>
    </row>
    <row r="1993" ht="10.95" customHeight="true" customFormat="true" s="9">
      <c r="A1993" s="16">
        <v>45404</v>
      </c>
      <c r="B1993" s="17" t="s">
        <v>424</v>
      </c>
      <c r="C1993" s="17" t="s">
        <v>425</v>
      </c>
      <c r="D1993" s="17" t="s">
        <v>22</v>
      </c>
      <c r="E1993" s="17" t="s">
        <v>426</v>
      </c>
      <c r="F1993" s="17" t="s">
        <v>522</v>
      </c>
      <c r="G1993" s="18">
        <v>0</v>
      </c>
      <c r="H1993" s="18">
        <v>144.0000</v>
      </c>
      <c r="I1993" s="18">
        <f ca="1">((I1992 + G1993) - H1993)</f>
        <v>0</v>
      </c>
      <c r="J1993" s="18">
        <v>0</v>
      </c>
      <c r="K1993" s="19">
        <v>0</v>
      </c>
      <c r="L1993" s="17"/>
    </row>
    <row r="1994" ht="10.95" customHeight="true" customFormat="true" s="9">
      <c r="A1994" s="16">
        <v>45404</v>
      </c>
      <c r="B1994" s="17" t="s">
        <v>424</v>
      </c>
      <c r="C1994" s="17" t="s">
        <v>425</v>
      </c>
      <c r="D1994" s="17" t="s">
        <v>19</v>
      </c>
      <c r="E1994" s="17" t="s">
        <v>428</v>
      </c>
      <c r="F1994" s="17"/>
      <c r="G1994" s="18">
        <v>5291.5000</v>
      </c>
      <c r="H1994" s="18">
        <v>0</v>
      </c>
      <c r="I1994" s="18">
        <f ca="1">((I1993 + G1994) - H1994)</f>
        <v>0</v>
      </c>
      <c r="J1994" s="18">
        <v>0</v>
      </c>
      <c r="K1994" s="19">
        <v>0</v>
      </c>
      <c r="L1994" s="17"/>
    </row>
    <row r="1995" ht="10.95" customHeight="true" customFormat="true" s="9">
      <c r="A1995" s="16">
        <v>45404</v>
      </c>
      <c r="B1995" s="17" t="s">
        <v>424</v>
      </c>
      <c r="C1995" s="17" t="s">
        <v>425</v>
      </c>
      <c r="D1995" s="17" t="s">
        <v>22</v>
      </c>
      <c r="E1995" s="17" t="s">
        <v>426</v>
      </c>
      <c r="F1995" s="17" t="s">
        <v>522</v>
      </c>
      <c r="G1995" s="18">
        <v>0</v>
      </c>
      <c r="H1995" s="18">
        <v>714.0000</v>
      </c>
      <c r="I1995" s="18">
        <f ca="1">((I1994 + G1995) - H1995)</f>
        <v>0</v>
      </c>
      <c r="J1995" s="18">
        <v>0</v>
      </c>
      <c r="K1995" s="19">
        <v>0</v>
      </c>
      <c r="L1995" s="17"/>
    </row>
    <row r="1996" ht="10.95" customHeight="true" customFormat="true" s="9">
      <c r="A1996" s="16">
        <v>45404</v>
      </c>
      <c r="B1996" s="17" t="s">
        <v>424</v>
      </c>
      <c r="C1996" s="17" t="s">
        <v>425</v>
      </c>
      <c r="D1996" s="17" t="s">
        <v>22</v>
      </c>
      <c r="E1996" s="17" t="s">
        <v>426</v>
      </c>
      <c r="F1996" s="17" t="s">
        <v>522</v>
      </c>
      <c r="G1996" s="18">
        <v>0</v>
      </c>
      <c r="H1996" s="18">
        <v>1342.9000</v>
      </c>
      <c r="I1996" s="18">
        <f ca="1">((I1995 + G1996) - H1996)</f>
        <v>0</v>
      </c>
      <c r="J1996" s="18">
        <v>0</v>
      </c>
      <c r="K1996" s="19">
        <v>0</v>
      </c>
      <c r="L1996" s="17"/>
    </row>
    <row r="1997" ht="10.95" customHeight="true" customFormat="true" s="9">
      <c r="A1997" s="16">
        <v>45404</v>
      </c>
      <c r="B1997" s="17" t="s">
        <v>424</v>
      </c>
      <c r="C1997" s="17" t="s">
        <v>425</v>
      </c>
      <c r="D1997" s="17" t="s">
        <v>22</v>
      </c>
      <c r="E1997" s="17" t="s">
        <v>426</v>
      </c>
      <c r="F1997" s="17" t="s">
        <v>522</v>
      </c>
      <c r="G1997" s="18">
        <v>0</v>
      </c>
      <c r="H1997" s="18">
        <v>406.3000</v>
      </c>
      <c r="I1997" s="18">
        <f ca="1">((I1996 + G1997) - H1997)</f>
        <v>0</v>
      </c>
      <c r="J1997" s="18">
        <v>0</v>
      </c>
      <c r="K1997" s="19">
        <v>0</v>
      </c>
      <c r="L1997" s="17"/>
    </row>
    <row r="1998" ht="10.95" customHeight="true" customFormat="true" s="9">
      <c r="A1998" s="16">
        <v>45404</v>
      </c>
      <c r="B1998" s="17" t="s">
        <v>424</v>
      </c>
      <c r="C1998" s="17" t="s">
        <v>425</v>
      </c>
      <c r="D1998" s="17" t="s">
        <v>22</v>
      </c>
      <c r="E1998" s="17" t="s">
        <v>34</v>
      </c>
      <c r="F1998" s="17"/>
      <c r="G1998" s="18">
        <v>0</v>
      </c>
      <c r="H1998" s="18">
        <v>2213.5000</v>
      </c>
      <c r="I1998" s="18">
        <f ca="1">((I1997 + G1998) - H1998)</f>
        <v>0</v>
      </c>
      <c r="J1998" s="18">
        <v>0</v>
      </c>
      <c r="K1998" s="19">
        <v>0</v>
      </c>
      <c r="L1998" s="17"/>
    </row>
    <row r="1999" ht="10.95" customHeight="true" customFormat="true" s="9">
      <c r="A1999" s="16">
        <v>45404</v>
      </c>
      <c r="B1999" s="17" t="s">
        <v>424</v>
      </c>
      <c r="C1999" s="17" t="s">
        <v>425</v>
      </c>
      <c r="D1999" s="17" t="s">
        <v>22</v>
      </c>
      <c r="E1999" s="17" t="s">
        <v>438</v>
      </c>
      <c r="F1999" s="17"/>
      <c r="G1999" s="18">
        <v>0</v>
      </c>
      <c r="H1999" s="18">
        <v>40.7500</v>
      </c>
      <c r="I1999" s="18">
        <f ca="1">((I1998 + G1999) - H1999)</f>
        <v>0</v>
      </c>
      <c r="J1999" s="18">
        <v>0</v>
      </c>
      <c r="K1999" s="19">
        <v>0</v>
      </c>
      <c r="L1999" s="17"/>
    </row>
    <row r="2000" ht="10.95" customHeight="true" customFormat="true" s="9">
      <c r="A2000" s="16">
        <v>45406</v>
      </c>
      <c r="B2000" s="17" t="s">
        <v>424</v>
      </c>
      <c r="C2000" s="17" t="s">
        <v>425</v>
      </c>
      <c r="D2000" s="17" t="s">
        <v>22</v>
      </c>
      <c r="E2000" s="17" t="s">
        <v>430</v>
      </c>
      <c r="F2000" s="17"/>
      <c r="G2000" s="18">
        <v>0</v>
      </c>
      <c r="H2000" s="18">
        <v>2345.8300</v>
      </c>
      <c r="I2000" s="18">
        <f ca="1">((I1999 + G2000) - H2000)</f>
        <v>0</v>
      </c>
      <c r="J2000" s="18">
        <v>0</v>
      </c>
      <c r="K2000" s="19">
        <v>0</v>
      </c>
      <c r="L2000" s="17"/>
    </row>
    <row r="2001" ht="10.95" customHeight="true" customFormat="true" s="9">
      <c r="A2001" s="16">
        <v>45406</v>
      </c>
      <c r="B2001" s="17" t="s">
        <v>424</v>
      </c>
      <c r="C2001" s="17" t="s">
        <v>425</v>
      </c>
      <c r="D2001" s="17" t="s">
        <v>19</v>
      </c>
      <c r="E2001" s="17" t="s">
        <v>428</v>
      </c>
      <c r="F2001" s="17"/>
      <c r="G2001" s="18">
        <v>2451.7000</v>
      </c>
      <c r="H2001" s="18">
        <v>0</v>
      </c>
      <c r="I2001" s="18">
        <f ca="1">((I2000 + G2001) - H2001)</f>
        <v>0</v>
      </c>
      <c r="J2001" s="18">
        <v>0</v>
      </c>
      <c r="K2001" s="19">
        <v>0</v>
      </c>
      <c r="L2001" s="17"/>
    </row>
    <row r="2002" ht="10.95" customHeight="true" customFormat="true" s="9">
      <c r="A2002" s="16">
        <v>45406</v>
      </c>
      <c r="B2002" s="17" t="s">
        <v>424</v>
      </c>
      <c r="C2002" s="17" t="s">
        <v>425</v>
      </c>
      <c r="D2002" s="17" t="s">
        <v>22</v>
      </c>
      <c r="E2002" s="17" t="s">
        <v>442</v>
      </c>
      <c r="F2002" s="17"/>
      <c r="G2002" s="18">
        <v>0</v>
      </c>
      <c r="H2002" s="18">
        <v>183.9600</v>
      </c>
      <c r="I2002" s="18">
        <f ca="1">((I2001 + G2002) - H2002)</f>
        <v>0</v>
      </c>
      <c r="J2002" s="18">
        <v>0</v>
      </c>
      <c r="K2002" s="19">
        <v>0</v>
      </c>
      <c r="L2002" s="17"/>
    </row>
    <row r="2003" ht="10.95" customHeight="true" customFormat="true" s="9">
      <c r="A2003" s="16">
        <v>45406</v>
      </c>
      <c r="B2003" s="17" t="s">
        <v>424</v>
      </c>
      <c r="C2003" s="17" t="s">
        <v>425</v>
      </c>
      <c r="D2003" s="17" t="s">
        <v>22</v>
      </c>
      <c r="E2003" s="17" t="s">
        <v>459</v>
      </c>
      <c r="F2003" s="17"/>
      <c r="G2003" s="18">
        <v>0</v>
      </c>
      <c r="H2003" s="18">
        <v>321.7500</v>
      </c>
      <c r="I2003" s="18">
        <f ca="1">((I2002 + G2003) - H2003)</f>
        <v>0</v>
      </c>
      <c r="J2003" s="18">
        <v>0</v>
      </c>
      <c r="K2003" s="19">
        <v>0</v>
      </c>
      <c r="L2003" s="17"/>
    </row>
    <row r="2004" ht="10.95" customHeight="true" customFormat="true" s="9">
      <c r="A2004" s="16">
        <v>45408</v>
      </c>
      <c r="B2004" s="17" t="s">
        <v>424</v>
      </c>
      <c r="C2004" s="17" t="s">
        <v>425</v>
      </c>
      <c r="D2004" s="17" t="s">
        <v>19</v>
      </c>
      <c r="E2004" s="17" t="s">
        <v>24</v>
      </c>
      <c r="F2004" s="17"/>
      <c r="G2004" s="18">
        <v>140.0000</v>
      </c>
      <c r="H2004" s="18">
        <v>0</v>
      </c>
      <c r="I2004" s="18">
        <f ca="1">((I2003 + G2004) - H2004)</f>
        <v>0</v>
      </c>
      <c r="J2004" s="18">
        <v>0</v>
      </c>
      <c r="K2004" s="19">
        <v>0</v>
      </c>
      <c r="L2004" s="17"/>
    </row>
    <row r="2005" ht="10.95" customHeight="true" customFormat="true" s="9">
      <c r="A2005" s="16">
        <v>45408</v>
      </c>
      <c r="B2005" s="17" t="s">
        <v>424</v>
      </c>
      <c r="C2005" s="17" t="s">
        <v>425</v>
      </c>
      <c r="D2005" s="17" t="s">
        <v>19</v>
      </c>
      <c r="E2005" s="17" t="s">
        <v>428</v>
      </c>
      <c r="F2005" s="17"/>
      <c r="G2005" s="18">
        <v>6106.3000</v>
      </c>
      <c r="H2005" s="18">
        <v>0</v>
      </c>
      <c r="I2005" s="18">
        <f ca="1">((I2004 + G2005) - H2005)</f>
        <v>0</v>
      </c>
      <c r="J2005" s="18">
        <v>0</v>
      </c>
      <c r="K2005" s="19">
        <v>0</v>
      </c>
      <c r="L2005" s="17"/>
    </row>
    <row r="2006" ht="10.95" customHeight="true" customFormat="true" s="9">
      <c r="A2006" s="16">
        <v>45408</v>
      </c>
      <c r="B2006" s="17" t="s">
        <v>424</v>
      </c>
      <c r="C2006" s="17" t="s">
        <v>425</v>
      </c>
      <c r="D2006" s="17" t="s">
        <v>22</v>
      </c>
      <c r="E2006" s="17" t="s">
        <v>430</v>
      </c>
      <c r="F2006" s="17"/>
      <c r="G2006" s="18">
        <v>0</v>
      </c>
      <c r="H2006" s="18">
        <v>2024.4100</v>
      </c>
      <c r="I2006" s="18">
        <f ca="1">((I2005 + G2006) - H2006)</f>
        <v>0</v>
      </c>
      <c r="J2006" s="18">
        <v>0</v>
      </c>
      <c r="K2006" s="19">
        <v>0</v>
      </c>
      <c r="L2006" s="17"/>
    </row>
    <row r="2007" ht="10.95" customHeight="true" customFormat="true" s="9">
      <c r="A2007" s="16">
        <v>45408</v>
      </c>
      <c r="B2007" s="17" t="s">
        <v>424</v>
      </c>
      <c r="C2007" s="17" t="s">
        <v>425</v>
      </c>
      <c r="D2007" s="17" t="s">
        <v>19</v>
      </c>
      <c r="E2007" s="17" t="s">
        <v>428</v>
      </c>
      <c r="F2007" s="17"/>
      <c r="G2007" s="18">
        <v>2732.3000</v>
      </c>
      <c r="H2007" s="18">
        <v>0</v>
      </c>
      <c r="I2007" s="18">
        <f ca="1">((I2006 + G2007) - H2007)</f>
        <v>0</v>
      </c>
      <c r="J2007" s="18">
        <v>0</v>
      </c>
      <c r="K2007" s="19">
        <v>0</v>
      </c>
      <c r="L2007" s="17"/>
    </row>
    <row r="2008" ht="10.95" customHeight="true" customFormat="true" s="9">
      <c r="A2008" s="16">
        <v>45411</v>
      </c>
      <c r="B2008" s="17" t="s">
        <v>424</v>
      </c>
      <c r="C2008" s="17" t="s">
        <v>425</v>
      </c>
      <c r="D2008" s="17" t="s">
        <v>22</v>
      </c>
      <c r="E2008" s="17" t="s">
        <v>426</v>
      </c>
      <c r="F2008" s="17" t="s">
        <v>523</v>
      </c>
      <c r="G2008" s="18">
        <v>0</v>
      </c>
      <c r="H2008" s="18">
        <v>2000.0000</v>
      </c>
      <c r="I2008" s="18">
        <f ca="1">((I2007 + G2008) - H2008)</f>
        <v>0</v>
      </c>
      <c r="J2008" s="18">
        <v>0</v>
      </c>
      <c r="K2008" s="19">
        <v>0</v>
      </c>
      <c r="L2008" s="17"/>
    </row>
    <row r="2009" ht="10.95" customHeight="true" customFormat="true" s="9">
      <c r="A2009" s="16">
        <v>45411</v>
      </c>
      <c r="B2009" s="17" t="s">
        <v>424</v>
      </c>
      <c r="C2009" s="17" t="s">
        <v>425</v>
      </c>
      <c r="D2009" s="17" t="s">
        <v>22</v>
      </c>
      <c r="E2009" s="17" t="s">
        <v>34</v>
      </c>
      <c r="F2009" s="17"/>
      <c r="G2009" s="18">
        <v>0</v>
      </c>
      <c r="H2009" s="18">
        <v>3506.5000</v>
      </c>
      <c r="I2009" s="18">
        <f ca="1">((I2008 + G2009) - H2009)</f>
        <v>0</v>
      </c>
      <c r="J2009" s="18">
        <v>0</v>
      </c>
      <c r="K2009" s="19">
        <v>0</v>
      </c>
      <c r="L2009" s="17"/>
    </row>
    <row r="2010" ht="10.95" customHeight="true" customFormat="true" s="9">
      <c r="A2010" s="16">
        <v>45411</v>
      </c>
      <c r="B2010" s="17" t="s">
        <v>424</v>
      </c>
      <c r="C2010" s="17" t="s">
        <v>425</v>
      </c>
      <c r="D2010" s="17" t="s">
        <v>19</v>
      </c>
      <c r="E2010" s="17" t="s">
        <v>428</v>
      </c>
      <c r="F2010" s="17"/>
      <c r="G2010" s="18">
        <v>5260.2500</v>
      </c>
      <c r="H2010" s="18">
        <v>0</v>
      </c>
      <c r="I2010" s="18">
        <f ca="1">((I2009 + G2010) - H2010)</f>
        <v>0</v>
      </c>
      <c r="J2010" s="18">
        <v>0</v>
      </c>
      <c r="K2010" s="19">
        <v>0</v>
      </c>
      <c r="L2010" s="17"/>
    </row>
    <row r="2011" ht="10.95" customHeight="true" customFormat="true" s="9">
      <c r="A2011" s="16">
        <v>45411</v>
      </c>
      <c r="B2011" s="17" t="s">
        <v>424</v>
      </c>
      <c r="C2011" s="17" t="s">
        <v>425</v>
      </c>
      <c r="D2011" s="17" t="s">
        <v>22</v>
      </c>
      <c r="E2011" s="17" t="s">
        <v>466</v>
      </c>
      <c r="F2011" s="17"/>
      <c r="G2011" s="18">
        <v>0</v>
      </c>
      <c r="H2011" s="18">
        <v>562.4300</v>
      </c>
      <c r="I2011" s="18">
        <f ca="1">((I2010 + G2011) - H2011)</f>
        <v>0</v>
      </c>
      <c r="J2011" s="18">
        <v>0</v>
      </c>
      <c r="K2011" s="19">
        <v>0</v>
      </c>
      <c r="L2011" s="17"/>
    </row>
    <row r="2012" ht="10.95" customHeight="true" customFormat="true" s="9">
      <c r="A2012" s="16">
        <v>45411</v>
      </c>
      <c r="B2012" s="17" t="s">
        <v>424</v>
      </c>
      <c r="C2012" s="17" t="s">
        <v>425</v>
      </c>
      <c r="D2012" s="17" t="s">
        <v>22</v>
      </c>
      <c r="E2012" s="17" t="s">
        <v>426</v>
      </c>
      <c r="F2012" s="17" t="s">
        <v>523</v>
      </c>
      <c r="G2012" s="18">
        <v>0</v>
      </c>
      <c r="H2012" s="18">
        <v>1342.9000</v>
      </c>
      <c r="I2012" s="18">
        <f ca="1">((I2011 + G2012) - H2012)</f>
        <v>0</v>
      </c>
      <c r="J2012" s="18">
        <v>0</v>
      </c>
      <c r="K2012" s="19">
        <v>0</v>
      </c>
      <c r="L2012" s="17"/>
    </row>
    <row r="2013" ht="10.95" customHeight="true" customFormat="true" s="9">
      <c r="A2013" s="16">
        <v>45411</v>
      </c>
      <c r="B2013" s="17" t="s">
        <v>424</v>
      </c>
      <c r="C2013" s="17" t="s">
        <v>425</v>
      </c>
      <c r="D2013" s="17" t="s">
        <v>19</v>
      </c>
      <c r="E2013" s="17" t="s">
        <v>428</v>
      </c>
      <c r="F2013" s="17"/>
      <c r="G2013" s="18">
        <v>2992.8000</v>
      </c>
      <c r="H2013" s="18">
        <v>0</v>
      </c>
      <c r="I2013" s="18">
        <f ca="1">((I2012 + G2013) - H2013)</f>
        <v>0</v>
      </c>
      <c r="J2013" s="18">
        <v>0</v>
      </c>
      <c r="K2013" s="19">
        <v>0</v>
      </c>
      <c r="L2013" s="17"/>
    </row>
    <row r="2014" ht="10.95" customHeight="true" customFormat="true" s="9">
      <c r="A2014" s="16">
        <v>45411</v>
      </c>
      <c r="B2014" s="17" t="s">
        <v>424</v>
      </c>
      <c r="C2014" s="17" t="s">
        <v>425</v>
      </c>
      <c r="D2014" s="17" t="s">
        <v>22</v>
      </c>
      <c r="E2014" s="17" t="s">
        <v>426</v>
      </c>
      <c r="F2014" s="17" t="s">
        <v>523</v>
      </c>
      <c r="G2014" s="18">
        <v>0</v>
      </c>
      <c r="H2014" s="18">
        <v>596.7000</v>
      </c>
      <c r="I2014" s="18">
        <f ca="1">((I2013 + G2014) - H2014)</f>
        <v>0</v>
      </c>
      <c r="J2014" s="18">
        <v>0</v>
      </c>
      <c r="K2014" s="19">
        <v>0</v>
      </c>
      <c r="L2014" s="17"/>
    </row>
    <row r="2015" ht="10.95" customHeight="true" customFormat="true" s="9">
      <c r="A2015" s="16">
        <v>45411</v>
      </c>
      <c r="B2015" s="17" t="s">
        <v>424</v>
      </c>
      <c r="C2015" s="17" t="s">
        <v>425</v>
      </c>
      <c r="D2015" s="17" t="s">
        <v>22</v>
      </c>
      <c r="E2015" s="17" t="s">
        <v>426</v>
      </c>
      <c r="F2015" s="17" t="s">
        <v>523</v>
      </c>
      <c r="G2015" s="18">
        <v>0</v>
      </c>
      <c r="H2015" s="18">
        <v>605.6300</v>
      </c>
      <c r="I2015" s="18">
        <f ca="1">((I2014 + G2015) - H2015)</f>
        <v>0</v>
      </c>
      <c r="J2015" s="18">
        <v>0</v>
      </c>
      <c r="K2015" s="19">
        <v>0</v>
      </c>
      <c r="L2015" s="17"/>
    </row>
    <row r="2016" ht="10.95" customHeight="true" customFormat="true" s="9">
      <c r="A2016" s="16">
        <v>45411</v>
      </c>
      <c r="B2016" s="17" t="s">
        <v>424</v>
      </c>
      <c r="C2016" s="17" t="s">
        <v>425</v>
      </c>
      <c r="D2016" s="17" t="s">
        <v>22</v>
      </c>
      <c r="E2016" s="17" t="s">
        <v>426</v>
      </c>
      <c r="F2016" s="17" t="s">
        <v>523</v>
      </c>
      <c r="G2016" s="18">
        <v>0</v>
      </c>
      <c r="H2016" s="18">
        <v>996.6300</v>
      </c>
      <c r="I2016" s="18">
        <f ca="1">((I2015 + G2016) - H2016)</f>
        <v>0</v>
      </c>
      <c r="J2016" s="18">
        <v>0</v>
      </c>
      <c r="K2016" s="19">
        <v>0</v>
      </c>
      <c r="L2016" s="17"/>
    </row>
    <row r="2017" ht="10.95" customHeight="true" customFormat="true" s="9">
      <c r="A2017" s="16">
        <v>45411</v>
      </c>
      <c r="B2017" s="17" t="s">
        <v>424</v>
      </c>
      <c r="C2017" s="17" t="s">
        <v>425</v>
      </c>
      <c r="D2017" s="17" t="s">
        <v>22</v>
      </c>
      <c r="E2017" s="17" t="s">
        <v>426</v>
      </c>
      <c r="F2017" s="17" t="s">
        <v>523</v>
      </c>
      <c r="G2017" s="18">
        <v>0</v>
      </c>
      <c r="H2017" s="18">
        <v>216.0000</v>
      </c>
      <c r="I2017" s="18">
        <f ca="1">((I2016 + G2017) - H2017)</f>
        <v>0</v>
      </c>
      <c r="J2017" s="18">
        <v>0</v>
      </c>
      <c r="K2017" s="19">
        <v>0</v>
      </c>
      <c r="L2017" s="17"/>
    </row>
    <row r="2018" ht="10.95" customHeight="true" customFormat="true" s="9">
      <c r="A2018" s="16">
        <v>45411</v>
      </c>
      <c r="B2018" s="17" t="s">
        <v>424</v>
      </c>
      <c r="C2018" s="17" t="s">
        <v>425</v>
      </c>
      <c r="D2018" s="17" t="s">
        <v>19</v>
      </c>
      <c r="E2018" s="17" t="s">
        <v>428</v>
      </c>
      <c r="F2018" s="17"/>
      <c r="G2018" s="18">
        <v>4741.3500</v>
      </c>
      <c r="H2018" s="18">
        <v>0</v>
      </c>
      <c r="I2018" s="18">
        <f ca="1">((I2017 + G2018) - H2018)</f>
        <v>0</v>
      </c>
      <c r="J2018" s="18">
        <v>0</v>
      </c>
      <c r="K2018" s="19">
        <v>0</v>
      </c>
      <c r="L2018" s="17"/>
    </row>
    <row r="2019" ht="10.95" customHeight="true" customFormat="true" s="9">
      <c r="A2019" s="16">
        <v>45412</v>
      </c>
      <c r="B2019" s="17" t="s">
        <v>424</v>
      </c>
      <c r="C2019" s="17" t="s">
        <v>425</v>
      </c>
      <c r="D2019" s="17" t="s">
        <v>22</v>
      </c>
      <c r="E2019" s="17" t="s">
        <v>431</v>
      </c>
      <c r="F2019" s="17"/>
      <c r="G2019" s="18">
        <v>0</v>
      </c>
      <c r="H2019" s="18">
        <v>65.0000</v>
      </c>
      <c r="I2019" s="18">
        <f ca="1">((I2018 + G2019) - H2019)</f>
        <v>0</v>
      </c>
      <c r="J2019" s="18">
        <v>0</v>
      </c>
      <c r="K2019" s="19">
        <v>0</v>
      </c>
      <c r="L2019" s="17"/>
    </row>
    <row r="2020" ht="10.95" customHeight="true" customFormat="true" s="9">
      <c r="A2020" s="16">
        <v>45412</v>
      </c>
      <c r="B2020" s="17" t="s">
        <v>424</v>
      </c>
      <c r="C2020" s="17" t="s">
        <v>425</v>
      </c>
      <c r="D2020" s="17" t="s">
        <v>22</v>
      </c>
      <c r="E2020" s="17" t="s">
        <v>447</v>
      </c>
      <c r="F2020" s="17"/>
      <c r="G2020" s="18">
        <v>0</v>
      </c>
      <c r="H2020" s="18">
        <v>10.0000</v>
      </c>
      <c r="I2020" s="18">
        <f ca="1">((I2019 + G2020) - H2020)</f>
        <v>0</v>
      </c>
      <c r="J2020" s="18">
        <v>0</v>
      </c>
      <c r="K2020" s="19">
        <v>0</v>
      </c>
      <c r="L2020" s="17"/>
    </row>
    <row r="2021" ht="10.95" customHeight="true" customFormat="true" s="9">
      <c r="A2021" s="16">
        <v>45413</v>
      </c>
      <c r="B2021" s="17" t="s">
        <v>424</v>
      </c>
      <c r="C2021" s="17" t="s">
        <v>425</v>
      </c>
      <c r="D2021" s="17" t="s">
        <v>22</v>
      </c>
      <c r="E2021" s="17" t="s">
        <v>433</v>
      </c>
      <c r="F2021" s="17"/>
      <c r="G2021" s="18">
        <v>0</v>
      </c>
      <c r="H2021" s="18">
        <v>818.3100</v>
      </c>
      <c r="I2021" s="18">
        <f ca="1">((I2020 + G2021) - H2021)</f>
        <v>0</v>
      </c>
      <c r="J2021" s="18">
        <v>0</v>
      </c>
      <c r="K2021" s="19">
        <v>0</v>
      </c>
      <c r="L2021" s="17"/>
    </row>
    <row r="2022" ht="10.95" customHeight="true" customFormat="true" s="9">
      <c r="A2022" s="16">
        <v>45413</v>
      </c>
      <c r="B2022" s="17" t="s">
        <v>424</v>
      </c>
      <c r="C2022" s="17" t="s">
        <v>425</v>
      </c>
      <c r="D2022" s="17" t="s">
        <v>19</v>
      </c>
      <c r="E2022" s="17" t="s">
        <v>428</v>
      </c>
      <c r="F2022" s="17"/>
      <c r="G2022" s="18">
        <v>2641.2500</v>
      </c>
      <c r="H2022" s="18">
        <v>0</v>
      </c>
      <c r="I2022" s="18">
        <f ca="1">((I2021 + G2022) - H2022)</f>
        <v>0</v>
      </c>
      <c r="J2022" s="18">
        <v>0</v>
      </c>
      <c r="K2022" s="19">
        <v>0</v>
      </c>
      <c r="L2022" s="17"/>
    </row>
    <row r="2023" ht="10.95" customHeight="true" customFormat="true" s="9">
      <c r="A2023" s="16">
        <v>45413</v>
      </c>
      <c r="B2023" s="17" t="s">
        <v>424</v>
      </c>
      <c r="C2023" s="17" t="s">
        <v>425</v>
      </c>
      <c r="D2023" s="17" t="s">
        <v>22</v>
      </c>
      <c r="E2023" s="17" t="s">
        <v>433</v>
      </c>
      <c r="F2023" s="17"/>
      <c r="G2023" s="18">
        <v>0</v>
      </c>
      <c r="H2023" s="18">
        <v>39.6300</v>
      </c>
      <c r="I2023" s="18">
        <f ca="1">((I2022 + G2023) - H2023)</f>
        <v>0</v>
      </c>
      <c r="J2023" s="18">
        <v>0</v>
      </c>
      <c r="K2023" s="19">
        <v>0</v>
      </c>
      <c r="L2023" s="17"/>
    </row>
    <row r="2024" ht="10.95" customHeight="true" customFormat="true" s="9">
      <c r="A2024" s="16">
        <v>45414</v>
      </c>
      <c r="B2024" s="17" t="s">
        <v>424</v>
      </c>
      <c r="C2024" s="17" t="s">
        <v>425</v>
      </c>
      <c r="D2024" s="17" t="s">
        <v>19</v>
      </c>
      <c r="E2024" s="17" t="s">
        <v>428</v>
      </c>
      <c r="F2024" s="17"/>
      <c r="G2024" s="18">
        <v>2571.4500</v>
      </c>
      <c r="H2024" s="18">
        <v>0</v>
      </c>
      <c r="I2024" s="18">
        <f ca="1">((I2023 + G2024) - H2024)</f>
        <v>0</v>
      </c>
      <c r="J2024" s="18">
        <v>0</v>
      </c>
      <c r="K2024" s="19">
        <v>0</v>
      </c>
      <c r="L2024" s="17"/>
    </row>
    <row r="2025" ht="10.95" customHeight="true" customFormat="true" s="9">
      <c r="A2025" s="16">
        <v>45415</v>
      </c>
      <c r="B2025" s="17" t="s">
        <v>424</v>
      </c>
      <c r="C2025" s="17" t="s">
        <v>425</v>
      </c>
      <c r="D2025" s="17" t="s">
        <v>22</v>
      </c>
      <c r="E2025" s="17" t="s">
        <v>466</v>
      </c>
      <c r="F2025" s="17"/>
      <c r="G2025" s="18">
        <v>0</v>
      </c>
      <c r="H2025" s="18">
        <v>999.4100</v>
      </c>
      <c r="I2025" s="18">
        <f ca="1">((I2024 + G2025) - H2025)</f>
        <v>0</v>
      </c>
      <c r="J2025" s="18">
        <v>0</v>
      </c>
      <c r="K2025" s="19">
        <v>0</v>
      </c>
      <c r="L2025" s="17"/>
    </row>
    <row r="2026" ht="10.95" customHeight="true" customFormat="true" s="9">
      <c r="A2026" s="16">
        <v>45415</v>
      </c>
      <c r="B2026" s="17" t="s">
        <v>424</v>
      </c>
      <c r="C2026" s="17" t="s">
        <v>425</v>
      </c>
      <c r="D2026" s="17" t="s">
        <v>19</v>
      </c>
      <c r="E2026" s="17" t="s">
        <v>428</v>
      </c>
      <c r="F2026" s="17"/>
      <c r="G2026" s="18">
        <v>3243.2500</v>
      </c>
      <c r="H2026" s="18">
        <v>0</v>
      </c>
      <c r="I2026" s="18">
        <f ca="1">((I2025 + G2026) - H2026)</f>
        <v>0</v>
      </c>
      <c r="J2026" s="18">
        <v>0</v>
      </c>
      <c r="K2026" s="19">
        <v>0</v>
      </c>
      <c r="L2026" s="17"/>
    </row>
    <row r="2027" ht="10.95" customHeight="true" customFormat="true" s="9">
      <c r="A2027" s="16">
        <v>45418</v>
      </c>
      <c r="B2027" s="17" t="s">
        <v>424</v>
      </c>
      <c r="C2027" s="17" t="s">
        <v>425</v>
      </c>
      <c r="D2027" s="17" t="s">
        <v>19</v>
      </c>
      <c r="E2027" s="17" t="s">
        <v>428</v>
      </c>
      <c r="F2027" s="17"/>
      <c r="G2027" s="18">
        <v>2929.8500</v>
      </c>
      <c r="H2027" s="18">
        <v>0</v>
      </c>
      <c r="I2027" s="18">
        <f ca="1">((I2026 + G2027) - H2027)</f>
        <v>0</v>
      </c>
      <c r="J2027" s="18">
        <v>0</v>
      </c>
      <c r="K2027" s="19">
        <v>0</v>
      </c>
      <c r="L2027" s="17"/>
    </row>
    <row r="2028" ht="10.95" customHeight="true" customFormat="true" s="9">
      <c r="A2028" s="16">
        <v>45418</v>
      </c>
      <c r="B2028" s="17" t="s">
        <v>424</v>
      </c>
      <c r="C2028" s="17" t="s">
        <v>425</v>
      </c>
      <c r="D2028" s="17" t="s">
        <v>22</v>
      </c>
      <c r="E2028" s="17" t="s">
        <v>430</v>
      </c>
      <c r="F2028" s="17"/>
      <c r="G2028" s="18">
        <v>0</v>
      </c>
      <c r="H2028" s="18">
        <v>2585.1200</v>
      </c>
      <c r="I2028" s="18">
        <f ca="1">((I2027 + G2028) - H2028)</f>
        <v>0</v>
      </c>
      <c r="J2028" s="18">
        <v>0</v>
      </c>
      <c r="K2028" s="19">
        <v>0</v>
      </c>
      <c r="L2028" s="17"/>
    </row>
    <row r="2029" ht="10.95" customHeight="true" customFormat="true" s="9">
      <c r="A2029" s="16">
        <v>45418</v>
      </c>
      <c r="B2029" s="17" t="s">
        <v>424</v>
      </c>
      <c r="C2029" s="17" t="s">
        <v>425</v>
      </c>
      <c r="D2029" s="17" t="s">
        <v>22</v>
      </c>
      <c r="E2029" s="17" t="s">
        <v>34</v>
      </c>
      <c r="F2029" s="17"/>
      <c r="G2029" s="18">
        <v>0</v>
      </c>
      <c r="H2029" s="18">
        <v>2795.5000</v>
      </c>
      <c r="I2029" s="18">
        <f ca="1">((I2028 + G2029) - H2029)</f>
        <v>0</v>
      </c>
      <c r="J2029" s="18">
        <v>0</v>
      </c>
      <c r="K2029" s="19">
        <v>0</v>
      </c>
      <c r="L2029" s="17"/>
    </row>
    <row r="2030" ht="10.95" customHeight="true" customFormat="true" s="9">
      <c r="A2030" s="16">
        <v>45418</v>
      </c>
      <c r="B2030" s="17" t="s">
        <v>424</v>
      </c>
      <c r="C2030" s="17" t="s">
        <v>425</v>
      </c>
      <c r="D2030" s="17" t="s">
        <v>22</v>
      </c>
      <c r="E2030" s="17" t="s">
        <v>430</v>
      </c>
      <c r="F2030" s="17"/>
      <c r="G2030" s="18">
        <v>0</v>
      </c>
      <c r="H2030" s="18">
        <v>1017.9300</v>
      </c>
      <c r="I2030" s="18">
        <f ca="1">((I2029 + G2030) - H2030)</f>
        <v>0</v>
      </c>
      <c r="J2030" s="18">
        <v>0</v>
      </c>
      <c r="K2030" s="19">
        <v>0</v>
      </c>
      <c r="L2030" s="17"/>
    </row>
    <row r="2031" ht="10.95" customHeight="true" customFormat="true" s="9">
      <c r="A2031" s="16">
        <v>45418</v>
      </c>
      <c r="B2031" s="17" t="s">
        <v>424</v>
      </c>
      <c r="C2031" s="17" t="s">
        <v>425</v>
      </c>
      <c r="D2031" s="17" t="s">
        <v>22</v>
      </c>
      <c r="E2031" s="17" t="s">
        <v>426</v>
      </c>
      <c r="F2031" s="17" t="s">
        <v>524</v>
      </c>
      <c r="G2031" s="18">
        <v>0</v>
      </c>
      <c r="H2031" s="18">
        <v>828.7500</v>
      </c>
      <c r="I2031" s="18">
        <f ca="1">((I2030 + G2031) - H2031)</f>
        <v>0</v>
      </c>
      <c r="J2031" s="18">
        <v>0</v>
      </c>
      <c r="K2031" s="19">
        <v>0</v>
      </c>
      <c r="L2031" s="17"/>
    </row>
    <row r="2032" ht="10.95" customHeight="true" customFormat="true" s="9">
      <c r="A2032" s="16">
        <v>45418</v>
      </c>
      <c r="B2032" s="17" t="s">
        <v>424</v>
      </c>
      <c r="C2032" s="17" t="s">
        <v>425</v>
      </c>
      <c r="D2032" s="17" t="s">
        <v>19</v>
      </c>
      <c r="E2032" s="17" t="s">
        <v>428</v>
      </c>
      <c r="F2032" s="17"/>
      <c r="G2032" s="18">
        <v>5021.4000</v>
      </c>
      <c r="H2032" s="18">
        <v>0</v>
      </c>
      <c r="I2032" s="18">
        <f ca="1">((I2031 + G2032) - H2032)</f>
        <v>0</v>
      </c>
      <c r="J2032" s="18">
        <v>0</v>
      </c>
      <c r="K2032" s="19">
        <v>0</v>
      </c>
      <c r="L2032" s="17"/>
    </row>
    <row r="2033" ht="10.95" customHeight="true" customFormat="true" s="9">
      <c r="A2033" s="16">
        <v>45418</v>
      </c>
      <c r="B2033" s="17" t="s">
        <v>424</v>
      </c>
      <c r="C2033" s="17" t="s">
        <v>425</v>
      </c>
      <c r="D2033" s="17" t="s">
        <v>22</v>
      </c>
      <c r="E2033" s="17" t="s">
        <v>426</v>
      </c>
      <c r="F2033" s="17" t="s">
        <v>524</v>
      </c>
      <c r="G2033" s="18">
        <v>0</v>
      </c>
      <c r="H2033" s="18">
        <v>2000.0000</v>
      </c>
      <c r="I2033" s="18">
        <f ca="1">((I2032 + G2033) - H2033)</f>
        <v>0</v>
      </c>
      <c r="J2033" s="18">
        <v>0</v>
      </c>
      <c r="K2033" s="19">
        <v>0</v>
      </c>
      <c r="L2033" s="17"/>
    </row>
    <row r="2034" ht="10.95" customHeight="true" customFormat="true" s="9">
      <c r="A2034" s="16">
        <v>45418</v>
      </c>
      <c r="B2034" s="17" t="s">
        <v>424</v>
      </c>
      <c r="C2034" s="17" t="s">
        <v>425</v>
      </c>
      <c r="D2034" s="17" t="s">
        <v>22</v>
      </c>
      <c r="E2034" s="17" t="s">
        <v>426</v>
      </c>
      <c r="F2034" s="17" t="s">
        <v>525</v>
      </c>
      <c r="G2034" s="18">
        <v>0</v>
      </c>
      <c r="H2034" s="18">
        <v>1342.9000</v>
      </c>
      <c r="I2034" s="18">
        <f ca="1">((I2033 + G2034) - H2034)</f>
        <v>0</v>
      </c>
      <c r="J2034" s="18">
        <v>0</v>
      </c>
      <c r="K2034" s="19">
        <v>0</v>
      </c>
      <c r="L2034" s="17"/>
    </row>
    <row r="2035" ht="10.95" customHeight="true" customFormat="true" s="9">
      <c r="A2035" s="16">
        <v>45418</v>
      </c>
      <c r="B2035" s="17" t="s">
        <v>424</v>
      </c>
      <c r="C2035" s="17" t="s">
        <v>425</v>
      </c>
      <c r="D2035" s="17" t="s">
        <v>22</v>
      </c>
      <c r="E2035" s="17" t="s">
        <v>426</v>
      </c>
      <c r="F2035" s="17" t="s">
        <v>524</v>
      </c>
      <c r="G2035" s="18">
        <v>0</v>
      </c>
      <c r="H2035" s="18">
        <v>419.9000</v>
      </c>
      <c r="I2035" s="18">
        <f ca="1">((I2034 + G2035) - H2035)</f>
        <v>0</v>
      </c>
      <c r="J2035" s="18">
        <v>0</v>
      </c>
      <c r="K2035" s="19">
        <v>0</v>
      </c>
      <c r="L2035" s="17"/>
    </row>
    <row r="2036" ht="10.95" customHeight="true" customFormat="true" s="9">
      <c r="A2036" s="16">
        <v>45418</v>
      </c>
      <c r="B2036" s="17" t="s">
        <v>424</v>
      </c>
      <c r="C2036" s="17" t="s">
        <v>425</v>
      </c>
      <c r="D2036" s="17" t="s">
        <v>22</v>
      </c>
      <c r="E2036" s="17" t="s">
        <v>426</v>
      </c>
      <c r="F2036" s="17" t="s">
        <v>524</v>
      </c>
      <c r="G2036" s="18">
        <v>0</v>
      </c>
      <c r="H2036" s="18">
        <v>629.0000</v>
      </c>
      <c r="I2036" s="18">
        <f ca="1">((I2035 + G2036) - H2036)</f>
        <v>0</v>
      </c>
      <c r="J2036" s="18">
        <v>0</v>
      </c>
      <c r="K2036" s="19">
        <v>0</v>
      </c>
      <c r="L2036" s="17"/>
    </row>
    <row r="2037" ht="10.95" customHeight="true" customFormat="true" s="9">
      <c r="A2037" s="16">
        <v>45418</v>
      </c>
      <c r="B2037" s="17" t="s">
        <v>424</v>
      </c>
      <c r="C2037" s="17" t="s">
        <v>425</v>
      </c>
      <c r="D2037" s="17" t="s">
        <v>19</v>
      </c>
      <c r="E2037" s="17" t="s">
        <v>428</v>
      </c>
      <c r="F2037" s="17"/>
      <c r="G2037" s="18">
        <v>6134.8500</v>
      </c>
      <c r="H2037" s="18">
        <v>0</v>
      </c>
      <c r="I2037" s="18">
        <f ca="1">((I2036 + G2037) - H2037)</f>
        <v>0</v>
      </c>
      <c r="J2037" s="18">
        <v>0</v>
      </c>
      <c r="K2037" s="19">
        <v>0</v>
      </c>
      <c r="L2037" s="17"/>
    </row>
    <row r="2038" ht="10.95" customHeight="true" customFormat="true" s="9">
      <c r="A2038" s="16">
        <v>45418</v>
      </c>
      <c r="B2038" s="17" t="s">
        <v>424</v>
      </c>
      <c r="C2038" s="17" t="s">
        <v>425</v>
      </c>
      <c r="D2038" s="17" t="s">
        <v>22</v>
      </c>
      <c r="E2038" s="17" t="s">
        <v>426</v>
      </c>
      <c r="F2038" s="17" t="s">
        <v>524</v>
      </c>
      <c r="G2038" s="18">
        <v>0</v>
      </c>
      <c r="H2038" s="18">
        <v>144.0000</v>
      </c>
      <c r="I2038" s="18">
        <f ca="1">((I2037 + G2038) - H2038)</f>
        <v>0</v>
      </c>
      <c r="J2038" s="18">
        <v>0</v>
      </c>
      <c r="K2038" s="19">
        <v>0</v>
      </c>
      <c r="L2038" s="17"/>
    </row>
    <row r="2039" ht="10.95" customHeight="true" customFormat="true" s="9">
      <c r="A2039" s="16">
        <v>45419</v>
      </c>
      <c r="B2039" s="17" t="s">
        <v>424</v>
      </c>
      <c r="C2039" s="17" t="s">
        <v>425</v>
      </c>
      <c r="D2039" s="17" t="s">
        <v>19</v>
      </c>
      <c r="E2039" s="17" t="s">
        <v>24</v>
      </c>
      <c r="F2039" s="17"/>
      <c r="G2039" s="18">
        <v>150.0000</v>
      </c>
      <c r="H2039" s="18">
        <v>0</v>
      </c>
      <c r="I2039" s="18">
        <f ca="1">((I2038 + G2039) - H2039)</f>
        <v>0</v>
      </c>
      <c r="J2039" s="18">
        <v>0</v>
      </c>
      <c r="K2039" s="19">
        <v>0</v>
      </c>
      <c r="L2039" s="17"/>
    </row>
    <row r="2040" ht="10.95" customHeight="true" customFormat="true" s="9">
      <c r="A2040" s="16">
        <v>45420</v>
      </c>
      <c r="B2040" s="17" t="s">
        <v>424</v>
      </c>
      <c r="C2040" s="17" t="s">
        <v>425</v>
      </c>
      <c r="D2040" s="17" t="s">
        <v>19</v>
      </c>
      <c r="E2040" s="17" t="s">
        <v>428</v>
      </c>
      <c r="F2040" s="17"/>
      <c r="G2040" s="18">
        <v>2327.9500</v>
      </c>
      <c r="H2040" s="18">
        <v>0</v>
      </c>
      <c r="I2040" s="18">
        <f ca="1">((I2039 + G2040) - H2040)</f>
        <v>0</v>
      </c>
      <c r="J2040" s="18">
        <v>0</v>
      </c>
      <c r="K2040" s="19">
        <v>0</v>
      </c>
      <c r="L2040" s="17"/>
    </row>
    <row r="2041" ht="10.95" customHeight="true" customFormat="true" s="9">
      <c r="A2041" s="16">
        <v>45420</v>
      </c>
      <c r="B2041" s="17" t="s">
        <v>424</v>
      </c>
      <c r="C2041" s="17" t="s">
        <v>425</v>
      </c>
      <c r="D2041" s="17" t="s">
        <v>22</v>
      </c>
      <c r="E2041" s="17" t="s">
        <v>430</v>
      </c>
      <c r="F2041" s="17"/>
      <c r="G2041" s="18">
        <v>0</v>
      </c>
      <c r="H2041" s="18">
        <v>1105.3300</v>
      </c>
      <c r="I2041" s="18">
        <f ca="1">((I2040 + G2041) - H2041)</f>
        <v>0</v>
      </c>
      <c r="J2041" s="18">
        <v>0</v>
      </c>
      <c r="K2041" s="19">
        <v>0</v>
      </c>
      <c r="L2041" s="17"/>
    </row>
    <row r="2042" ht="10.95" customHeight="true" customFormat="true" s="9">
      <c r="A2042" s="16">
        <v>45421</v>
      </c>
      <c r="B2042" s="17" t="s">
        <v>424</v>
      </c>
      <c r="C2042" s="17" t="s">
        <v>425</v>
      </c>
      <c r="D2042" s="17" t="s">
        <v>19</v>
      </c>
      <c r="E2042" s="17" t="s">
        <v>428</v>
      </c>
      <c r="F2042" s="17"/>
      <c r="G2042" s="18">
        <v>2687.0500</v>
      </c>
      <c r="H2042" s="18">
        <v>0</v>
      </c>
      <c r="I2042" s="18">
        <f ca="1">((I2041 + G2042) - H2042)</f>
        <v>0</v>
      </c>
      <c r="J2042" s="18">
        <v>0</v>
      </c>
      <c r="K2042" s="19">
        <v>0</v>
      </c>
      <c r="L2042" s="17"/>
    </row>
    <row r="2043" ht="10.95" customHeight="true" customFormat="true" s="9">
      <c r="A2043" s="16">
        <v>45422</v>
      </c>
      <c r="B2043" s="17" t="s">
        <v>424</v>
      </c>
      <c r="C2043" s="17" t="s">
        <v>425</v>
      </c>
      <c r="D2043" s="17" t="s">
        <v>19</v>
      </c>
      <c r="E2043" s="17" t="s">
        <v>428</v>
      </c>
      <c r="F2043" s="17"/>
      <c r="G2043" s="18">
        <v>2464.6500</v>
      </c>
      <c r="H2043" s="18">
        <v>0</v>
      </c>
      <c r="I2043" s="18">
        <f ca="1">((I2042 + G2043) - H2043)</f>
        <v>0</v>
      </c>
      <c r="J2043" s="18">
        <v>0</v>
      </c>
      <c r="K2043" s="19">
        <v>0</v>
      </c>
      <c r="L2043" s="17"/>
    </row>
    <row r="2044" ht="10.95" customHeight="true" customFormat="true" s="9">
      <c r="A2044" s="16">
        <v>45425</v>
      </c>
      <c r="B2044" s="17" t="s">
        <v>424</v>
      </c>
      <c r="C2044" s="17" t="s">
        <v>425</v>
      </c>
      <c r="D2044" s="17" t="s">
        <v>22</v>
      </c>
      <c r="E2044" s="17" t="s">
        <v>34</v>
      </c>
      <c r="F2044" s="17"/>
      <c r="G2044" s="18">
        <v>0</v>
      </c>
      <c r="H2044" s="18">
        <v>2359.5000</v>
      </c>
      <c r="I2044" s="18">
        <f ca="1">((I2043 + G2044) - H2044)</f>
        <v>0</v>
      </c>
      <c r="J2044" s="18">
        <v>0</v>
      </c>
      <c r="K2044" s="19">
        <v>0</v>
      </c>
      <c r="L2044" s="17"/>
    </row>
    <row r="2045" ht="10.95" customHeight="true" customFormat="true" s="9">
      <c r="A2045" s="16">
        <v>45425</v>
      </c>
      <c r="B2045" s="17" t="s">
        <v>424</v>
      </c>
      <c r="C2045" s="17" t="s">
        <v>425</v>
      </c>
      <c r="D2045" s="17" t="s">
        <v>22</v>
      </c>
      <c r="E2045" s="17" t="s">
        <v>426</v>
      </c>
      <c r="F2045" s="17" t="s">
        <v>526</v>
      </c>
      <c r="G2045" s="18">
        <v>0</v>
      </c>
      <c r="H2045" s="18">
        <v>629.0000</v>
      </c>
      <c r="I2045" s="18">
        <f ca="1">((I2044 + G2045) - H2045)</f>
        <v>0</v>
      </c>
      <c r="J2045" s="18">
        <v>0</v>
      </c>
      <c r="K2045" s="19">
        <v>0</v>
      </c>
      <c r="L2045" s="17"/>
    </row>
    <row r="2046" ht="10.95" customHeight="true" customFormat="true" s="9">
      <c r="A2046" s="16">
        <v>45425</v>
      </c>
      <c r="B2046" s="17" t="s">
        <v>424</v>
      </c>
      <c r="C2046" s="17" t="s">
        <v>425</v>
      </c>
      <c r="D2046" s="17" t="s">
        <v>19</v>
      </c>
      <c r="E2046" s="17" t="s">
        <v>24</v>
      </c>
      <c r="F2046" s="17"/>
      <c r="G2046" s="18">
        <v>148.0000</v>
      </c>
      <c r="H2046" s="18">
        <v>0</v>
      </c>
      <c r="I2046" s="18">
        <f ca="1">((I2045 + G2046) - H2046)</f>
        <v>0</v>
      </c>
      <c r="J2046" s="18">
        <v>0</v>
      </c>
      <c r="K2046" s="19">
        <v>0</v>
      </c>
      <c r="L2046" s="17"/>
    </row>
    <row r="2047" ht="10.95" customHeight="true" customFormat="true" s="9">
      <c r="A2047" s="16">
        <v>45425</v>
      </c>
      <c r="B2047" s="17" t="s">
        <v>424</v>
      </c>
      <c r="C2047" s="17" t="s">
        <v>425</v>
      </c>
      <c r="D2047" s="17" t="s">
        <v>22</v>
      </c>
      <c r="E2047" s="17" t="s">
        <v>426</v>
      </c>
      <c r="F2047" s="17" t="s">
        <v>526</v>
      </c>
      <c r="G2047" s="18">
        <v>0</v>
      </c>
      <c r="H2047" s="18">
        <v>1235.0500</v>
      </c>
      <c r="I2047" s="18">
        <f ca="1">((I2046 + G2047) - H2047)</f>
        <v>0</v>
      </c>
      <c r="J2047" s="18">
        <v>0</v>
      </c>
      <c r="K2047" s="19">
        <v>0</v>
      </c>
      <c r="L2047" s="17"/>
    </row>
    <row r="2048" ht="10.95" customHeight="true" customFormat="true" s="9">
      <c r="A2048" s="16">
        <v>45425</v>
      </c>
      <c r="B2048" s="17" t="s">
        <v>424</v>
      </c>
      <c r="C2048" s="17" t="s">
        <v>425</v>
      </c>
      <c r="D2048" s="17" t="s">
        <v>19</v>
      </c>
      <c r="E2048" s="17" t="s">
        <v>428</v>
      </c>
      <c r="F2048" s="17"/>
      <c r="G2048" s="18">
        <v>8892.1000</v>
      </c>
      <c r="H2048" s="18">
        <v>0</v>
      </c>
      <c r="I2048" s="18">
        <f ca="1">((I2047 + G2048) - H2048)</f>
        <v>0</v>
      </c>
      <c r="J2048" s="18">
        <v>0</v>
      </c>
      <c r="K2048" s="19">
        <v>0</v>
      </c>
      <c r="L2048" s="17"/>
    </row>
    <row r="2049" ht="10.95" customHeight="true" customFormat="true" s="9">
      <c r="A2049" s="16">
        <v>45425</v>
      </c>
      <c r="B2049" s="17" t="s">
        <v>424</v>
      </c>
      <c r="C2049" s="17" t="s">
        <v>425</v>
      </c>
      <c r="D2049" s="17" t="s">
        <v>19</v>
      </c>
      <c r="E2049" s="17" t="s">
        <v>428</v>
      </c>
      <c r="F2049" s="17"/>
      <c r="G2049" s="18">
        <v>6146.9500</v>
      </c>
      <c r="H2049" s="18">
        <v>0</v>
      </c>
      <c r="I2049" s="18">
        <f ca="1">((I2048 + G2049) - H2049)</f>
        <v>0</v>
      </c>
      <c r="J2049" s="18">
        <v>0</v>
      </c>
      <c r="K2049" s="19">
        <v>0</v>
      </c>
      <c r="L2049" s="17"/>
    </row>
    <row r="2050" ht="10.95" customHeight="true" customFormat="true" s="9">
      <c r="A2050" s="16">
        <v>45425</v>
      </c>
      <c r="B2050" s="17" t="s">
        <v>424</v>
      </c>
      <c r="C2050" s="17" t="s">
        <v>425</v>
      </c>
      <c r="D2050" s="17" t="s">
        <v>19</v>
      </c>
      <c r="E2050" s="17" t="s">
        <v>428</v>
      </c>
      <c r="F2050" s="17"/>
      <c r="G2050" s="18">
        <v>2824.5000</v>
      </c>
      <c r="H2050" s="18">
        <v>0</v>
      </c>
      <c r="I2050" s="18">
        <f ca="1">((I2049 + G2050) - H2050)</f>
        <v>0</v>
      </c>
      <c r="J2050" s="18">
        <v>0</v>
      </c>
      <c r="K2050" s="19">
        <v>0</v>
      </c>
      <c r="L2050" s="17"/>
    </row>
    <row r="2051" ht="10.95" customHeight="true" customFormat="true" s="9">
      <c r="A2051" s="16">
        <v>45425</v>
      </c>
      <c r="B2051" s="17" t="s">
        <v>424</v>
      </c>
      <c r="C2051" s="17" t="s">
        <v>425</v>
      </c>
      <c r="D2051" s="17" t="s">
        <v>22</v>
      </c>
      <c r="E2051" s="17" t="s">
        <v>426</v>
      </c>
      <c r="F2051" s="17" t="s">
        <v>526</v>
      </c>
      <c r="G2051" s="18">
        <v>0</v>
      </c>
      <c r="H2051" s="18">
        <v>2000.0000</v>
      </c>
      <c r="I2051" s="18">
        <f ca="1">((I2050 + G2051) - H2051)</f>
        <v>0</v>
      </c>
      <c r="J2051" s="18">
        <v>0</v>
      </c>
      <c r="K2051" s="19">
        <v>0</v>
      </c>
      <c r="L2051" s="17"/>
    </row>
    <row r="2052" ht="10.95" customHeight="true" customFormat="true" s="9">
      <c r="A2052" s="16">
        <v>45425</v>
      </c>
      <c r="B2052" s="17" t="s">
        <v>424</v>
      </c>
      <c r="C2052" s="17" t="s">
        <v>425</v>
      </c>
      <c r="D2052" s="17" t="s">
        <v>22</v>
      </c>
      <c r="E2052" s="17" t="s">
        <v>430</v>
      </c>
      <c r="F2052" s="17"/>
      <c r="G2052" s="18">
        <v>0</v>
      </c>
      <c r="H2052" s="18">
        <v>2424.8200</v>
      </c>
      <c r="I2052" s="18">
        <f ca="1">((I2051 + G2052) - H2052)</f>
        <v>0</v>
      </c>
      <c r="J2052" s="18">
        <v>0</v>
      </c>
      <c r="K2052" s="19">
        <v>0</v>
      </c>
      <c r="L2052" s="17"/>
    </row>
    <row r="2053" ht="10.95" customHeight="true" customFormat="true" s="9">
      <c r="A2053" s="16">
        <v>45425</v>
      </c>
      <c r="B2053" s="17" t="s">
        <v>424</v>
      </c>
      <c r="C2053" s="17" t="s">
        <v>425</v>
      </c>
      <c r="D2053" s="17" t="s">
        <v>22</v>
      </c>
      <c r="E2053" s="17" t="s">
        <v>426</v>
      </c>
      <c r="F2053" s="17" t="s">
        <v>526</v>
      </c>
      <c r="G2053" s="18">
        <v>0</v>
      </c>
      <c r="H2053" s="18">
        <v>1342.9000</v>
      </c>
      <c r="I2053" s="18">
        <f ca="1">((I2052 + G2053) - H2053)</f>
        <v>0</v>
      </c>
      <c r="J2053" s="18">
        <v>0</v>
      </c>
      <c r="K2053" s="19">
        <v>0</v>
      </c>
      <c r="L2053" s="17"/>
    </row>
    <row r="2054" ht="10.95" customHeight="true" customFormat="true" s="9">
      <c r="A2054" s="16">
        <v>45425</v>
      </c>
      <c r="B2054" s="17" t="s">
        <v>424</v>
      </c>
      <c r="C2054" s="17" t="s">
        <v>425</v>
      </c>
      <c r="D2054" s="17" t="s">
        <v>22</v>
      </c>
      <c r="E2054" s="17" t="s">
        <v>426</v>
      </c>
      <c r="F2054" s="17" t="s">
        <v>526</v>
      </c>
      <c r="G2054" s="18">
        <v>0</v>
      </c>
      <c r="H2054" s="18">
        <v>180.0000</v>
      </c>
      <c r="I2054" s="18">
        <f ca="1">((I2053 + G2054) - H2054)</f>
        <v>0</v>
      </c>
      <c r="J2054" s="18">
        <v>0</v>
      </c>
      <c r="K2054" s="19">
        <v>0</v>
      </c>
      <c r="L2054" s="17"/>
    </row>
    <row r="2055" ht="10.95" customHeight="true" customFormat="true" s="9">
      <c r="A2055" s="16">
        <v>45425</v>
      </c>
      <c r="B2055" s="17" t="s">
        <v>424</v>
      </c>
      <c r="C2055" s="17" t="s">
        <v>425</v>
      </c>
      <c r="D2055" s="17" t="s">
        <v>22</v>
      </c>
      <c r="E2055" s="17" t="s">
        <v>431</v>
      </c>
      <c r="F2055" s="17"/>
      <c r="G2055" s="18">
        <v>0</v>
      </c>
      <c r="H2055" s="18">
        <v>130.0000</v>
      </c>
      <c r="I2055" s="18">
        <f ca="1">((I2054 + G2055) - H2055)</f>
        <v>0</v>
      </c>
      <c r="J2055" s="18">
        <v>0</v>
      </c>
      <c r="K2055" s="19">
        <v>0</v>
      </c>
      <c r="L2055" s="17"/>
    </row>
    <row r="2056" ht="10.95" customHeight="true" customFormat="true" s="9">
      <c r="A2056" s="16">
        <v>45427</v>
      </c>
      <c r="B2056" s="17" t="s">
        <v>424</v>
      </c>
      <c r="C2056" s="17" t="s">
        <v>425</v>
      </c>
      <c r="D2056" s="17" t="s">
        <v>22</v>
      </c>
      <c r="E2056" s="17" t="s">
        <v>433</v>
      </c>
      <c r="F2056" s="17"/>
      <c r="G2056" s="18">
        <v>0</v>
      </c>
      <c r="H2056" s="18">
        <v>954.6300</v>
      </c>
      <c r="I2056" s="18">
        <f ca="1">((I2055 + G2056) - H2056)</f>
        <v>0</v>
      </c>
      <c r="J2056" s="18">
        <v>0</v>
      </c>
      <c r="K2056" s="19">
        <v>0</v>
      </c>
      <c r="L2056" s="17"/>
    </row>
    <row r="2057" ht="10.95" customHeight="true" customFormat="true" s="9">
      <c r="A2057" s="16">
        <v>45427</v>
      </c>
      <c r="B2057" s="17" t="s">
        <v>424</v>
      </c>
      <c r="C2057" s="17" t="s">
        <v>425</v>
      </c>
      <c r="D2057" s="17" t="s">
        <v>19</v>
      </c>
      <c r="E2057" s="17" t="s">
        <v>428</v>
      </c>
      <c r="F2057" s="17"/>
      <c r="G2057" s="18">
        <v>2599.9500</v>
      </c>
      <c r="H2057" s="18">
        <v>0</v>
      </c>
      <c r="I2057" s="18">
        <f ca="1">((I2056 + G2057) - H2057)</f>
        <v>0</v>
      </c>
      <c r="J2057" s="18">
        <v>0</v>
      </c>
      <c r="K2057" s="19">
        <v>0</v>
      </c>
      <c r="L2057" s="17"/>
    </row>
    <row r="2058" ht="10.95" customHeight="true" customFormat="true" s="9">
      <c r="A2058" s="16">
        <v>45428</v>
      </c>
      <c r="B2058" s="17" t="s">
        <v>424</v>
      </c>
      <c r="C2058" s="17" t="s">
        <v>425</v>
      </c>
      <c r="D2058" s="17" t="s">
        <v>19</v>
      </c>
      <c r="E2058" s="17" t="s">
        <v>428</v>
      </c>
      <c r="F2058" s="17"/>
      <c r="G2058" s="18">
        <v>2146.7000</v>
      </c>
      <c r="H2058" s="18">
        <v>0</v>
      </c>
      <c r="I2058" s="18">
        <f ca="1">((I2057 + G2058) - H2058)</f>
        <v>0</v>
      </c>
      <c r="J2058" s="18">
        <v>0</v>
      </c>
      <c r="K2058" s="19">
        <v>0</v>
      </c>
      <c r="L2058" s="17"/>
    </row>
    <row r="2059" ht="10.95" customHeight="true" customFormat="true" s="9">
      <c r="A2059" s="16">
        <v>45429</v>
      </c>
      <c r="B2059" s="17" t="s">
        <v>424</v>
      </c>
      <c r="C2059" s="17" t="s">
        <v>425</v>
      </c>
      <c r="D2059" s="17" t="s">
        <v>22</v>
      </c>
      <c r="E2059" s="17" t="s">
        <v>436</v>
      </c>
      <c r="F2059" s="17"/>
      <c r="G2059" s="18">
        <v>0</v>
      </c>
      <c r="H2059" s="18">
        <v>108.0000</v>
      </c>
      <c r="I2059" s="18">
        <f ca="1">((I2058 + G2059) - H2059)</f>
        <v>0</v>
      </c>
      <c r="J2059" s="18">
        <v>0</v>
      </c>
      <c r="K2059" s="19">
        <v>0</v>
      </c>
      <c r="L2059" s="17"/>
    </row>
    <row r="2060" ht="10.95" customHeight="true" customFormat="true" s="9">
      <c r="A2060" s="16">
        <v>45429</v>
      </c>
      <c r="B2060" s="17" t="s">
        <v>424</v>
      </c>
      <c r="C2060" s="17" t="s">
        <v>425</v>
      </c>
      <c r="D2060" s="17" t="s">
        <v>19</v>
      </c>
      <c r="E2060" s="17" t="s">
        <v>428</v>
      </c>
      <c r="F2060" s="17"/>
      <c r="G2060" s="18">
        <v>2435.9000</v>
      </c>
      <c r="H2060" s="18">
        <v>0</v>
      </c>
      <c r="I2060" s="18">
        <f ca="1">((I2059 + G2060) - H2060)</f>
        <v>0</v>
      </c>
      <c r="J2060" s="18">
        <v>0</v>
      </c>
      <c r="K2060" s="19">
        <v>0</v>
      </c>
      <c r="L2060" s="17"/>
    </row>
    <row r="2061" ht="10.95" customHeight="true" customFormat="true" s="9">
      <c r="A2061" s="16">
        <v>45432</v>
      </c>
      <c r="B2061" s="17" t="s">
        <v>424</v>
      </c>
      <c r="C2061" s="17" t="s">
        <v>425</v>
      </c>
      <c r="D2061" s="17" t="s">
        <v>22</v>
      </c>
      <c r="E2061" s="17" t="s">
        <v>426</v>
      </c>
      <c r="F2061" s="17" t="s">
        <v>527</v>
      </c>
      <c r="G2061" s="18">
        <v>0</v>
      </c>
      <c r="H2061" s="18">
        <v>1342.9000</v>
      </c>
      <c r="I2061" s="18">
        <f ca="1">((I2060 + G2061) - H2061)</f>
        <v>0</v>
      </c>
      <c r="J2061" s="18">
        <v>0</v>
      </c>
      <c r="K2061" s="19">
        <v>0</v>
      </c>
      <c r="L2061" s="17"/>
    </row>
    <row r="2062" ht="10.95" customHeight="true" customFormat="true" s="9">
      <c r="A2062" s="16">
        <v>45432</v>
      </c>
      <c r="B2062" s="17" t="s">
        <v>424</v>
      </c>
      <c r="C2062" s="17" t="s">
        <v>425</v>
      </c>
      <c r="D2062" s="17" t="s">
        <v>22</v>
      </c>
      <c r="E2062" s="17" t="s">
        <v>34</v>
      </c>
      <c r="F2062" s="17"/>
      <c r="G2062" s="18">
        <v>0</v>
      </c>
      <c r="H2062" s="18">
        <v>2380.0000</v>
      </c>
      <c r="I2062" s="18">
        <f ca="1">((I2061 + G2062) - H2062)</f>
        <v>0</v>
      </c>
      <c r="J2062" s="18">
        <v>0</v>
      </c>
      <c r="K2062" s="19">
        <v>0</v>
      </c>
      <c r="L2062" s="17"/>
    </row>
    <row r="2063" ht="10.95" customHeight="true" customFormat="true" s="9">
      <c r="A2063" s="16">
        <v>45432</v>
      </c>
      <c r="B2063" s="17" t="s">
        <v>424</v>
      </c>
      <c r="C2063" s="17" t="s">
        <v>425</v>
      </c>
      <c r="D2063" s="17" t="s">
        <v>19</v>
      </c>
      <c r="E2063" s="17" t="s">
        <v>428</v>
      </c>
      <c r="F2063" s="17"/>
      <c r="G2063" s="18">
        <v>3283.4500</v>
      </c>
      <c r="H2063" s="18">
        <v>0</v>
      </c>
      <c r="I2063" s="18">
        <f ca="1">((I2062 + G2063) - H2063)</f>
        <v>0</v>
      </c>
      <c r="J2063" s="18">
        <v>0</v>
      </c>
      <c r="K2063" s="19">
        <v>0</v>
      </c>
      <c r="L2063" s="17"/>
    </row>
    <row r="2064" ht="10.95" customHeight="true" customFormat="true" s="9">
      <c r="A2064" s="16">
        <v>45432</v>
      </c>
      <c r="B2064" s="17" t="s">
        <v>424</v>
      </c>
      <c r="C2064" s="17" t="s">
        <v>425</v>
      </c>
      <c r="D2064" s="17" t="s">
        <v>22</v>
      </c>
      <c r="E2064" s="17" t="s">
        <v>426</v>
      </c>
      <c r="F2064" s="17" t="s">
        <v>527</v>
      </c>
      <c r="G2064" s="18">
        <v>0</v>
      </c>
      <c r="H2064" s="18">
        <v>1235.0500</v>
      </c>
      <c r="I2064" s="18">
        <f ca="1">((I2063 + G2064) - H2064)</f>
        <v>0</v>
      </c>
      <c r="J2064" s="18">
        <v>0</v>
      </c>
      <c r="K2064" s="19">
        <v>0</v>
      </c>
      <c r="L2064" s="17"/>
    </row>
    <row r="2065" ht="10.95" customHeight="true" customFormat="true" s="9">
      <c r="A2065" s="16">
        <v>45432</v>
      </c>
      <c r="B2065" s="17" t="s">
        <v>424</v>
      </c>
      <c r="C2065" s="17" t="s">
        <v>425</v>
      </c>
      <c r="D2065" s="17" t="s">
        <v>22</v>
      </c>
      <c r="E2065" s="17" t="s">
        <v>430</v>
      </c>
      <c r="F2065" s="17"/>
      <c r="G2065" s="18">
        <v>0</v>
      </c>
      <c r="H2065" s="18">
        <v>1622.7500</v>
      </c>
      <c r="I2065" s="18">
        <f ca="1">((I2064 + G2065) - H2065)</f>
        <v>0</v>
      </c>
      <c r="J2065" s="18">
        <v>0</v>
      </c>
      <c r="K2065" s="19">
        <v>0</v>
      </c>
      <c r="L2065" s="17"/>
    </row>
    <row r="2066" ht="10.95" customHeight="true" customFormat="true" s="9">
      <c r="A2066" s="16">
        <v>45432</v>
      </c>
      <c r="B2066" s="17" t="s">
        <v>424</v>
      </c>
      <c r="C2066" s="17" t="s">
        <v>425</v>
      </c>
      <c r="D2066" s="17" t="s">
        <v>22</v>
      </c>
      <c r="E2066" s="17" t="s">
        <v>426</v>
      </c>
      <c r="F2066" s="17" t="s">
        <v>527</v>
      </c>
      <c r="G2066" s="18">
        <v>0</v>
      </c>
      <c r="H2066" s="18">
        <v>2000.0000</v>
      </c>
      <c r="I2066" s="18">
        <f ca="1">((I2065 + G2066) - H2066)</f>
        <v>0</v>
      </c>
      <c r="J2066" s="18">
        <v>0</v>
      </c>
      <c r="K2066" s="19">
        <v>0</v>
      </c>
      <c r="L2066" s="17"/>
    </row>
    <row r="2067" ht="10.95" customHeight="true" customFormat="true" s="9">
      <c r="A2067" s="16">
        <v>45432</v>
      </c>
      <c r="B2067" s="17" t="s">
        <v>424</v>
      </c>
      <c r="C2067" s="17" t="s">
        <v>425</v>
      </c>
      <c r="D2067" s="17" t="s">
        <v>22</v>
      </c>
      <c r="E2067" s="17" t="s">
        <v>426</v>
      </c>
      <c r="F2067" s="17" t="s">
        <v>527</v>
      </c>
      <c r="G2067" s="18">
        <v>0</v>
      </c>
      <c r="H2067" s="18">
        <v>629.0000</v>
      </c>
      <c r="I2067" s="18">
        <f ca="1">((I2066 + G2067) - H2067)</f>
        <v>0</v>
      </c>
      <c r="J2067" s="18">
        <v>0</v>
      </c>
      <c r="K2067" s="19">
        <v>0</v>
      </c>
      <c r="L2067" s="17"/>
    </row>
    <row r="2068" ht="10.95" customHeight="true" customFormat="true" s="9">
      <c r="A2068" s="16">
        <v>45432</v>
      </c>
      <c r="B2068" s="17" t="s">
        <v>424</v>
      </c>
      <c r="C2068" s="17" t="s">
        <v>425</v>
      </c>
      <c r="D2068" s="17" t="s">
        <v>22</v>
      </c>
      <c r="E2068" s="17" t="s">
        <v>426</v>
      </c>
      <c r="F2068" s="17" t="s">
        <v>527</v>
      </c>
      <c r="G2068" s="18">
        <v>0</v>
      </c>
      <c r="H2068" s="18">
        <v>272.0000</v>
      </c>
      <c r="I2068" s="18">
        <f ca="1">((I2067 + G2068) - H2068)</f>
        <v>0</v>
      </c>
      <c r="J2068" s="18">
        <v>0</v>
      </c>
      <c r="K2068" s="19">
        <v>0</v>
      </c>
      <c r="L2068" s="17"/>
    </row>
    <row r="2069" ht="10.95" customHeight="true" customFormat="true" s="9">
      <c r="A2069" s="16">
        <v>45432</v>
      </c>
      <c r="B2069" s="17" t="s">
        <v>424</v>
      </c>
      <c r="C2069" s="17" t="s">
        <v>425</v>
      </c>
      <c r="D2069" s="17" t="s">
        <v>22</v>
      </c>
      <c r="E2069" s="17" t="s">
        <v>426</v>
      </c>
      <c r="F2069" s="17" t="s">
        <v>527</v>
      </c>
      <c r="G2069" s="18">
        <v>0</v>
      </c>
      <c r="H2069" s="18">
        <v>144.0000</v>
      </c>
      <c r="I2069" s="18">
        <f ca="1">((I2068 + G2069) - H2069)</f>
        <v>0</v>
      </c>
      <c r="J2069" s="18">
        <v>0</v>
      </c>
      <c r="K2069" s="19">
        <v>0</v>
      </c>
      <c r="L2069" s="17"/>
    </row>
    <row r="2070" ht="10.95" customHeight="true" customFormat="true" s="9">
      <c r="A2070" s="16">
        <v>45432</v>
      </c>
      <c r="B2070" s="17" t="s">
        <v>424</v>
      </c>
      <c r="C2070" s="17" t="s">
        <v>425</v>
      </c>
      <c r="D2070" s="17" t="s">
        <v>19</v>
      </c>
      <c r="E2070" s="17" t="s">
        <v>24</v>
      </c>
      <c r="F2070" s="17"/>
      <c r="G2070" s="18">
        <v>200.0000</v>
      </c>
      <c r="H2070" s="18">
        <v>0</v>
      </c>
      <c r="I2070" s="18">
        <f ca="1">((I2069 + G2070) - H2070)</f>
        <v>0</v>
      </c>
      <c r="J2070" s="18">
        <v>0</v>
      </c>
      <c r="K2070" s="19">
        <v>0</v>
      </c>
      <c r="L2070" s="17"/>
    </row>
    <row r="2071" ht="10.95" customHeight="true" customFormat="true" s="9">
      <c r="A2071" s="16">
        <v>45432</v>
      </c>
      <c r="B2071" s="17" t="s">
        <v>424</v>
      </c>
      <c r="C2071" s="17" t="s">
        <v>425</v>
      </c>
      <c r="D2071" s="17" t="s">
        <v>22</v>
      </c>
      <c r="E2071" s="17" t="s">
        <v>452</v>
      </c>
      <c r="F2071" s="17"/>
      <c r="G2071" s="18">
        <v>0</v>
      </c>
      <c r="H2071" s="18">
        <v>264.0000</v>
      </c>
      <c r="I2071" s="18">
        <f ca="1">((I2070 + G2071) - H2071)</f>
        <v>0</v>
      </c>
      <c r="J2071" s="18">
        <v>0</v>
      </c>
      <c r="K2071" s="19">
        <v>0</v>
      </c>
      <c r="L2071" s="17"/>
    </row>
    <row r="2072" ht="10.95" customHeight="true" customFormat="true" s="9">
      <c r="A2072" s="16">
        <v>45432</v>
      </c>
      <c r="B2072" s="17" t="s">
        <v>424</v>
      </c>
      <c r="C2072" s="17" t="s">
        <v>425</v>
      </c>
      <c r="D2072" s="17" t="s">
        <v>19</v>
      </c>
      <c r="E2072" s="17" t="s">
        <v>428</v>
      </c>
      <c r="F2072" s="17"/>
      <c r="G2072" s="18">
        <v>5635.8000</v>
      </c>
      <c r="H2072" s="18">
        <v>0</v>
      </c>
      <c r="I2072" s="18">
        <f ca="1">((I2071 + G2072) - H2072)</f>
        <v>0</v>
      </c>
      <c r="J2072" s="18">
        <v>0</v>
      </c>
      <c r="K2072" s="19">
        <v>0</v>
      </c>
      <c r="L2072" s="17"/>
    </row>
    <row r="2073" ht="10.95" customHeight="true" customFormat="true" s="9">
      <c r="A2073" s="16">
        <v>45432</v>
      </c>
      <c r="B2073" s="17" t="s">
        <v>424</v>
      </c>
      <c r="C2073" s="17" t="s">
        <v>425</v>
      </c>
      <c r="D2073" s="17" t="s">
        <v>19</v>
      </c>
      <c r="E2073" s="17" t="s">
        <v>428</v>
      </c>
      <c r="F2073" s="17"/>
      <c r="G2073" s="18">
        <v>6202.4500</v>
      </c>
      <c r="H2073" s="18">
        <v>0</v>
      </c>
      <c r="I2073" s="18">
        <f ca="1">((I2072 + G2073) - H2073)</f>
        <v>0</v>
      </c>
      <c r="J2073" s="18">
        <v>0</v>
      </c>
      <c r="K2073" s="19">
        <v>0</v>
      </c>
      <c r="L2073" s="17"/>
    </row>
    <row r="2074" ht="10.95" customHeight="true" customFormat="true" s="9">
      <c r="A2074" s="16">
        <v>45432</v>
      </c>
      <c r="B2074" s="17" t="s">
        <v>424</v>
      </c>
      <c r="C2074" s="17" t="s">
        <v>425</v>
      </c>
      <c r="D2074" s="17" t="s">
        <v>22</v>
      </c>
      <c r="E2074" s="17" t="s">
        <v>66</v>
      </c>
      <c r="F2074" s="17"/>
      <c r="G2074" s="18">
        <v>0</v>
      </c>
      <c r="H2074" s="18">
        <v>14844.0000</v>
      </c>
      <c r="I2074" s="18">
        <f ca="1">((I2073 + G2074) - H2074)</f>
        <v>0</v>
      </c>
      <c r="J2074" s="18">
        <v>0</v>
      </c>
      <c r="K2074" s="19">
        <v>0</v>
      </c>
      <c r="L2074" s="17"/>
    </row>
    <row r="2075" ht="10.95" customHeight="true" customFormat="true" s="9">
      <c r="A2075" s="16">
        <v>45432</v>
      </c>
      <c r="B2075" s="17" t="s">
        <v>424</v>
      </c>
      <c r="C2075" s="17" t="s">
        <v>425</v>
      </c>
      <c r="D2075" s="17" t="s">
        <v>22</v>
      </c>
      <c r="E2075" s="17" t="s">
        <v>298</v>
      </c>
      <c r="F2075" s="17"/>
      <c r="G2075" s="18">
        <v>0</v>
      </c>
      <c r="H2075" s="18">
        <v>1015.8200</v>
      </c>
      <c r="I2075" s="18">
        <f ca="1">((I2074 + G2075) - H2075)</f>
        <v>0</v>
      </c>
      <c r="J2075" s="18">
        <v>0</v>
      </c>
      <c r="K2075" s="19">
        <v>0</v>
      </c>
      <c r="L2075" s="17"/>
    </row>
    <row r="2076" ht="10.95" customHeight="true" customFormat="true" s="9">
      <c r="A2076" s="16">
        <v>45432</v>
      </c>
      <c r="B2076" s="17" t="s">
        <v>424</v>
      </c>
      <c r="C2076" s="17" t="s">
        <v>425</v>
      </c>
      <c r="D2076" s="17" t="s">
        <v>22</v>
      </c>
      <c r="E2076" s="17" t="s">
        <v>430</v>
      </c>
      <c r="F2076" s="17"/>
      <c r="G2076" s="18">
        <v>0</v>
      </c>
      <c r="H2076" s="18">
        <v>1825.3800</v>
      </c>
      <c r="I2076" s="18">
        <f ca="1">((I2075 + G2076) - H2076)</f>
        <v>0</v>
      </c>
      <c r="J2076" s="18">
        <v>0</v>
      </c>
      <c r="K2076" s="19">
        <v>0</v>
      </c>
      <c r="L2076" s="17"/>
    </row>
    <row r="2077" ht="10.95" customHeight="true" customFormat="true" s="9">
      <c r="A2077" s="16">
        <v>45434</v>
      </c>
      <c r="B2077" s="17" t="s">
        <v>424</v>
      </c>
      <c r="C2077" s="17" t="s">
        <v>425</v>
      </c>
      <c r="D2077" s="17" t="s">
        <v>19</v>
      </c>
      <c r="E2077" s="17" t="s">
        <v>428</v>
      </c>
      <c r="F2077" s="17"/>
      <c r="G2077" s="18">
        <v>2261.9500</v>
      </c>
      <c r="H2077" s="18">
        <v>0</v>
      </c>
      <c r="I2077" s="18">
        <f ca="1">((I2076 + G2077) - H2077)</f>
        <v>0</v>
      </c>
      <c r="J2077" s="18">
        <v>0</v>
      </c>
      <c r="K2077" s="19">
        <v>0</v>
      </c>
      <c r="L2077" s="17"/>
    </row>
    <row r="2078" ht="10.95" customHeight="true" customFormat="true" s="9">
      <c r="A2078" s="16">
        <v>45435</v>
      </c>
      <c r="B2078" s="17" t="s">
        <v>424</v>
      </c>
      <c r="C2078" s="17" t="s">
        <v>425</v>
      </c>
      <c r="D2078" s="17" t="s">
        <v>19</v>
      </c>
      <c r="E2078" s="17" t="s">
        <v>428</v>
      </c>
      <c r="F2078" s="17"/>
      <c r="G2078" s="18">
        <v>2134.0000</v>
      </c>
      <c r="H2078" s="18">
        <v>0</v>
      </c>
      <c r="I2078" s="18">
        <f ca="1">((I2077 + G2078) - H2078)</f>
        <v>0</v>
      </c>
      <c r="J2078" s="18">
        <v>0</v>
      </c>
      <c r="K2078" s="19">
        <v>0</v>
      </c>
      <c r="L2078" s="17"/>
    </row>
    <row r="2079" ht="10.95" customHeight="true" customFormat="true" s="9">
      <c r="A2079" s="16">
        <v>45435</v>
      </c>
      <c r="B2079" s="17" t="s">
        <v>424</v>
      </c>
      <c r="C2079" s="17" t="s">
        <v>425</v>
      </c>
      <c r="D2079" s="17" t="s">
        <v>22</v>
      </c>
      <c r="E2079" s="17" t="s">
        <v>430</v>
      </c>
      <c r="F2079" s="17"/>
      <c r="G2079" s="18">
        <v>0</v>
      </c>
      <c r="H2079" s="18">
        <v>1795.6600</v>
      </c>
      <c r="I2079" s="18">
        <f ca="1">((I2078 + G2079) - H2079)</f>
        <v>0</v>
      </c>
      <c r="J2079" s="18">
        <v>0</v>
      </c>
      <c r="K2079" s="19">
        <v>0</v>
      </c>
      <c r="L2079" s="17"/>
    </row>
    <row r="2080" ht="10.95" customHeight="true" customFormat="true" s="9">
      <c r="A2080" s="16">
        <v>45436</v>
      </c>
      <c r="B2080" s="17" t="s">
        <v>424</v>
      </c>
      <c r="C2080" s="17" t="s">
        <v>425</v>
      </c>
      <c r="D2080" s="17" t="s">
        <v>22</v>
      </c>
      <c r="E2080" s="17" t="s">
        <v>430</v>
      </c>
      <c r="F2080" s="17"/>
      <c r="G2080" s="18">
        <v>0</v>
      </c>
      <c r="H2080" s="18">
        <v>2172.9000</v>
      </c>
      <c r="I2080" s="18">
        <f ca="1">((I2079 + G2080) - H2080)</f>
        <v>0</v>
      </c>
      <c r="J2080" s="18">
        <v>0</v>
      </c>
      <c r="K2080" s="19">
        <v>0</v>
      </c>
      <c r="L2080" s="17"/>
    </row>
    <row r="2081" ht="10.95" customHeight="true" customFormat="true" s="9">
      <c r="A2081" s="16">
        <v>45436</v>
      </c>
      <c r="B2081" s="17" t="s">
        <v>424</v>
      </c>
      <c r="C2081" s="17" t="s">
        <v>425</v>
      </c>
      <c r="D2081" s="17" t="s">
        <v>22</v>
      </c>
      <c r="E2081" s="17" t="s">
        <v>442</v>
      </c>
      <c r="F2081" s="17"/>
      <c r="G2081" s="18">
        <v>0</v>
      </c>
      <c r="H2081" s="18">
        <v>183.9600</v>
      </c>
      <c r="I2081" s="18">
        <f ca="1">((I2080 + G2081) - H2081)</f>
        <v>0</v>
      </c>
      <c r="J2081" s="18">
        <v>0</v>
      </c>
      <c r="K2081" s="19">
        <v>0</v>
      </c>
      <c r="L2081" s="17"/>
    </row>
    <row r="2082" ht="10.95" customHeight="true" customFormat="true" s="9">
      <c r="A2082" s="16">
        <v>45436</v>
      </c>
      <c r="B2082" s="17" t="s">
        <v>424</v>
      </c>
      <c r="C2082" s="17" t="s">
        <v>425</v>
      </c>
      <c r="D2082" s="17" t="s">
        <v>19</v>
      </c>
      <c r="E2082" s="17" t="s">
        <v>428</v>
      </c>
      <c r="F2082" s="17"/>
      <c r="G2082" s="18">
        <v>2730.9000</v>
      </c>
      <c r="H2082" s="18">
        <v>0</v>
      </c>
      <c r="I2082" s="18">
        <f ca="1">((I2081 + G2082) - H2082)</f>
        <v>0</v>
      </c>
      <c r="J2082" s="18">
        <v>0</v>
      </c>
      <c r="K2082" s="19">
        <v>0</v>
      </c>
      <c r="L2082" s="17"/>
    </row>
    <row r="2083" ht="10.95" customHeight="true" customFormat="true" s="9">
      <c r="A2083" s="16">
        <v>45439</v>
      </c>
      <c r="B2083" s="17" t="s">
        <v>424</v>
      </c>
      <c r="C2083" s="17" t="s">
        <v>425</v>
      </c>
      <c r="D2083" s="17" t="s">
        <v>19</v>
      </c>
      <c r="E2083" s="17" t="s">
        <v>428</v>
      </c>
      <c r="F2083" s="17"/>
      <c r="G2083" s="18">
        <v>6596.0500</v>
      </c>
      <c r="H2083" s="18">
        <v>0</v>
      </c>
      <c r="I2083" s="18">
        <f ca="1">((I2082 + G2083) - H2083)</f>
        <v>0</v>
      </c>
      <c r="J2083" s="18">
        <v>0</v>
      </c>
      <c r="K2083" s="19">
        <v>0</v>
      </c>
      <c r="L2083" s="17"/>
    </row>
    <row r="2084" ht="10.95" customHeight="true" customFormat="true" s="9">
      <c r="A2084" s="16">
        <v>45439</v>
      </c>
      <c r="B2084" s="17" t="s">
        <v>424</v>
      </c>
      <c r="C2084" s="17" t="s">
        <v>425</v>
      </c>
      <c r="D2084" s="17" t="s">
        <v>19</v>
      </c>
      <c r="E2084" s="17" t="s">
        <v>428</v>
      </c>
      <c r="F2084" s="17"/>
      <c r="G2084" s="18">
        <v>3366.4500</v>
      </c>
      <c r="H2084" s="18">
        <v>0</v>
      </c>
      <c r="I2084" s="18">
        <f ca="1">((I2083 + G2084) - H2084)</f>
        <v>0</v>
      </c>
      <c r="J2084" s="18">
        <v>0</v>
      </c>
      <c r="K2084" s="19">
        <v>0</v>
      </c>
      <c r="L2084" s="17"/>
    </row>
    <row r="2085" ht="10.95" customHeight="true" customFormat="true" s="9">
      <c r="A2085" s="16">
        <v>45439</v>
      </c>
      <c r="B2085" s="17" t="s">
        <v>424</v>
      </c>
      <c r="C2085" s="17" t="s">
        <v>425</v>
      </c>
      <c r="D2085" s="17" t="s">
        <v>22</v>
      </c>
      <c r="E2085" s="17" t="s">
        <v>426</v>
      </c>
      <c r="F2085" s="17" t="s">
        <v>528</v>
      </c>
      <c r="G2085" s="18">
        <v>0</v>
      </c>
      <c r="H2085" s="18">
        <v>136.0000</v>
      </c>
      <c r="I2085" s="18">
        <f ca="1">((I2084 + G2085) - H2085)</f>
        <v>0</v>
      </c>
      <c r="J2085" s="18">
        <v>0</v>
      </c>
      <c r="K2085" s="19">
        <v>0</v>
      </c>
      <c r="L2085" s="17"/>
    </row>
    <row r="2086" ht="10.95" customHeight="true" customFormat="true" s="9">
      <c r="A2086" s="16">
        <v>45439</v>
      </c>
      <c r="B2086" s="17" t="s">
        <v>424</v>
      </c>
      <c r="C2086" s="17" t="s">
        <v>425</v>
      </c>
      <c r="D2086" s="17" t="s">
        <v>22</v>
      </c>
      <c r="E2086" s="17" t="s">
        <v>426</v>
      </c>
      <c r="F2086" s="17" t="s">
        <v>528</v>
      </c>
      <c r="G2086" s="18">
        <v>0</v>
      </c>
      <c r="H2086" s="18">
        <v>629.0000</v>
      </c>
      <c r="I2086" s="18">
        <f ca="1">((I2085 + G2086) - H2086)</f>
        <v>0</v>
      </c>
      <c r="J2086" s="18">
        <v>0</v>
      </c>
      <c r="K2086" s="19">
        <v>0</v>
      </c>
      <c r="L2086" s="17"/>
    </row>
    <row r="2087" ht="10.95" customHeight="true" customFormat="true" s="9">
      <c r="A2087" s="16">
        <v>45439</v>
      </c>
      <c r="B2087" s="17" t="s">
        <v>424</v>
      </c>
      <c r="C2087" s="17" t="s">
        <v>425</v>
      </c>
      <c r="D2087" s="17" t="s">
        <v>22</v>
      </c>
      <c r="E2087" s="17" t="s">
        <v>34</v>
      </c>
      <c r="F2087" s="17"/>
      <c r="G2087" s="18">
        <v>0</v>
      </c>
      <c r="H2087" s="18">
        <v>2995.0000</v>
      </c>
      <c r="I2087" s="18">
        <f ca="1">((I2086 + G2087) - H2087)</f>
        <v>0</v>
      </c>
      <c r="J2087" s="18">
        <v>0</v>
      </c>
      <c r="K2087" s="19">
        <v>0</v>
      </c>
      <c r="L2087" s="17"/>
    </row>
    <row r="2088" ht="10.95" customHeight="true" customFormat="true" s="9">
      <c r="A2088" s="16">
        <v>45439</v>
      </c>
      <c r="B2088" s="17" t="s">
        <v>424</v>
      </c>
      <c r="C2088" s="17" t="s">
        <v>425</v>
      </c>
      <c r="D2088" s="17" t="s">
        <v>22</v>
      </c>
      <c r="E2088" s="17" t="s">
        <v>426</v>
      </c>
      <c r="F2088" s="17" t="s">
        <v>528</v>
      </c>
      <c r="G2088" s="18">
        <v>0</v>
      </c>
      <c r="H2088" s="18">
        <v>1342.9000</v>
      </c>
      <c r="I2088" s="18">
        <f ca="1">((I2087 + G2088) - H2088)</f>
        <v>0</v>
      </c>
      <c r="J2088" s="18">
        <v>0</v>
      </c>
      <c r="K2088" s="19">
        <v>0</v>
      </c>
      <c r="L2088" s="17"/>
    </row>
    <row r="2089" ht="10.95" customHeight="true" customFormat="true" s="9">
      <c r="A2089" s="16">
        <v>45439</v>
      </c>
      <c r="B2089" s="17" t="s">
        <v>424</v>
      </c>
      <c r="C2089" s="17" t="s">
        <v>425</v>
      </c>
      <c r="D2089" s="17" t="s">
        <v>22</v>
      </c>
      <c r="E2089" s="17" t="s">
        <v>426</v>
      </c>
      <c r="F2089" s="17" t="s">
        <v>528</v>
      </c>
      <c r="G2089" s="18">
        <v>0</v>
      </c>
      <c r="H2089" s="18">
        <v>1235.0500</v>
      </c>
      <c r="I2089" s="18">
        <f ca="1">((I2088 + G2089) - H2089)</f>
        <v>0</v>
      </c>
      <c r="J2089" s="18">
        <v>0</v>
      </c>
      <c r="K2089" s="19">
        <v>0</v>
      </c>
      <c r="L2089" s="17"/>
    </row>
    <row r="2090" ht="10.95" customHeight="true" customFormat="true" s="9">
      <c r="A2090" s="16">
        <v>45439</v>
      </c>
      <c r="B2090" s="17" t="s">
        <v>424</v>
      </c>
      <c r="C2090" s="17" t="s">
        <v>425</v>
      </c>
      <c r="D2090" s="17" t="s">
        <v>22</v>
      </c>
      <c r="E2090" s="17" t="s">
        <v>426</v>
      </c>
      <c r="F2090" s="17" t="s">
        <v>528</v>
      </c>
      <c r="G2090" s="18">
        <v>0</v>
      </c>
      <c r="H2090" s="18">
        <v>144.0000</v>
      </c>
      <c r="I2090" s="18">
        <f ca="1">((I2089 + G2090) - H2090)</f>
        <v>0</v>
      </c>
      <c r="J2090" s="18">
        <v>0</v>
      </c>
      <c r="K2090" s="19">
        <v>0</v>
      </c>
      <c r="L2090" s="17"/>
    </row>
    <row r="2091" ht="10.95" customHeight="true" customFormat="true" s="9">
      <c r="A2091" s="16">
        <v>45439</v>
      </c>
      <c r="B2091" s="17" t="s">
        <v>424</v>
      </c>
      <c r="C2091" s="17" t="s">
        <v>425</v>
      </c>
      <c r="D2091" s="17" t="s">
        <v>22</v>
      </c>
      <c r="E2091" s="17" t="s">
        <v>426</v>
      </c>
      <c r="F2091" s="17" t="s">
        <v>528</v>
      </c>
      <c r="G2091" s="18">
        <v>0</v>
      </c>
      <c r="H2091" s="18">
        <v>2000.0000</v>
      </c>
      <c r="I2091" s="18">
        <f ca="1">((I2090 + G2091) - H2091)</f>
        <v>0</v>
      </c>
      <c r="J2091" s="18">
        <v>0</v>
      </c>
      <c r="K2091" s="19">
        <v>0</v>
      </c>
      <c r="L2091" s="17"/>
    </row>
    <row r="2092" ht="10.95" customHeight="true" customFormat="true" s="9">
      <c r="A2092" s="16">
        <v>45439</v>
      </c>
      <c r="B2092" s="17" t="s">
        <v>424</v>
      </c>
      <c r="C2092" s="17" t="s">
        <v>425</v>
      </c>
      <c r="D2092" s="17" t="s">
        <v>19</v>
      </c>
      <c r="E2092" s="17" t="s">
        <v>428</v>
      </c>
      <c r="F2092" s="17"/>
      <c r="G2092" s="18">
        <v>5605.6500</v>
      </c>
      <c r="H2092" s="18">
        <v>0</v>
      </c>
      <c r="I2092" s="18">
        <f ca="1">((I2091 + G2092) - H2092)</f>
        <v>0</v>
      </c>
      <c r="J2092" s="18">
        <v>0</v>
      </c>
      <c r="K2092" s="19">
        <v>0</v>
      </c>
      <c r="L2092" s="17"/>
    </row>
    <row r="2093" ht="10.95" customHeight="true" customFormat="true" s="9">
      <c r="A2093" s="16">
        <v>45440</v>
      </c>
      <c r="B2093" s="17" t="s">
        <v>424</v>
      </c>
      <c r="C2093" s="17" t="s">
        <v>425</v>
      </c>
      <c r="D2093" s="17" t="s">
        <v>19</v>
      </c>
      <c r="E2093" s="17" t="s">
        <v>24</v>
      </c>
      <c r="F2093" s="17"/>
      <c r="G2093" s="18">
        <v>230.0000</v>
      </c>
      <c r="H2093" s="18">
        <v>0</v>
      </c>
      <c r="I2093" s="18">
        <f ca="1">((I2092 + G2093) - H2093)</f>
        <v>0</v>
      </c>
      <c r="J2093" s="18">
        <v>0</v>
      </c>
      <c r="K2093" s="19">
        <v>0</v>
      </c>
      <c r="L2093" s="17"/>
    </row>
    <row r="2094" ht="10.95" customHeight="true" customFormat="true" s="9">
      <c r="A2094" s="16">
        <v>45441</v>
      </c>
      <c r="B2094" s="17" t="s">
        <v>424</v>
      </c>
      <c r="C2094" s="17" t="s">
        <v>425</v>
      </c>
      <c r="D2094" s="17" t="s">
        <v>22</v>
      </c>
      <c r="E2094" s="17" t="s">
        <v>433</v>
      </c>
      <c r="F2094" s="17"/>
      <c r="G2094" s="18">
        <v>0</v>
      </c>
      <c r="H2094" s="18">
        <v>754.5600</v>
      </c>
      <c r="I2094" s="18">
        <f ca="1">((I2093 + G2094) - H2094)</f>
        <v>0</v>
      </c>
      <c r="J2094" s="18">
        <v>0</v>
      </c>
      <c r="K2094" s="19">
        <v>0</v>
      </c>
      <c r="L2094" s="17"/>
    </row>
    <row r="2095" ht="10.95" customHeight="true" customFormat="true" s="9">
      <c r="A2095" s="16">
        <v>45441</v>
      </c>
      <c r="B2095" s="17" t="s">
        <v>424</v>
      </c>
      <c r="C2095" s="17" t="s">
        <v>425</v>
      </c>
      <c r="D2095" s="17" t="s">
        <v>22</v>
      </c>
      <c r="E2095" s="17" t="s">
        <v>430</v>
      </c>
      <c r="F2095" s="17"/>
      <c r="G2095" s="18">
        <v>0</v>
      </c>
      <c r="H2095" s="18">
        <v>1628.8800</v>
      </c>
      <c r="I2095" s="18">
        <f ca="1">((I2094 + G2095) - H2095)</f>
        <v>0</v>
      </c>
      <c r="J2095" s="18">
        <v>0</v>
      </c>
      <c r="K2095" s="19">
        <v>0</v>
      </c>
      <c r="L2095" s="17"/>
    </row>
    <row r="2096" ht="10.95" customHeight="true" customFormat="true" s="9">
      <c r="A2096" s="16">
        <v>45441</v>
      </c>
      <c r="B2096" s="17" t="s">
        <v>424</v>
      </c>
      <c r="C2096" s="17" t="s">
        <v>425</v>
      </c>
      <c r="D2096" s="17" t="s">
        <v>19</v>
      </c>
      <c r="E2096" s="17" t="s">
        <v>428</v>
      </c>
      <c r="F2096" s="17"/>
      <c r="G2096" s="18">
        <v>2437.7500</v>
      </c>
      <c r="H2096" s="18">
        <v>0</v>
      </c>
      <c r="I2096" s="18">
        <f ca="1">((I2095 + G2096) - H2096)</f>
        <v>0</v>
      </c>
      <c r="J2096" s="18">
        <v>0</v>
      </c>
      <c r="K2096" s="19">
        <v>0</v>
      </c>
      <c r="L2096" s="17"/>
    </row>
    <row r="2097" ht="10.95" customHeight="true" customFormat="true" s="9">
      <c r="A2097" s="16">
        <v>45442</v>
      </c>
      <c r="B2097" s="17" t="s">
        <v>424</v>
      </c>
      <c r="C2097" s="17" t="s">
        <v>425</v>
      </c>
      <c r="D2097" s="17" t="s">
        <v>19</v>
      </c>
      <c r="E2097" s="17" t="s">
        <v>428</v>
      </c>
      <c r="F2097" s="17"/>
      <c r="G2097" s="18">
        <v>2465.4000</v>
      </c>
      <c r="H2097" s="18">
        <v>0</v>
      </c>
      <c r="I2097" s="18">
        <f ca="1">((I2096 + G2097) - H2097)</f>
        <v>0</v>
      </c>
      <c r="J2097" s="18">
        <v>0</v>
      </c>
      <c r="K2097" s="19">
        <v>0</v>
      </c>
      <c r="L2097" s="17"/>
    </row>
    <row r="2098" ht="10.95" customHeight="true" customFormat="true" s="9">
      <c r="A2098" s="16">
        <v>45442</v>
      </c>
      <c r="B2098" s="17" t="s">
        <v>424</v>
      </c>
      <c r="C2098" s="17" t="s">
        <v>425</v>
      </c>
      <c r="D2098" s="17" t="s">
        <v>19</v>
      </c>
      <c r="E2098" s="17" t="s">
        <v>66</v>
      </c>
      <c r="F2098" s="17"/>
      <c r="G2098" s="18">
        <v>20.8300</v>
      </c>
      <c r="H2098" s="18">
        <v>0</v>
      </c>
      <c r="I2098" s="18">
        <f ca="1">((I2097 + G2098) - H2098)</f>
        <v>0</v>
      </c>
      <c r="J2098" s="18">
        <v>0</v>
      </c>
      <c r="K2098" s="19">
        <v>0</v>
      </c>
      <c r="L2098" s="17"/>
    </row>
    <row r="2099" ht="10.95" customHeight="true" customFormat="true" s="9">
      <c r="A2099" s="16">
        <v>45443</v>
      </c>
      <c r="B2099" s="17" t="s">
        <v>424</v>
      </c>
      <c r="C2099" s="17" t="s">
        <v>425</v>
      </c>
      <c r="D2099" s="17" t="s">
        <v>22</v>
      </c>
      <c r="E2099" s="17" t="s">
        <v>431</v>
      </c>
      <c r="F2099" s="17"/>
      <c r="G2099" s="18">
        <v>0</v>
      </c>
      <c r="H2099" s="18">
        <v>135.3700</v>
      </c>
      <c r="I2099" s="18">
        <f ca="1">((I2098 + G2099) - H2099)</f>
        <v>0</v>
      </c>
      <c r="J2099" s="18">
        <v>0</v>
      </c>
      <c r="K2099" s="19">
        <v>0</v>
      </c>
      <c r="L2099" s="17"/>
    </row>
    <row r="2100" ht="10.95" customHeight="true" customFormat="true" s="9">
      <c r="A2100" s="16">
        <v>45443</v>
      </c>
      <c r="B2100" s="17" t="s">
        <v>424</v>
      </c>
      <c r="C2100" s="17" t="s">
        <v>425</v>
      </c>
      <c r="D2100" s="17" t="s">
        <v>19</v>
      </c>
      <c r="E2100" s="17" t="s">
        <v>428</v>
      </c>
      <c r="F2100" s="17"/>
      <c r="G2100" s="18">
        <v>3438.1500</v>
      </c>
      <c r="H2100" s="18">
        <v>0</v>
      </c>
      <c r="I2100" s="18">
        <f ca="1">((I2099 + G2100) - H2100)</f>
        <v>0</v>
      </c>
      <c r="J2100" s="18">
        <v>0</v>
      </c>
      <c r="K2100" s="19">
        <v>0</v>
      </c>
      <c r="L2100" s="17"/>
    </row>
    <row r="2101" ht="10.95" customHeight="true" customFormat="true" s="9">
      <c r="A2101" s="16">
        <v>45443</v>
      </c>
      <c r="B2101" s="17" t="s">
        <v>424</v>
      </c>
      <c r="C2101" s="17" t="s">
        <v>425</v>
      </c>
      <c r="D2101" s="17" t="s">
        <v>22</v>
      </c>
      <c r="E2101" s="17" t="s">
        <v>447</v>
      </c>
      <c r="F2101" s="17"/>
      <c r="G2101" s="18">
        <v>0</v>
      </c>
      <c r="H2101" s="18">
        <v>10.0000</v>
      </c>
      <c r="I2101" s="18">
        <f ca="1">((I2100 + G2101) - H2101)</f>
        <v>0</v>
      </c>
      <c r="J2101" s="18">
        <v>0</v>
      </c>
      <c r="K2101" s="19">
        <v>0</v>
      </c>
      <c r="L2101" s="17"/>
    </row>
    <row r="2102" ht="10.95" customHeight="true" customFormat="true" s="9">
      <c r="A2102" s="16">
        <v>45446</v>
      </c>
      <c r="B2102" s="17" t="s">
        <v>424</v>
      </c>
      <c r="C2102" s="17" t="s">
        <v>425</v>
      </c>
      <c r="D2102" s="17" t="s">
        <v>19</v>
      </c>
      <c r="E2102" s="17" t="s">
        <v>428</v>
      </c>
      <c r="F2102" s="17"/>
      <c r="G2102" s="18">
        <v>5460.8500</v>
      </c>
      <c r="H2102" s="18">
        <v>0</v>
      </c>
      <c r="I2102" s="18">
        <f ca="1">((I2101 + G2102) - H2102)</f>
        <v>0</v>
      </c>
      <c r="J2102" s="18">
        <v>0</v>
      </c>
      <c r="K2102" s="19">
        <v>0</v>
      </c>
      <c r="L2102" s="17"/>
    </row>
    <row r="2103" ht="10.95" customHeight="true" customFormat="true" s="9">
      <c r="A2103" s="16">
        <v>45446</v>
      </c>
      <c r="B2103" s="17" t="s">
        <v>424</v>
      </c>
      <c r="C2103" s="17" t="s">
        <v>425</v>
      </c>
      <c r="D2103" s="17" t="s">
        <v>22</v>
      </c>
      <c r="E2103" s="17" t="s">
        <v>426</v>
      </c>
      <c r="F2103" s="17" t="s">
        <v>529</v>
      </c>
      <c r="G2103" s="18">
        <v>0</v>
      </c>
      <c r="H2103" s="18">
        <v>2000.0000</v>
      </c>
      <c r="I2103" s="18">
        <f ca="1">((I2102 + G2103) - H2103)</f>
        <v>0</v>
      </c>
      <c r="J2103" s="18">
        <v>0</v>
      </c>
      <c r="K2103" s="19">
        <v>0</v>
      </c>
      <c r="L2103" s="17"/>
    </row>
    <row r="2104" ht="10.95" customHeight="true" customFormat="true" s="9">
      <c r="A2104" s="16">
        <v>45446</v>
      </c>
      <c r="B2104" s="17" t="s">
        <v>424</v>
      </c>
      <c r="C2104" s="17" t="s">
        <v>425</v>
      </c>
      <c r="D2104" s="17" t="s">
        <v>22</v>
      </c>
      <c r="E2104" s="17" t="s">
        <v>426</v>
      </c>
      <c r="F2104" s="17" t="s">
        <v>529</v>
      </c>
      <c r="G2104" s="18">
        <v>0</v>
      </c>
      <c r="H2104" s="18">
        <v>629.0000</v>
      </c>
      <c r="I2104" s="18">
        <f ca="1">((I2103 + G2104) - H2104)</f>
        <v>0</v>
      </c>
      <c r="J2104" s="18">
        <v>0</v>
      </c>
      <c r="K2104" s="19">
        <v>0</v>
      </c>
      <c r="L2104" s="17"/>
    </row>
    <row r="2105" ht="10.95" customHeight="true" customFormat="true" s="9">
      <c r="A2105" s="16">
        <v>45446</v>
      </c>
      <c r="B2105" s="17" t="s">
        <v>424</v>
      </c>
      <c r="C2105" s="17" t="s">
        <v>425</v>
      </c>
      <c r="D2105" s="17" t="s">
        <v>22</v>
      </c>
      <c r="E2105" s="17" t="s">
        <v>426</v>
      </c>
      <c r="F2105" s="17" t="s">
        <v>529</v>
      </c>
      <c r="G2105" s="18">
        <v>0</v>
      </c>
      <c r="H2105" s="18">
        <v>136.0000</v>
      </c>
      <c r="I2105" s="18">
        <f ca="1">((I2104 + G2105) - H2105)</f>
        <v>0</v>
      </c>
      <c r="J2105" s="18">
        <v>0</v>
      </c>
      <c r="K2105" s="19">
        <v>0</v>
      </c>
      <c r="L2105" s="17"/>
    </row>
    <row r="2106" ht="10.95" customHeight="true" customFormat="true" s="9">
      <c r="A2106" s="16">
        <v>45446</v>
      </c>
      <c r="B2106" s="17" t="s">
        <v>424</v>
      </c>
      <c r="C2106" s="17" t="s">
        <v>425</v>
      </c>
      <c r="D2106" s="17" t="s">
        <v>22</v>
      </c>
      <c r="E2106" s="17" t="s">
        <v>435</v>
      </c>
      <c r="F2106" s="17"/>
      <c r="G2106" s="18">
        <v>0</v>
      </c>
      <c r="H2106" s="18">
        <v>517.2000</v>
      </c>
      <c r="I2106" s="18">
        <f ca="1">((I2105 + G2106) - H2106)</f>
        <v>0</v>
      </c>
      <c r="J2106" s="18">
        <v>0</v>
      </c>
      <c r="K2106" s="19">
        <v>0</v>
      </c>
      <c r="L2106" s="17"/>
    </row>
    <row r="2107" ht="10.95" customHeight="true" customFormat="true" s="9">
      <c r="A2107" s="16">
        <v>45446</v>
      </c>
      <c r="B2107" s="17" t="s">
        <v>424</v>
      </c>
      <c r="C2107" s="17" t="s">
        <v>425</v>
      </c>
      <c r="D2107" s="17" t="s">
        <v>22</v>
      </c>
      <c r="E2107" s="17" t="s">
        <v>430</v>
      </c>
      <c r="F2107" s="17"/>
      <c r="G2107" s="18">
        <v>0</v>
      </c>
      <c r="H2107" s="18">
        <v>399.3000</v>
      </c>
      <c r="I2107" s="18">
        <f ca="1">((I2106 + G2107) - H2107)</f>
        <v>0</v>
      </c>
      <c r="J2107" s="18">
        <v>0</v>
      </c>
      <c r="K2107" s="19">
        <v>0</v>
      </c>
      <c r="L2107" s="17"/>
    </row>
    <row r="2108" ht="10.95" customHeight="true" customFormat="true" s="9">
      <c r="A2108" s="16">
        <v>45446</v>
      </c>
      <c r="B2108" s="17" t="s">
        <v>424</v>
      </c>
      <c r="C2108" s="17" t="s">
        <v>425</v>
      </c>
      <c r="D2108" s="17" t="s">
        <v>22</v>
      </c>
      <c r="E2108" s="17" t="s">
        <v>426</v>
      </c>
      <c r="F2108" s="17" t="s">
        <v>529</v>
      </c>
      <c r="G2108" s="18">
        <v>0</v>
      </c>
      <c r="H2108" s="18">
        <v>144.0000</v>
      </c>
      <c r="I2108" s="18">
        <f ca="1">((I2107 + G2108) - H2108)</f>
        <v>0</v>
      </c>
      <c r="J2108" s="18">
        <v>0</v>
      </c>
      <c r="K2108" s="19">
        <v>0</v>
      </c>
      <c r="L2108" s="17"/>
    </row>
    <row r="2109" ht="10.95" customHeight="true" customFormat="true" s="9">
      <c r="A2109" s="16">
        <v>45446</v>
      </c>
      <c r="B2109" s="17" t="s">
        <v>424</v>
      </c>
      <c r="C2109" s="17" t="s">
        <v>425</v>
      </c>
      <c r="D2109" s="17" t="s">
        <v>22</v>
      </c>
      <c r="E2109" s="17" t="s">
        <v>430</v>
      </c>
      <c r="F2109" s="17"/>
      <c r="G2109" s="18">
        <v>0</v>
      </c>
      <c r="H2109" s="18">
        <v>2191.4100</v>
      </c>
      <c r="I2109" s="18">
        <f ca="1">((I2108 + G2109) - H2109)</f>
        <v>0</v>
      </c>
      <c r="J2109" s="18">
        <v>0</v>
      </c>
      <c r="K2109" s="19">
        <v>0</v>
      </c>
      <c r="L2109" s="17"/>
    </row>
    <row r="2110" ht="10.95" customHeight="true" customFormat="true" s="9">
      <c r="A2110" s="16">
        <v>45446</v>
      </c>
      <c r="B2110" s="17" t="s">
        <v>424</v>
      </c>
      <c r="C2110" s="17" t="s">
        <v>425</v>
      </c>
      <c r="D2110" s="17" t="s">
        <v>19</v>
      </c>
      <c r="E2110" s="17" t="s">
        <v>428</v>
      </c>
      <c r="F2110" s="17"/>
      <c r="G2110" s="18">
        <v>5713.4500</v>
      </c>
      <c r="H2110" s="18">
        <v>0</v>
      </c>
      <c r="I2110" s="18">
        <f ca="1">((I2109 + G2110) - H2110)</f>
        <v>0</v>
      </c>
      <c r="J2110" s="18">
        <v>0</v>
      </c>
      <c r="K2110" s="19">
        <v>0</v>
      </c>
      <c r="L2110" s="17"/>
    </row>
    <row r="2111" ht="10.95" customHeight="true" customFormat="true" s="9">
      <c r="A2111" s="16">
        <v>45446</v>
      </c>
      <c r="B2111" s="17" t="s">
        <v>424</v>
      </c>
      <c r="C2111" s="17" t="s">
        <v>425</v>
      </c>
      <c r="D2111" s="17" t="s">
        <v>22</v>
      </c>
      <c r="E2111" s="17" t="s">
        <v>426</v>
      </c>
      <c r="F2111" s="17" t="s">
        <v>529</v>
      </c>
      <c r="G2111" s="18">
        <v>0</v>
      </c>
      <c r="H2111" s="18">
        <v>1235.0500</v>
      </c>
      <c r="I2111" s="18">
        <f ca="1">((I2110 + G2111) - H2111)</f>
        <v>0</v>
      </c>
      <c r="J2111" s="18">
        <v>0</v>
      </c>
      <c r="K2111" s="19">
        <v>0</v>
      </c>
      <c r="L2111" s="17"/>
    </row>
    <row r="2112" ht="10.95" customHeight="true" customFormat="true" s="9">
      <c r="A2112" s="16">
        <v>45446</v>
      </c>
      <c r="B2112" s="17" t="s">
        <v>424</v>
      </c>
      <c r="C2112" s="17" t="s">
        <v>425</v>
      </c>
      <c r="D2112" s="17" t="s">
        <v>22</v>
      </c>
      <c r="E2112" s="17" t="s">
        <v>426</v>
      </c>
      <c r="F2112" s="17" t="s">
        <v>529</v>
      </c>
      <c r="G2112" s="18">
        <v>0</v>
      </c>
      <c r="H2112" s="18">
        <v>1342.9000</v>
      </c>
      <c r="I2112" s="18">
        <f ca="1">((I2111 + G2112) - H2112)</f>
        <v>0</v>
      </c>
      <c r="J2112" s="18">
        <v>0</v>
      </c>
      <c r="K2112" s="19">
        <v>0</v>
      </c>
      <c r="L2112" s="17"/>
    </row>
    <row r="2113" ht="10.95" customHeight="true" customFormat="true" s="9">
      <c r="A2113" s="16">
        <v>45446</v>
      </c>
      <c r="B2113" s="17" t="s">
        <v>424</v>
      </c>
      <c r="C2113" s="17" t="s">
        <v>425</v>
      </c>
      <c r="D2113" s="17" t="s">
        <v>22</v>
      </c>
      <c r="E2113" s="17" t="s">
        <v>430</v>
      </c>
      <c r="F2113" s="17"/>
      <c r="G2113" s="18">
        <v>0</v>
      </c>
      <c r="H2113" s="18">
        <v>412.3000</v>
      </c>
      <c r="I2113" s="18">
        <f ca="1">((I2112 + G2113) - H2113)</f>
        <v>0</v>
      </c>
      <c r="J2113" s="18">
        <v>0</v>
      </c>
      <c r="K2113" s="19">
        <v>0</v>
      </c>
      <c r="L2113" s="17"/>
    </row>
    <row r="2114" ht="10.95" customHeight="true" customFormat="true" s="9">
      <c r="A2114" s="16">
        <v>45446</v>
      </c>
      <c r="B2114" s="17" t="s">
        <v>424</v>
      </c>
      <c r="C2114" s="17" t="s">
        <v>425</v>
      </c>
      <c r="D2114" s="17" t="s">
        <v>19</v>
      </c>
      <c r="E2114" s="17" t="s">
        <v>428</v>
      </c>
      <c r="F2114" s="17"/>
      <c r="G2114" s="18">
        <v>3075.3500</v>
      </c>
      <c r="H2114" s="18">
        <v>0</v>
      </c>
      <c r="I2114" s="18">
        <f ca="1">((I2113 + G2114) - H2114)</f>
        <v>0</v>
      </c>
      <c r="J2114" s="18">
        <v>0</v>
      </c>
      <c r="K2114" s="19">
        <v>0</v>
      </c>
      <c r="L2114" s="17"/>
    </row>
    <row r="2115" ht="10.95" customHeight="true" customFormat="true" s="9">
      <c r="A2115" s="16">
        <v>45446</v>
      </c>
      <c r="B2115" s="17" t="s">
        <v>424</v>
      </c>
      <c r="C2115" s="17" t="s">
        <v>425</v>
      </c>
      <c r="D2115" s="17" t="s">
        <v>22</v>
      </c>
      <c r="E2115" s="17" t="s">
        <v>34</v>
      </c>
      <c r="F2115" s="17"/>
      <c r="G2115" s="18">
        <v>0</v>
      </c>
      <c r="H2115" s="18">
        <v>2981.0000</v>
      </c>
      <c r="I2115" s="18">
        <f ca="1">((I2114 + G2115) - H2115)</f>
        <v>0</v>
      </c>
      <c r="J2115" s="18">
        <v>0</v>
      </c>
      <c r="K2115" s="19">
        <v>0</v>
      </c>
      <c r="L2115" s="17"/>
    </row>
    <row r="2116" ht="10.95" customHeight="true" customFormat="true" s="9">
      <c r="A2116" s="16">
        <v>45447</v>
      </c>
      <c r="B2116" s="17" t="s">
        <v>424</v>
      </c>
      <c r="C2116" s="17" t="s">
        <v>425</v>
      </c>
      <c r="D2116" s="17" t="s">
        <v>22</v>
      </c>
      <c r="E2116" s="17" t="s">
        <v>430</v>
      </c>
      <c r="F2116" s="17"/>
      <c r="G2116" s="18">
        <v>0</v>
      </c>
      <c r="H2116" s="18">
        <v>1884.5100</v>
      </c>
      <c r="I2116" s="18">
        <f ca="1">((I2115 + G2116) - H2116)</f>
        <v>0</v>
      </c>
      <c r="J2116" s="18">
        <v>0</v>
      </c>
      <c r="K2116" s="19">
        <v>0</v>
      </c>
      <c r="L2116" s="17"/>
    </row>
    <row r="2117" ht="10.95" customHeight="true" customFormat="true" s="9">
      <c r="A2117" s="16">
        <v>45447</v>
      </c>
      <c r="B2117" s="17" t="s">
        <v>424</v>
      </c>
      <c r="C2117" s="17" t="s">
        <v>425</v>
      </c>
      <c r="D2117" s="17" t="s">
        <v>19</v>
      </c>
      <c r="E2117" s="17" t="s">
        <v>24</v>
      </c>
      <c r="F2117" s="17"/>
      <c r="G2117" s="18">
        <v>220.0000</v>
      </c>
      <c r="H2117" s="18">
        <v>0</v>
      </c>
      <c r="I2117" s="18">
        <f ca="1">((I2116 + G2117) - H2117)</f>
        <v>0</v>
      </c>
      <c r="J2117" s="18">
        <v>0</v>
      </c>
      <c r="K2117" s="19">
        <v>0</v>
      </c>
      <c r="L2117" s="17"/>
    </row>
    <row r="2118" ht="10.95" customHeight="true" customFormat="true" s="9">
      <c r="A2118" s="16">
        <v>45448</v>
      </c>
      <c r="B2118" s="17" t="s">
        <v>424</v>
      </c>
      <c r="C2118" s="17" t="s">
        <v>425</v>
      </c>
      <c r="D2118" s="17" t="s">
        <v>22</v>
      </c>
      <c r="E2118" s="17" t="s">
        <v>438</v>
      </c>
      <c r="F2118" s="17"/>
      <c r="G2118" s="18">
        <v>0</v>
      </c>
      <c r="H2118" s="18">
        <v>9.0000</v>
      </c>
      <c r="I2118" s="18">
        <f ca="1">((I2117 + G2118) - H2118)</f>
        <v>0</v>
      </c>
      <c r="J2118" s="18">
        <v>0</v>
      </c>
      <c r="K2118" s="19">
        <v>0</v>
      </c>
      <c r="L2118" s="17"/>
    </row>
    <row r="2119" ht="10.95" customHeight="true" customFormat="true" s="9">
      <c r="A2119" s="16">
        <v>45448</v>
      </c>
      <c r="B2119" s="17" t="s">
        <v>424</v>
      </c>
      <c r="C2119" s="17" t="s">
        <v>425</v>
      </c>
      <c r="D2119" s="17" t="s">
        <v>19</v>
      </c>
      <c r="E2119" s="17" t="s">
        <v>428</v>
      </c>
      <c r="F2119" s="17"/>
      <c r="G2119" s="18">
        <v>2507.0500</v>
      </c>
      <c r="H2119" s="18">
        <v>0</v>
      </c>
      <c r="I2119" s="18">
        <f ca="1">((I2118 + G2119) - H2119)</f>
        <v>0</v>
      </c>
      <c r="J2119" s="18">
        <v>0</v>
      </c>
      <c r="K2119" s="19">
        <v>0</v>
      </c>
      <c r="L2119" s="17"/>
    </row>
    <row r="2120" ht="10.95" customHeight="true" customFormat="true" s="9">
      <c r="A2120" s="16">
        <v>45449</v>
      </c>
      <c r="B2120" s="17" t="s">
        <v>424</v>
      </c>
      <c r="C2120" s="17" t="s">
        <v>425</v>
      </c>
      <c r="D2120" s="17" t="s">
        <v>19</v>
      </c>
      <c r="E2120" s="17" t="s">
        <v>428</v>
      </c>
      <c r="F2120" s="17"/>
      <c r="G2120" s="18">
        <v>2777.0000</v>
      </c>
      <c r="H2120" s="18">
        <v>0</v>
      </c>
      <c r="I2120" s="18">
        <f ca="1">((I2119 + G2120) - H2120)</f>
        <v>0</v>
      </c>
      <c r="J2120" s="18">
        <v>0</v>
      </c>
      <c r="K2120" s="19">
        <v>0</v>
      </c>
      <c r="L2120" s="17"/>
    </row>
    <row r="2121" ht="10.95" customHeight="true" customFormat="true" s="9">
      <c r="A2121" s="16">
        <v>45450</v>
      </c>
      <c r="B2121" s="17" t="s">
        <v>424</v>
      </c>
      <c r="C2121" s="17" t="s">
        <v>425</v>
      </c>
      <c r="D2121" s="17" t="s">
        <v>19</v>
      </c>
      <c r="E2121" s="17" t="s">
        <v>428</v>
      </c>
      <c r="F2121" s="17"/>
      <c r="G2121" s="18">
        <v>1983.6500</v>
      </c>
      <c r="H2121" s="18">
        <v>0</v>
      </c>
      <c r="I2121" s="18">
        <f ca="1">((I2120 + G2121) - H2121)</f>
        <v>0</v>
      </c>
      <c r="J2121" s="18">
        <v>0</v>
      </c>
      <c r="K2121" s="19">
        <v>0</v>
      </c>
      <c r="L2121" s="17"/>
    </row>
    <row r="2122" ht="10.95" customHeight="true" customFormat="true" s="9">
      <c r="A2122" s="16">
        <v>45453</v>
      </c>
      <c r="B2122" s="17" t="s">
        <v>424</v>
      </c>
      <c r="C2122" s="17" t="s">
        <v>425</v>
      </c>
      <c r="D2122" s="17" t="s">
        <v>22</v>
      </c>
      <c r="E2122" s="17" t="s">
        <v>34</v>
      </c>
      <c r="F2122" s="17"/>
      <c r="G2122" s="18">
        <v>0</v>
      </c>
      <c r="H2122" s="18">
        <v>2590.0000</v>
      </c>
      <c r="I2122" s="18">
        <f ca="1">((I2121 + G2122) - H2122)</f>
        <v>0</v>
      </c>
      <c r="J2122" s="18">
        <v>0</v>
      </c>
      <c r="K2122" s="19">
        <v>0</v>
      </c>
      <c r="L2122" s="17"/>
    </row>
    <row r="2123" ht="10.95" customHeight="true" customFormat="true" s="9">
      <c r="A2123" s="16">
        <v>45453</v>
      </c>
      <c r="B2123" s="17" t="s">
        <v>424</v>
      </c>
      <c r="C2123" s="17" t="s">
        <v>425</v>
      </c>
      <c r="D2123" s="17" t="s">
        <v>22</v>
      </c>
      <c r="E2123" s="17" t="s">
        <v>426</v>
      </c>
      <c r="F2123" s="17" t="s">
        <v>530</v>
      </c>
      <c r="G2123" s="18">
        <v>0</v>
      </c>
      <c r="H2123" s="18">
        <v>1235.0500</v>
      </c>
      <c r="I2123" s="18">
        <f ca="1">((I2122 + G2123) - H2123)</f>
        <v>0</v>
      </c>
      <c r="J2123" s="18">
        <v>0</v>
      </c>
      <c r="K2123" s="19">
        <v>0</v>
      </c>
      <c r="L2123" s="17"/>
    </row>
    <row r="2124" ht="10.95" customHeight="true" customFormat="true" s="9">
      <c r="A2124" s="16">
        <v>45453</v>
      </c>
      <c r="B2124" s="17" t="s">
        <v>424</v>
      </c>
      <c r="C2124" s="17" t="s">
        <v>425</v>
      </c>
      <c r="D2124" s="17" t="s">
        <v>22</v>
      </c>
      <c r="E2124" s="17" t="s">
        <v>426</v>
      </c>
      <c r="F2124" s="17" t="s">
        <v>530</v>
      </c>
      <c r="G2124" s="18">
        <v>0</v>
      </c>
      <c r="H2124" s="18">
        <v>1342.9000</v>
      </c>
      <c r="I2124" s="18">
        <f ca="1">((I2123 + G2124) - H2124)</f>
        <v>0</v>
      </c>
      <c r="J2124" s="18">
        <v>0</v>
      </c>
      <c r="K2124" s="19">
        <v>0</v>
      </c>
      <c r="L2124" s="17"/>
    </row>
    <row r="2125" ht="10.95" customHeight="true" customFormat="true" s="9">
      <c r="A2125" s="16">
        <v>45453</v>
      </c>
      <c r="B2125" s="17" t="s">
        <v>424</v>
      </c>
      <c r="C2125" s="17" t="s">
        <v>425</v>
      </c>
      <c r="D2125" s="17" t="s">
        <v>22</v>
      </c>
      <c r="E2125" s="17" t="s">
        <v>426</v>
      </c>
      <c r="F2125" s="17" t="s">
        <v>531</v>
      </c>
      <c r="G2125" s="18">
        <v>0</v>
      </c>
      <c r="H2125" s="18">
        <v>136.0000</v>
      </c>
      <c r="I2125" s="18">
        <f ca="1">((I2124 + G2125) - H2125)</f>
        <v>0</v>
      </c>
      <c r="J2125" s="18">
        <v>0</v>
      </c>
      <c r="K2125" s="19">
        <v>0</v>
      </c>
      <c r="L2125" s="17"/>
    </row>
    <row r="2126" ht="10.95" customHeight="true" customFormat="true" s="9">
      <c r="A2126" s="16">
        <v>45453</v>
      </c>
      <c r="B2126" s="17" t="s">
        <v>424</v>
      </c>
      <c r="C2126" s="17" t="s">
        <v>425</v>
      </c>
      <c r="D2126" s="17" t="s">
        <v>22</v>
      </c>
      <c r="E2126" s="17" t="s">
        <v>430</v>
      </c>
      <c r="F2126" s="17"/>
      <c r="G2126" s="18">
        <v>0</v>
      </c>
      <c r="H2126" s="18">
        <v>2464.6700</v>
      </c>
      <c r="I2126" s="18">
        <f ca="1">((I2125 + G2126) - H2126)</f>
        <v>0</v>
      </c>
      <c r="J2126" s="18">
        <v>0</v>
      </c>
      <c r="K2126" s="19">
        <v>0</v>
      </c>
      <c r="L2126" s="17"/>
    </row>
    <row r="2127" ht="10.95" customHeight="true" customFormat="true" s="9">
      <c r="A2127" s="16">
        <v>45453</v>
      </c>
      <c r="B2127" s="17" t="s">
        <v>424</v>
      </c>
      <c r="C2127" s="17" t="s">
        <v>425</v>
      </c>
      <c r="D2127" s="17" t="s">
        <v>22</v>
      </c>
      <c r="E2127" s="17" t="s">
        <v>426</v>
      </c>
      <c r="F2127" s="17" t="s">
        <v>530</v>
      </c>
      <c r="G2127" s="18">
        <v>0</v>
      </c>
      <c r="H2127" s="18">
        <v>144.0000</v>
      </c>
      <c r="I2127" s="18">
        <f ca="1">((I2126 + G2127) - H2127)</f>
        <v>0</v>
      </c>
      <c r="J2127" s="18">
        <v>0</v>
      </c>
      <c r="K2127" s="19">
        <v>0</v>
      </c>
      <c r="L2127" s="17"/>
    </row>
    <row r="2128" ht="10.95" customHeight="true" customFormat="true" s="9">
      <c r="A2128" s="16">
        <v>45453</v>
      </c>
      <c r="B2128" s="17" t="s">
        <v>424</v>
      </c>
      <c r="C2128" s="17" t="s">
        <v>425</v>
      </c>
      <c r="D2128" s="17" t="s">
        <v>22</v>
      </c>
      <c r="E2128" s="17" t="s">
        <v>426</v>
      </c>
      <c r="F2128" s="17" t="s">
        <v>530</v>
      </c>
      <c r="G2128" s="18">
        <v>0</v>
      </c>
      <c r="H2128" s="18">
        <v>2000.0000</v>
      </c>
      <c r="I2128" s="18">
        <f ca="1">((I2127 + G2128) - H2128)</f>
        <v>0</v>
      </c>
      <c r="J2128" s="18">
        <v>0</v>
      </c>
      <c r="K2128" s="19">
        <v>0</v>
      </c>
      <c r="L2128" s="17"/>
    </row>
    <row r="2129" ht="10.95" customHeight="true" customFormat="true" s="9">
      <c r="A2129" s="16">
        <v>45453</v>
      </c>
      <c r="B2129" s="17" t="s">
        <v>424</v>
      </c>
      <c r="C2129" s="17" t="s">
        <v>425</v>
      </c>
      <c r="D2129" s="17" t="s">
        <v>22</v>
      </c>
      <c r="E2129" s="17" t="s">
        <v>426</v>
      </c>
      <c r="F2129" s="17" t="s">
        <v>530</v>
      </c>
      <c r="G2129" s="18">
        <v>0</v>
      </c>
      <c r="H2129" s="18">
        <v>629.0000</v>
      </c>
      <c r="I2129" s="18">
        <f ca="1">((I2128 + G2129) - H2129)</f>
        <v>0</v>
      </c>
      <c r="J2129" s="18">
        <v>0</v>
      </c>
      <c r="K2129" s="19">
        <v>0</v>
      </c>
      <c r="L2129" s="17"/>
    </row>
    <row r="2130" ht="10.95" customHeight="true" customFormat="true" s="9">
      <c r="A2130" s="16">
        <v>45453</v>
      </c>
      <c r="B2130" s="17" t="s">
        <v>424</v>
      </c>
      <c r="C2130" s="17" t="s">
        <v>425</v>
      </c>
      <c r="D2130" s="17" t="s">
        <v>22</v>
      </c>
      <c r="E2130" s="17" t="s">
        <v>430</v>
      </c>
      <c r="F2130" s="17"/>
      <c r="G2130" s="18">
        <v>0</v>
      </c>
      <c r="H2130" s="18">
        <v>395.3000</v>
      </c>
      <c r="I2130" s="18">
        <f ca="1">((I2129 + G2130) - H2130)</f>
        <v>0</v>
      </c>
      <c r="J2130" s="18">
        <v>0</v>
      </c>
      <c r="K2130" s="19">
        <v>0</v>
      </c>
      <c r="L2130" s="17"/>
    </row>
    <row r="2131" ht="10.95" customHeight="true" customFormat="true" s="9">
      <c r="A2131" s="16">
        <v>45454</v>
      </c>
      <c r="B2131" s="17" t="s">
        <v>424</v>
      </c>
      <c r="C2131" s="17" t="s">
        <v>425</v>
      </c>
      <c r="D2131" s="17" t="s">
        <v>19</v>
      </c>
      <c r="E2131" s="17" t="s">
        <v>428</v>
      </c>
      <c r="F2131" s="17"/>
      <c r="G2131" s="18">
        <v>6158.6500</v>
      </c>
      <c r="H2131" s="18">
        <v>0</v>
      </c>
      <c r="I2131" s="18">
        <f ca="1">((I2130 + G2131) - H2131)</f>
        <v>0</v>
      </c>
      <c r="J2131" s="18">
        <v>0</v>
      </c>
      <c r="K2131" s="19">
        <v>0</v>
      </c>
      <c r="L2131" s="17"/>
    </row>
    <row r="2132" ht="10.95" customHeight="true" customFormat="true" s="9">
      <c r="A2132" s="16">
        <v>45454</v>
      </c>
      <c r="B2132" s="17" t="s">
        <v>424</v>
      </c>
      <c r="C2132" s="17" t="s">
        <v>425</v>
      </c>
      <c r="D2132" s="17" t="s">
        <v>19</v>
      </c>
      <c r="E2132" s="17" t="s">
        <v>428</v>
      </c>
      <c r="F2132" s="17"/>
      <c r="G2132" s="18">
        <v>3107.5500</v>
      </c>
      <c r="H2132" s="18">
        <v>0</v>
      </c>
      <c r="I2132" s="18">
        <f ca="1">((I2131 + G2132) - H2132)</f>
        <v>0</v>
      </c>
      <c r="J2132" s="18">
        <v>0</v>
      </c>
      <c r="K2132" s="19">
        <v>0</v>
      </c>
      <c r="L2132" s="17"/>
    </row>
    <row r="2133" ht="10.95" customHeight="true" customFormat="true" s="9">
      <c r="A2133" s="16">
        <v>45454</v>
      </c>
      <c r="B2133" s="17" t="s">
        <v>424</v>
      </c>
      <c r="C2133" s="17" t="s">
        <v>425</v>
      </c>
      <c r="D2133" s="17" t="s">
        <v>19</v>
      </c>
      <c r="E2133" s="17" t="s">
        <v>428</v>
      </c>
      <c r="F2133" s="17"/>
      <c r="G2133" s="18">
        <v>5596.7000</v>
      </c>
      <c r="H2133" s="18">
        <v>0</v>
      </c>
      <c r="I2133" s="18">
        <f ca="1">((I2132 + G2133) - H2133)</f>
        <v>0</v>
      </c>
      <c r="J2133" s="18">
        <v>0</v>
      </c>
      <c r="K2133" s="19">
        <v>0</v>
      </c>
      <c r="L2133" s="17"/>
    </row>
    <row r="2134" ht="10.95" customHeight="true" customFormat="true" s="9">
      <c r="A2134" s="16">
        <v>45454</v>
      </c>
      <c r="B2134" s="17" t="s">
        <v>424</v>
      </c>
      <c r="C2134" s="17" t="s">
        <v>425</v>
      </c>
      <c r="D2134" s="17" t="s">
        <v>22</v>
      </c>
      <c r="E2134" s="17" t="s">
        <v>298</v>
      </c>
      <c r="F2134" s="17"/>
      <c r="G2134" s="18">
        <v>0</v>
      </c>
      <c r="H2134" s="18">
        <v>12833.3400</v>
      </c>
      <c r="I2134" s="18">
        <f ca="1">((I2133 + G2134) - H2134)</f>
        <v>0</v>
      </c>
      <c r="J2134" s="18">
        <v>0</v>
      </c>
      <c r="K2134" s="19">
        <v>0</v>
      </c>
      <c r="L2134" s="17"/>
    </row>
    <row r="2135" ht="10.95" customHeight="true" customFormat="true" s="9">
      <c r="A2135" s="16">
        <v>45454</v>
      </c>
      <c r="B2135" s="17" t="s">
        <v>424</v>
      </c>
      <c r="C2135" s="17" t="s">
        <v>425</v>
      </c>
      <c r="D2135" s="17" t="s">
        <v>19</v>
      </c>
      <c r="E2135" s="17" t="s">
        <v>24</v>
      </c>
      <c r="F2135" s="17"/>
      <c r="G2135" s="18">
        <v>155.0000</v>
      </c>
      <c r="H2135" s="18">
        <v>0</v>
      </c>
      <c r="I2135" s="18">
        <f ca="1">((I2134 + G2135) - H2135)</f>
        <v>0</v>
      </c>
      <c r="J2135" s="18">
        <v>0</v>
      </c>
      <c r="K2135" s="19">
        <v>0</v>
      </c>
      <c r="L2135" s="17"/>
    </row>
    <row r="2136" ht="10.95" customHeight="true" customFormat="true" s="9">
      <c r="A2136" s="16">
        <v>45454</v>
      </c>
      <c r="B2136" s="17" t="s">
        <v>424</v>
      </c>
      <c r="C2136" s="17" t="s">
        <v>425</v>
      </c>
      <c r="D2136" s="17" t="s">
        <v>22</v>
      </c>
      <c r="E2136" s="17" t="s">
        <v>430</v>
      </c>
      <c r="F2136" s="17"/>
      <c r="G2136" s="18">
        <v>0</v>
      </c>
      <c r="H2136" s="18">
        <v>912.3200</v>
      </c>
      <c r="I2136" s="18">
        <f ca="1">((I2135 + G2136) - H2136)</f>
        <v>0</v>
      </c>
      <c r="J2136" s="18">
        <v>0</v>
      </c>
      <c r="K2136" s="19">
        <v>0</v>
      </c>
      <c r="L2136" s="17"/>
    </row>
    <row r="2137" ht="10.95" customHeight="true" customFormat="true" s="9">
      <c r="A2137" s="16">
        <v>45455</v>
      </c>
      <c r="B2137" s="17" t="s">
        <v>424</v>
      </c>
      <c r="C2137" s="17" t="s">
        <v>425</v>
      </c>
      <c r="D2137" s="17" t="s">
        <v>22</v>
      </c>
      <c r="E2137" s="17" t="s">
        <v>433</v>
      </c>
      <c r="F2137" s="17"/>
      <c r="G2137" s="18">
        <v>0</v>
      </c>
      <c r="H2137" s="18">
        <v>530.0000</v>
      </c>
      <c r="I2137" s="18">
        <f ca="1">((I2136 + G2137) - H2137)</f>
        <v>0</v>
      </c>
      <c r="J2137" s="18">
        <v>0</v>
      </c>
      <c r="K2137" s="19">
        <v>0</v>
      </c>
      <c r="L2137" s="17"/>
    </row>
    <row r="2138" ht="10.95" customHeight="true" customFormat="true" s="9">
      <c r="A2138" s="16">
        <v>45455</v>
      </c>
      <c r="B2138" s="17" t="s">
        <v>424</v>
      </c>
      <c r="C2138" s="17" t="s">
        <v>425</v>
      </c>
      <c r="D2138" s="17" t="s">
        <v>22</v>
      </c>
      <c r="E2138" s="17" t="s">
        <v>438</v>
      </c>
      <c r="F2138" s="17"/>
      <c r="G2138" s="18">
        <v>0</v>
      </c>
      <c r="H2138" s="18">
        <v>14.2500</v>
      </c>
      <c r="I2138" s="18">
        <f ca="1">((I2137 + G2138) - H2138)</f>
        <v>0</v>
      </c>
      <c r="J2138" s="18">
        <v>0</v>
      </c>
      <c r="K2138" s="19">
        <v>0</v>
      </c>
      <c r="L2138" s="17"/>
    </row>
    <row r="2139" ht="10.95" customHeight="true" customFormat="true" s="9">
      <c r="A2139" s="16">
        <v>45455</v>
      </c>
      <c r="B2139" s="17" t="s">
        <v>424</v>
      </c>
      <c r="C2139" s="17" t="s">
        <v>425</v>
      </c>
      <c r="D2139" s="17" t="s">
        <v>19</v>
      </c>
      <c r="E2139" s="17" t="s">
        <v>428</v>
      </c>
      <c r="F2139" s="17"/>
      <c r="G2139" s="18">
        <v>2201.3000</v>
      </c>
      <c r="H2139" s="18">
        <v>0</v>
      </c>
      <c r="I2139" s="18">
        <f ca="1">((I2138 + G2139) - H2139)</f>
        <v>0</v>
      </c>
      <c r="J2139" s="18">
        <v>0</v>
      </c>
      <c r="K2139" s="19">
        <v>0</v>
      </c>
      <c r="L2139" s="17"/>
    </row>
    <row r="2140" ht="10.95" customHeight="true" customFormat="true" s="9">
      <c r="A2140" s="16">
        <v>45456</v>
      </c>
      <c r="B2140" s="17" t="s">
        <v>424</v>
      </c>
      <c r="C2140" s="17" t="s">
        <v>425</v>
      </c>
      <c r="D2140" s="17" t="s">
        <v>19</v>
      </c>
      <c r="E2140" s="17" t="s">
        <v>428</v>
      </c>
      <c r="F2140" s="17"/>
      <c r="G2140" s="18">
        <v>2427.2000</v>
      </c>
      <c r="H2140" s="18">
        <v>0</v>
      </c>
      <c r="I2140" s="18">
        <f ca="1">((I2139 + G2140) - H2140)</f>
        <v>0</v>
      </c>
      <c r="J2140" s="18">
        <v>0</v>
      </c>
      <c r="K2140" s="19">
        <v>0</v>
      </c>
      <c r="L2140" s="17"/>
    </row>
    <row r="2141" ht="10.95" customHeight="true" customFormat="true" s="9">
      <c r="A2141" s="16">
        <v>45457</v>
      </c>
      <c r="B2141" s="17" t="s">
        <v>424</v>
      </c>
      <c r="C2141" s="17" t="s">
        <v>425</v>
      </c>
      <c r="D2141" s="17" t="s">
        <v>22</v>
      </c>
      <c r="E2141" s="17" t="s">
        <v>430</v>
      </c>
      <c r="F2141" s="17"/>
      <c r="G2141" s="18">
        <v>0</v>
      </c>
      <c r="H2141" s="18">
        <v>1814.8100</v>
      </c>
      <c r="I2141" s="18">
        <f ca="1">((I2140 + G2141) - H2141)</f>
        <v>0</v>
      </c>
      <c r="J2141" s="18">
        <v>0</v>
      </c>
      <c r="K2141" s="19">
        <v>0</v>
      </c>
      <c r="L2141" s="17"/>
    </row>
    <row r="2142" ht="10.95" customHeight="true" customFormat="true" s="9">
      <c r="A2142" s="16">
        <v>45457</v>
      </c>
      <c r="B2142" s="17" t="s">
        <v>424</v>
      </c>
      <c r="C2142" s="17" t="s">
        <v>425</v>
      </c>
      <c r="D2142" s="17" t="s">
        <v>19</v>
      </c>
      <c r="E2142" s="17" t="s">
        <v>428</v>
      </c>
      <c r="F2142" s="17"/>
      <c r="G2142" s="18">
        <v>2795.4000</v>
      </c>
      <c r="H2142" s="18">
        <v>0</v>
      </c>
      <c r="I2142" s="18">
        <f ca="1">((I2141 + G2142) - H2142)</f>
        <v>0</v>
      </c>
      <c r="J2142" s="18">
        <v>0</v>
      </c>
      <c r="K2142" s="19">
        <v>0</v>
      </c>
      <c r="L2142" s="17"/>
    </row>
    <row r="2143" ht="10.95" customHeight="true" customFormat="true" s="9">
      <c r="A2143" s="16">
        <v>45460</v>
      </c>
      <c r="B2143" s="17" t="s">
        <v>424</v>
      </c>
      <c r="C2143" s="17" t="s">
        <v>425</v>
      </c>
      <c r="D2143" s="17" t="s">
        <v>22</v>
      </c>
      <c r="E2143" s="17" t="s">
        <v>34</v>
      </c>
      <c r="F2143" s="17"/>
      <c r="G2143" s="18">
        <v>0</v>
      </c>
      <c r="H2143" s="18">
        <v>2741.5000</v>
      </c>
      <c r="I2143" s="18">
        <f ca="1">((I2142 + G2143) - H2143)</f>
        <v>0</v>
      </c>
      <c r="J2143" s="18">
        <v>0</v>
      </c>
      <c r="K2143" s="19">
        <v>0</v>
      </c>
      <c r="L2143" s="17"/>
    </row>
    <row r="2144" ht="10.95" customHeight="true" customFormat="true" s="9">
      <c r="A2144" s="16">
        <v>45460</v>
      </c>
      <c r="B2144" s="17" t="s">
        <v>424</v>
      </c>
      <c r="C2144" s="17" t="s">
        <v>425</v>
      </c>
      <c r="D2144" s="17" t="s">
        <v>22</v>
      </c>
      <c r="E2144" s="17" t="s">
        <v>426</v>
      </c>
      <c r="F2144" s="17" t="s">
        <v>532</v>
      </c>
      <c r="G2144" s="18">
        <v>0</v>
      </c>
      <c r="H2144" s="18">
        <v>144.0000</v>
      </c>
      <c r="I2144" s="18">
        <f ca="1">((I2143 + G2144) - H2144)</f>
        <v>0</v>
      </c>
      <c r="J2144" s="18">
        <v>0</v>
      </c>
      <c r="K2144" s="19">
        <v>0</v>
      </c>
      <c r="L2144" s="17"/>
    </row>
    <row r="2145" ht="10.95" customHeight="true" customFormat="true" s="9">
      <c r="A2145" s="16">
        <v>45460</v>
      </c>
      <c r="B2145" s="17" t="s">
        <v>424</v>
      </c>
      <c r="C2145" s="17" t="s">
        <v>425</v>
      </c>
      <c r="D2145" s="17" t="s">
        <v>22</v>
      </c>
      <c r="E2145" s="17" t="s">
        <v>426</v>
      </c>
      <c r="F2145" s="17" t="s">
        <v>533</v>
      </c>
      <c r="G2145" s="18">
        <v>0</v>
      </c>
      <c r="H2145" s="18">
        <v>1342.9000</v>
      </c>
      <c r="I2145" s="18">
        <f ca="1">((I2144 + G2145) - H2145)</f>
        <v>0</v>
      </c>
      <c r="J2145" s="18">
        <v>0</v>
      </c>
      <c r="K2145" s="19">
        <v>0</v>
      </c>
      <c r="L2145" s="17"/>
    </row>
    <row r="2146" ht="10.95" customHeight="true" customFormat="true" s="9">
      <c r="A2146" s="16">
        <v>45460</v>
      </c>
      <c r="B2146" s="17" t="s">
        <v>424</v>
      </c>
      <c r="C2146" s="17" t="s">
        <v>425</v>
      </c>
      <c r="D2146" s="17" t="s">
        <v>22</v>
      </c>
      <c r="E2146" s="17" t="s">
        <v>426</v>
      </c>
      <c r="F2146" s="17" t="s">
        <v>532</v>
      </c>
      <c r="G2146" s="18">
        <v>0</v>
      </c>
      <c r="H2146" s="18">
        <v>2000.0000</v>
      </c>
      <c r="I2146" s="18">
        <f ca="1">((I2145 + G2146) - H2146)</f>
        <v>0</v>
      </c>
      <c r="J2146" s="18">
        <v>0</v>
      </c>
      <c r="K2146" s="19">
        <v>0</v>
      </c>
      <c r="L2146" s="17"/>
    </row>
    <row r="2147" ht="10.95" customHeight="true" customFormat="true" s="9">
      <c r="A2147" s="16">
        <v>45460</v>
      </c>
      <c r="B2147" s="17" t="s">
        <v>424</v>
      </c>
      <c r="C2147" s="17" t="s">
        <v>425</v>
      </c>
      <c r="D2147" s="17" t="s">
        <v>22</v>
      </c>
      <c r="E2147" s="17" t="s">
        <v>426</v>
      </c>
      <c r="F2147" s="17" t="s">
        <v>532</v>
      </c>
      <c r="G2147" s="18">
        <v>0</v>
      </c>
      <c r="H2147" s="18">
        <v>1235.0500</v>
      </c>
      <c r="I2147" s="18">
        <f ca="1">((I2146 + G2147) - H2147)</f>
        <v>0</v>
      </c>
      <c r="J2147" s="18">
        <v>0</v>
      </c>
      <c r="K2147" s="19">
        <v>0</v>
      </c>
      <c r="L2147" s="17"/>
    </row>
    <row r="2148" ht="10.95" customHeight="true" customFormat="true" s="9">
      <c r="A2148" s="16">
        <v>45460</v>
      </c>
      <c r="B2148" s="17" t="s">
        <v>424</v>
      </c>
      <c r="C2148" s="17" t="s">
        <v>425</v>
      </c>
      <c r="D2148" s="17" t="s">
        <v>22</v>
      </c>
      <c r="E2148" s="17" t="s">
        <v>426</v>
      </c>
      <c r="F2148" s="17" t="s">
        <v>532</v>
      </c>
      <c r="G2148" s="18">
        <v>0</v>
      </c>
      <c r="H2148" s="18">
        <v>272.0000</v>
      </c>
      <c r="I2148" s="18">
        <f ca="1">((I2147 + G2148) - H2148)</f>
        <v>0</v>
      </c>
      <c r="J2148" s="18">
        <v>0</v>
      </c>
      <c r="K2148" s="19">
        <v>0</v>
      </c>
      <c r="L2148" s="17"/>
    </row>
    <row r="2149" ht="10.95" customHeight="true" customFormat="true" s="9">
      <c r="A2149" s="16">
        <v>45460</v>
      </c>
      <c r="B2149" s="17" t="s">
        <v>424</v>
      </c>
      <c r="C2149" s="17" t="s">
        <v>425</v>
      </c>
      <c r="D2149" s="17" t="s">
        <v>22</v>
      </c>
      <c r="E2149" s="17" t="s">
        <v>426</v>
      </c>
      <c r="F2149" s="17" t="s">
        <v>532</v>
      </c>
      <c r="G2149" s="18">
        <v>0</v>
      </c>
      <c r="H2149" s="18">
        <v>629.0000</v>
      </c>
      <c r="I2149" s="18">
        <f ca="1">((I2148 + G2149) - H2149)</f>
        <v>0</v>
      </c>
      <c r="J2149" s="18">
        <v>0</v>
      </c>
      <c r="K2149" s="19">
        <v>0</v>
      </c>
      <c r="L2149" s="17"/>
    </row>
    <row r="2150" ht="10.95" customHeight="true" customFormat="true" s="9">
      <c r="A2150" s="16">
        <v>45460</v>
      </c>
      <c r="B2150" s="17" t="s">
        <v>424</v>
      </c>
      <c r="C2150" s="17" t="s">
        <v>425</v>
      </c>
      <c r="D2150" s="17" t="s">
        <v>19</v>
      </c>
      <c r="E2150" s="17" t="s">
        <v>24</v>
      </c>
      <c r="F2150" s="17"/>
      <c r="G2150" s="18">
        <v>100.0000</v>
      </c>
      <c r="H2150" s="18">
        <v>0</v>
      </c>
      <c r="I2150" s="18">
        <f ca="1">((I2149 + G2150) - H2150)</f>
        <v>0</v>
      </c>
      <c r="J2150" s="18">
        <v>0</v>
      </c>
      <c r="K2150" s="19">
        <v>0</v>
      </c>
      <c r="L2150" s="17"/>
    </row>
    <row r="2151" ht="10.95" customHeight="true" customFormat="true" s="9">
      <c r="A2151" s="16">
        <v>45460</v>
      </c>
      <c r="B2151" s="17" t="s">
        <v>424</v>
      </c>
      <c r="C2151" s="17" t="s">
        <v>425</v>
      </c>
      <c r="D2151" s="17" t="s">
        <v>19</v>
      </c>
      <c r="E2151" s="17" t="s">
        <v>428</v>
      </c>
      <c r="F2151" s="17"/>
      <c r="G2151" s="18">
        <v>2914.9000</v>
      </c>
      <c r="H2151" s="18">
        <v>0</v>
      </c>
      <c r="I2151" s="18">
        <f ca="1">((I2150 + G2151) - H2151)</f>
        <v>0</v>
      </c>
      <c r="J2151" s="18">
        <v>0</v>
      </c>
      <c r="K2151" s="19">
        <v>0</v>
      </c>
      <c r="L2151" s="17"/>
    </row>
    <row r="2152" ht="10.95" customHeight="true" customFormat="true" s="9">
      <c r="A2152" s="16">
        <v>45460</v>
      </c>
      <c r="B2152" s="17" t="s">
        <v>424</v>
      </c>
      <c r="C2152" s="17" t="s">
        <v>425</v>
      </c>
      <c r="D2152" s="17" t="s">
        <v>19</v>
      </c>
      <c r="E2152" s="17" t="s">
        <v>428</v>
      </c>
      <c r="F2152" s="17"/>
      <c r="G2152" s="18">
        <v>6196.6500</v>
      </c>
      <c r="H2152" s="18">
        <v>0</v>
      </c>
      <c r="I2152" s="18">
        <f ca="1">((I2151 + G2152) - H2152)</f>
        <v>0</v>
      </c>
      <c r="J2152" s="18">
        <v>0</v>
      </c>
      <c r="K2152" s="19">
        <v>0</v>
      </c>
      <c r="L2152" s="17"/>
    </row>
    <row r="2153" ht="10.95" customHeight="true" customFormat="true" s="9">
      <c r="A2153" s="16">
        <v>45460</v>
      </c>
      <c r="B2153" s="17" t="s">
        <v>424</v>
      </c>
      <c r="C2153" s="17" t="s">
        <v>425</v>
      </c>
      <c r="D2153" s="17" t="s">
        <v>19</v>
      </c>
      <c r="E2153" s="17" t="s">
        <v>428</v>
      </c>
      <c r="F2153" s="17"/>
      <c r="G2153" s="18">
        <v>6357.1500</v>
      </c>
      <c r="H2153" s="18">
        <v>0</v>
      </c>
      <c r="I2153" s="18">
        <f ca="1">((I2152 + G2153) - H2153)</f>
        <v>0</v>
      </c>
      <c r="J2153" s="18">
        <v>0</v>
      </c>
      <c r="K2153" s="19">
        <v>0</v>
      </c>
      <c r="L2153" s="17"/>
    </row>
    <row r="2154" ht="10.95" customHeight="true" customFormat="true" s="9">
      <c r="A2154" s="16">
        <v>45461</v>
      </c>
      <c r="B2154" s="17" t="s">
        <v>424</v>
      </c>
      <c r="C2154" s="17" t="s">
        <v>425</v>
      </c>
      <c r="D2154" s="17" t="s">
        <v>22</v>
      </c>
      <c r="E2154" s="17" t="s">
        <v>466</v>
      </c>
      <c r="F2154" s="17"/>
      <c r="G2154" s="18">
        <v>0</v>
      </c>
      <c r="H2154" s="18">
        <v>7699.7800</v>
      </c>
      <c r="I2154" s="18">
        <f ca="1">((I2153 + G2154) - H2154)</f>
        <v>0</v>
      </c>
      <c r="J2154" s="18">
        <v>0</v>
      </c>
      <c r="K2154" s="19">
        <v>0</v>
      </c>
      <c r="L2154" s="17"/>
    </row>
    <row r="2155" ht="10.95" customHeight="true" customFormat="true" s="9">
      <c r="A2155" s="16">
        <v>45461</v>
      </c>
      <c r="B2155" s="17" t="s">
        <v>424</v>
      </c>
      <c r="C2155" s="17" t="s">
        <v>425</v>
      </c>
      <c r="D2155" s="17" t="s">
        <v>19</v>
      </c>
      <c r="E2155" s="17" t="s">
        <v>45</v>
      </c>
      <c r="F2155" s="17"/>
      <c r="G2155" s="18">
        <v>3630.0000</v>
      </c>
      <c r="H2155" s="18">
        <v>0</v>
      </c>
      <c r="I2155" s="18">
        <f ca="1">((I2154 + G2155) - H2155)</f>
        <v>0</v>
      </c>
      <c r="J2155" s="18">
        <v>0</v>
      </c>
      <c r="K2155" s="19">
        <v>0</v>
      </c>
      <c r="L2155" s="17"/>
    </row>
    <row r="2156" ht="10.95" customHeight="true" customFormat="true" s="9">
      <c r="A2156" s="16">
        <v>45461</v>
      </c>
      <c r="B2156" s="17" t="s">
        <v>424</v>
      </c>
      <c r="C2156" s="17" t="s">
        <v>425</v>
      </c>
      <c r="D2156" s="17" t="s">
        <v>22</v>
      </c>
      <c r="E2156" s="17" t="s">
        <v>66</v>
      </c>
      <c r="F2156" s="17"/>
      <c r="G2156" s="18">
        <v>0</v>
      </c>
      <c r="H2156" s="18">
        <v>1849.0000</v>
      </c>
      <c r="I2156" s="18">
        <f ca="1">((I2155 + G2156) - H2156)</f>
        <v>0</v>
      </c>
      <c r="J2156" s="18">
        <v>0</v>
      </c>
      <c r="K2156" s="19">
        <v>0</v>
      </c>
      <c r="L2156" s="17"/>
    </row>
    <row r="2157" ht="10.95" customHeight="true" customFormat="true" s="9">
      <c r="A2157" s="16">
        <v>45461</v>
      </c>
      <c r="B2157" s="17" t="s">
        <v>424</v>
      </c>
      <c r="C2157" s="17" t="s">
        <v>425</v>
      </c>
      <c r="D2157" s="17" t="s">
        <v>22</v>
      </c>
      <c r="E2157" s="17" t="s">
        <v>436</v>
      </c>
      <c r="F2157" s="17"/>
      <c r="G2157" s="18">
        <v>0</v>
      </c>
      <c r="H2157" s="18">
        <v>153.5000</v>
      </c>
      <c r="I2157" s="18">
        <f ca="1">((I2156 + G2157) - H2157)</f>
        <v>0</v>
      </c>
      <c r="J2157" s="18">
        <v>0</v>
      </c>
      <c r="K2157" s="19">
        <v>0</v>
      </c>
      <c r="L2157" s="17"/>
    </row>
    <row r="2158" ht="10.95" customHeight="true" customFormat="true" s="9">
      <c r="A2158" s="16">
        <v>45462</v>
      </c>
      <c r="B2158" s="17" t="s">
        <v>424</v>
      </c>
      <c r="C2158" s="17" t="s">
        <v>425</v>
      </c>
      <c r="D2158" s="17" t="s">
        <v>19</v>
      </c>
      <c r="E2158" s="17" t="s">
        <v>428</v>
      </c>
      <c r="F2158" s="17"/>
      <c r="G2158" s="18">
        <v>2578.8500</v>
      </c>
      <c r="H2158" s="18">
        <v>0</v>
      </c>
      <c r="I2158" s="18">
        <f ca="1">((I2157 + G2158) - H2158)</f>
        <v>0</v>
      </c>
      <c r="J2158" s="18">
        <v>0</v>
      </c>
      <c r="K2158" s="19">
        <v>0</v>
      </c>
      <c r="L2158" s="17"/>
    </row>
    <row r="2159" ht="10.95" customHeight="true" customFormat="true" s="9">
      <c r="A2159" s="16">
        <v>45463</v>
      </c>
      <c r="B2159" s="17" t="s">
        <v>424</v>
      </c>
      <c r="C2159" s="17" t="s">
        <v>425</v>
      </c>
      <c r="D2159" s="17" t="s">
        <v>19</v>
      </c>
      <c r="E2159" s="17" t="s">
        <v>428</v>
      </c>
      <c r="F2159" s="17"/>
      <c r="G2159" s="18">
        <v>2262.0000</v>
      </c>
      <c r="H2159" s="18">
        <v>0</v>
      </c>
      <c r="I2159" s="18">
        <f ca="1">((I2158 + G2159) - H2159)</f>
        <v>0</v>
      </c>
      <c r="J2159" s="18">
        <v>0</v>
      </c>
      <c r="K2159" s="19">
        <v>0</v>
      </c>
      <c r="L2159" s="17"/>
    </row>
    <row r="2160" ht="10.95" customHeight="true" customFormat="true" s="9">
      <c r="A2160" s="16">
        <v>45464</v>
      </c>
      <c r="B2160" s="17" t="s">
        <v>424</v>
      </c>
      <c r="C2160" s="17" t="s">
        <v>425</v>
      </c>
      <c r="D2160" s="17" t="s">
        <v>22</v>
      </c>
      <c r="E2160" s="17" t="s">
        <v>445</v>
      </c>
      <c r="F2160" s="17"/>
      <c r="G2160" s="18">
        <v>0</v>
      </c>
      <c r="H2160" s="18">
        <v>887.1200</v>
      </c>
      <c r="I2160" s="18">
        <f ca="1">((I2159 + G2160) - H2160)</f>
        <v>0</v>
      </c>
      <c r="J2160" s="18">
        <v>0</v>
      </c>
      <c r="K2160" s="19">
        <v>0</v>
      </c>
      <c r="L2160" s="17"/>
    </row>
    <row r="2161" ht="10.95" customHeight="true" customFormat="true" s="9">
      <c r="A2161" s="16">
        <v>45464</v>
      </c>
      <c r="B2161" s="17" t="s">
        <v>424</v>
      </c>
      <c r="C2161" s="17" t="s">
        <v>425</v>
      </c>
      <c r="D2161" s="17" t="s">
        <v>22</v>
      </c>
      <c r="E2161" s="17" t="s">
        <v>430</v>
      </c>
      <c r="F2161" s="17"/>
      <c r="G2161" s="18">
        <v>0</v>
      </c>
      <c r="H2161" s="18">
        <v>2287.8600</v>
      </c>
      <c r="I2161" s="18">
        <f ca="1">((I2160 + G2161) - H2161)</f>
        <v>0</v>
      </c>
      <c r="J2161" s="18">
        <v>0</v>
      </c>
      <c r="K2161" s="19">
        <v>0</v>
      </c>
      <c r="L2161" s="17"/>
    </row>
    <row r="2162" ht="10.95" customHeight="true" customFormat="true" s="9">
      <c r="A2162" s="16">
        <v>45464</v>
      </c>
      <c r="B2162" s="17" t="s">
        <v>424</v>
      </c>
      <c r="C2162" s="17" t="s">
        <v>425</v>
      </c>
      <c r="D2162" s="17" t="s">
        <v>22</v>
      </c>
      <c r="E2162" s="17" t="s">
        <v>430</v>
      </c>
      <c r="F2162" s="17"/>
      <c r="G2162" s="18">
        <v>0</v>
      </c>
      <c r="H2162" s="18">
        <v>1698.4400</v>
      </c>
      <c r="I2162" s="18">
        <f ca="1">((I2161 + G2162) - H2162)</f>
        <v>0</v>
      </c>
      <c r="J2162" s="18">
        <v>0</v>
      </c>
      <c r="K2162" s="19">
        <v>0</v>
      </c>
      <c r="L2162" s="17"/>
    </row>
    <row r="2163" ht="10.95" customHeight="true" customFormat="true" s="9">
      <c r="A2163" s="16">
        <v>45464</v>
      </c>
      <c r="B2163" s="17" t="s">
        <v>424</v>
      </c>
      <c r="C2163" s="17" t="s">
        <v>425</v>
      </c>
      <c r="D2163" s="17" t="s">
        <v>19</v>
      </c>
      <c r="E2163" s="17" t="s">
        <v>428</v>
      </c>
      <c r="F2163" s="17"/>
      <c r="G2163" s="18">
        <v>2797.3000</v>
      </c>
      <c r="H2163" s="18">
        <v>0</v>
      </c>
      <c r="I2163" s="18">
        <f ca="1">((I2162 + G2163) - H2163)</f>
        <v>0</v>
      </c>
      <c r="J2163" s="18">
        <v>0</v>
      </c>
      <c r="K2163" s="19">
        <v>0</v>
      </c>
      <c r="L2163" s="17"/>
    </row>
    <row r="2164" ht="10.95" customHeight="true" customFormat="true" s="9">
      <c r="A2164" s="16">
        <v>45464</v>
      </c>
      <c r="B2164" s="17" t="s">
        <v>424</v>
      </c>
      <c r="C2164" s="17" t="s">
        <v>425</v>
      </c>
      <c r="D2164" s="17" t="s">
        <v>22</v>
      </c>
      <c r="E2164" s="17" t="s">
        <v>434</v>
      </c>
      <c r="F2164" s="17"/>
      <c r="G2164" s="18">
        <v>0</v>
      </c>
      <c r="H2164" s="18">
        <v>549.6000</v>
      </c>
      <c r="I2164" s="18">
        <f ca="1">((I2163 + G2164) - H2164)</f>
        <v>0</v>
      </c>
      <c r="J2164" s="18">
        <v>0</v>
      </c>
      <c r="K2164" s="19">
        <v>0</v>
      </c>
      <c r="L2164" s="17"/>
    </row>
    <row r="2165" ht="10.95" customHeight="true" customFormat="true" s="9">
      <c r="A2165" s="16">
        <v>45467</v>
      </c>
      <c r="B2165" s="17" t="s">
        <v>424</v>
      </c>
      <c r="C2165" s="17" t="s">
        <v>425</v>
      </c>
      <c r="D2165" s="17" t="s">
        <v>22</v>
      </c>
      <c r="E2165" s="17" t="s">
        <v>431</v>
      </c>
      <c r="F2165" s="17"/>
      <c r="G2165" s="18">
        <v>0</v>
      </c>
      <c r="H2165" s="18">
        <v>172.0000</v>
      </c>
      <c r="I2165" s="18">
        <f ca="1">((I2164 + G2165) - H2165)</f>
        <v>0</v>
      </c>
      <c r="J2165" s="18">
        <v>0</v>
      </c>
      <c r="K2165" s="19">
        <v>0</v>
      </c>
      <c r="L2165" s="17"/>
    </row>
    <row r="2166" ht="10.95" customHeight="true" customFormat="true" s="9">
      <c r="A2166" s="16">
        <v>45467</v>
      </c>
      <c r="B2166" s="17" t="s">
        <v>424</v>
      </c>
      <c r="C2166" s="17" t="s">
        <v>425</v>
      </c>
      <c r="D2166" s="17" t="s">
        <v>19</v>
      </c>
      <c r="E2166" s="17" t="s">
        <v>428</v>
      </c>
      <c r="F2166" s="17"/>
      <c r="G2166" s="18">
        <v>3349.3000</v>
      </c>
      <c r="H2166" s="18">
        <v>0</v>
      </c>
      <c r="I2166" s="18">
        <f ca="1">((I2165 + G2166) - H2166)</f>
        <v>0</v>
      </c>
      <c r="J2166" s="18">
        <v>0</v>
      </c>
      <c r="K2166" s="19">
        <v>0</v>
      </c>
      <c r="L2166" s="17"/>
    </row>
    <row r="2167" ht="10.95" customHeight="true" customFormat="true" s="9">
      <c r="A2167" s="16">
        <v>45467</v>
      </c>
      <c r="B2167" s="17" t="s">
        <v>424</v>
      </c>
      <c r="C2167" s="17" t="s">
        <v>425</v>
      </c>
      <c r="D2167" s="17" t="s">
        <v>22</v>
      </c>
      <c r="E2167" s="17" t="s">
        <v>34</v>
      </c>
      <c r="F2167" s="17"/>
      <c r="G2167" s="18">
        <v>0</v>
      </c>
      <c r="H2167" s="18">
        <v>2827.5000</v>
      </c>
      <c r="I2167" s="18">
        <f ca="1">((I2166 + G2167) - H2167)</f>
        <v>0</v>
      </c>
      <c r="J2167" s="18">
        <v>0</v>
      </c>
      <c r="K2167" s="19">
        <v>0</v>
      </c>
      <c r="L2167" s="17"/>
    </row>
    <row r="2168" ht="10.95" customHeight="true" customFormat="true" s="9">
      <c r="A2168" s="16">
        <v>45467</v>
      </c>
      <c r="B2168" s="17" t="s">
        <v>424</v>
      </c>
      <c r="C2168" s="17" t="s">
        <v>425</v>
      </c>
      <c r="D2168" s="17" t="s">
        <v>19</v>
      </c>
      <c r="E2168" s="17" t="s">
        <v>428</v>
      </c>
      <c r="F2168" s="17"/>
      <c r="G2168" s="18">
        <v>5131.8500</v>
      </c>
      <c r="H2168" s="18">
        <v>0</v>
      </c>
      <c r="I2168" s="18">
        <f ca="1">((I2167 + G2168) - H2168)</f>
        <v>0</v>
      </c>
      <c r="J2168" s="18">
        <v>0</v>
      </c>
      <c r="K2168" s="19">
        <v>0</v>
      </c>
      <c r="L2168" s="17"/>
    </row>
    <row r="2169" ht="10.95" customHeight="true" customFormat="true" s="9">
      <c r="A2169" s="16">
        <v>45467</v>
      </c>
      <c r="B2169" s="17" t="s">
        <v>424</v>
      </c>
      <c r="C2169" s="17" t="s">
        <v>425</v>
      </c>
      <c r="D2169" s="17" t="s">
        <v>22</v>
      </c>
      <c r="E2169" s="17" t="s">
        <v>426</v>
      </c>
      <c r="F2169" s="17" t="s">
        <v>534</v>
      </c>
      <c r="G2169" s="18">
        <v>0</v>
      </c>
      <c r="H2169" s="18">
        <v>1342.9000</v>
      </c>
      <c r="I2169" s="18">
        <f ca="1">((I2168 + G2169) - H2169)</f>
        <v>0</v>
      </c>
      <c r="J2169" s="18">
        <v>0</v>
      </c>
      <c r="K2169" s="19">
        <v>0</v>
      </c>
      <c r="L2169" s="17"/>
    </row>
    <row r="2170" ht="10.95" customHeight="true" customFormat="true" s="9">
      <c r="A2170" s="16">
        <v>45467</v>
      </c>
      <c r="B2170" s="17" t="s">
        <v>424</v>
      </c>
      <c r="C2170" s="17" t="s">
        <v>425</v>
      </c>
      <c r="D2170" s="17" t="s">
        <v>22</v>
      </c>
      <c r="E2170" s="17" t="s">
        <v>426</v>
      </c>
      <c r="F2170" s="17" t="s">
        <v>534</v>
      </c>
      <c r="G2170" s="18">
        <v>0</v>
      </c>
      <c r="H2170" s="18">
        <v>272.0000</v>
      </c>
      <c r="I2170" s="18">
        <f ca="1">((I2169 + G2170) - H2170)</f>
        <v>0</v>
      </c>
      <c r="J2170" s="18">
        <v>0</v>
      </c>
      <c r="K2170" s="19">
        <v>0</v>
      </c>
      <c r="L2170" s="17"/>
    </row>
    <row r="2171" ht="10.95" customHeight="true" customFormat="true" s="9">
      <c r="A2171" s="16">
        <v>45467</v>
      </c>
      <c r="B2171" s="17" t="s">
        <v>424</v>
      </c>
      <c r="C2171" s="17" t="s">
        <v>425</v>
      </c>
      <c r="D2171" s="17" t="s">
        <v>22</v>
      </c>
      <c r="E2171" s="17" t="s">
        <v>442</v>
      </c>
      <c r="F2171" s="17"/>
      <c r="G2171" s="18">
        <v>0</v>
      </c>
      <c r="H2171" s="18">
        <v>183.9600</v>
      </c>
      <c r="I2171" s="18">
        <f ca="1">((I2170 + G2171) - H2171)</f>
        <v>0</v>
      </c>
      <c r="J2171" s="18">
        <v>0</v>
      </c>
      <c r="K2171" s="19">
        <v>0</v>
      </c>
      <c r="L2171" s="17"/>
    </row>
    <row r="2172" ht="10.95" customHeight="true" customFormat="true" s="9">
      <c r="A2172" s="16">
        <v>45467</v>
      </c>
      <c r="B2172" s="17" t="s">
        <v>424</v>
      </c>
      <c r="C2172" s="17" t="s">
        <v>425</v>
      </c>
      <c r="D2172" s="17" t="s">
        <v>22</v>
      </c>
      <c r="E2172" s="17" t="s">
        <v>426</v>
      </c>
      <c r="F2172" s="17" t="s">
        <v>534</v>
      </c>
      <c r="G2172" s="18">
        <v>0</v>
      </c>
      <c r="H2172" s="18">
        <v>144.0000</v>
      </c>
      <c r="I2172" s="18">
        <f ca="1">((I2171 + G2172) - H2172)</f>
        <v>0</v>
      </c>
      <c r="J2172" s="18">
        <v>0</v>
      </c>
      <c r="K2172" s="19">
        <v>0</v>
      </c>
      <c r="L2172" s="17"/>
    </row>
    <row r="2173" ht="10.95" customHeight="true" customFormat="true" s="9">
      <c r="A2173" s="16">
        <v>45467</v>
      </c>
      <c r="B2173" s="17" t="s">
        <v>424</v>
      </c>
      <c r="C2173" s="17" t="s">
        <v>425</v>
      </c>
      <c r="D2173" s="17" t="s">
        <v>22</v>
      </c>
      <c r="E2173" s="17" t="s">
        <v>426</v>
      </c>
      <c r="F2173" s="17" t="s">
        <v>534</v>
      </c>
      <c r="G2173" s="18">
        <v>0</v>
      </c>
      <c r="H2173" s="18">
        <v>1235.0500</v>
      </c>
      <c r="I2173" s="18">
        <f ca="1">((I2172 + G2173) - H2173)</f>
        <v>0</v>
      </c>
      <c r="J2173" s="18">
        <v>0</v>
      </c>
      <c r="K2173" s="19">
        <v>0</v>
      </c>
      <c r="L2173" s="17"/>
    </row>
    <row r="2174" ht="10.95" customHeight="true" customFormat="true" s="9">
      <c r="A2174" s="16">
        <v>45467</v>
      </c>
      <c r="B2174" s="17" t="s">
        <v>424</v>
      </c>
      <c r="C2174" s="17" t="s">
        <v>425</v>
      </c>
      <c r="D2174" s="17" t="s">
        <v>19</v>
      </c>
      <c r="E2174" s="17" t="s">
        <v>428</v>
      </c>
      <c r="F2174" s="17"/>
      <c r="G2174" s="18">
        <v>6181.1500</v>
      </c>
      <c r="H2174" s="18">
        <v>0</v>
      </c>
      <c r="I2174" s="18">
        <f ca="1">((I2173 + G2174) - H2174)</f>
        <v>0</v>
      </c>
      <c r="J2174" s="18">
        <v>0</v>
      </c>
      <c r="K2174" s="19">
        <v>0</v>
      </c>
      <c r="L2174" s="17"/>
    </row>
    <row r="2175" ht="10.95" customHeight="true" customFormat="true" s="9">
      <c r="A2175" s="16">
        <v>45467</v>
      </c>
      <c r="B2175" s="17" t="s">
        <v>424</v>
      </c>
      <c r="C2175" s="17" t="s">
        <v>425</v>
      </c>
      <c r="D2175" s="17" t="s">
        <v>19</v>
      </c>
      <c r="E2175" s="17" t="s">
        <v>24</v>
      </c>
      <c r="F2175" s="17"/>
      <c r="G2175" s="18">
        <v>160.0000</v>
      </c>
      <c r="H2175" s="18">
        <v>0</v>
      </c>
      <c r="I2175" s="18">
        <f ca="1">((I2174 + G2175) - H2175)</f>
        <v>0</v>
      </c>
      <c r="J2175" s="18">
        <v>0</v>
      </c>
      <c r="K2175" s="19">
        <v>0</v>
      </c>
      <c r="L2175" s="17"/>
    </row>
    <row r="2176" ht="10.95" customHeight="true" customFormat="true" s="9">
      <c r="A2176" s="16">
        <v>45467</v>
      </c>
      <c r="B2176" s="17" t="s">
        <v>424</v>
      </c>
      <c r="C2176" s="17" t="s">
        <v>425</v>
      </c>
      <c r="D2176" s="17" t="s">
        <v>22</v>
      </c>
      <c r="E2176" s="17" t="s">
        <v>426</v>
      </c>
      <c r="F2176" s="17" t="s">
        <v>534</v>
      </c>
      <c r="G2176" s="18">
        <v>0</v>
      </c>
      <c r="H2176" s="18">
        <v>629.0000</v>
      </c>
      <c r="I2176" s="18">
        <f ca="1">((I2175 + G2176) - H2176)</f>
        <v>0</v>
      </c>
      <c r="J2176" s="18">
        <v>0</v>
      </c>
      <c r="K2176" s="19">
        <v>0</v>
      </c>
      <c r="L2176" s="17"/>
    </row>
    <row r="2177" ht="10.95" customHeight="true" customFormat="true" s="9">
      <c r="A2177" s="16">
        <v>45467</v>
      </c>
      <c r="B2177" s="17" t="s">
        <v>424</v>
      </c>
      <c r="C2177" s="17" t="s">
        <v>425</v>
      </c>
      <c r="D2177" s="17" t="s">
        <v>22</v>
      </c>
      <c r="E2177" s="17" t="s">
        <v>426</v>
      </c>
      <c r="F2177" s="17" t="s">
        <v>534</v>
      </c>
      <c r="G2177" s="18">
        <v>0</v>
      </c>
      <c r="H2177" s="18">
        <v>2000.0000</v>
      </c>
      <c r="I2177" s="18">
        <f ca="1">((I2176 + G2177) - H2177)</f>
        <v>0</v>
      </c>
      <c r="J2177" s="18">
        <v>0</v>
      </c>
      <c r="K2177" s="19">
        <v>0</v>
      </c>
      <c r="L2177" s="17"/>
    </row>
    <row r="2178" ht="10.95" customHeight="true" customFormat="true" s="9">
      <c r="A2178" s="16">
        <v>45467</v>
      </c>
      <c r="B2178" s="17" t="s">
        <v>424</v>
      </c>
      <c r="C2178" s="17" t="s">
        <v>425</v>
      </c>
      <c r="D2178" s="17" t="s">
        <v>22</v>
      </c>
      <c r="E2178" s="17" t="s">
        <v>433</v>
      </c>
      <c r="F2178" s="17"/>
      <c r="G2178" s="18">
        <v>0</v>
      </c>
      <c r="H2178" s="18">
        <v>548.6300</v>
      </c>
      <c r="I2178" s="18">
        <f ca="1">((I2177 + G2178) - H2178)</f>
        <v>0</v>
      </c>
      <c r="J2178" s="18">
        <v>0</v>
      </c>
      <c r="K2178" s="19">
        <v>0</v>
      </c>
      <c r="L2178" s="17"/>
    </row>
    <row r="2179" ht="10.95" customHeight="true" customFormat="true" s="9">
      <c r="A2179" s="16">
        <v>45468</v>
      </c>
      <c r="B2179" s="17" t="s">
        <v>424</v>
      </c>
      <c r="C2179" s="17" t="s">
        <v>425</v>
      </c>
      <c r="D2179" s="17" t="s">
        <v>19</v>
      </c>
      <c r="E2179" s="17" t="s">
        <v>428</v>
      </c>
      <c r="F2179" s="17"/>
      <c r="G2179" s="18">
        <v>4.5000</v>
      </c>
      <c r="H2179" s="18">
        <v>0</v>
      </c>
      <c r="I2179" s="18">
        <f ca="1">((I2178 + G2179) - H2179)</f>
        <v>0</v>
      </c>
      <c r="J2179" s="18">
        <v>0</v>
      </c>
      <c r="K2179" s="19">
        <v>0</v>
      </c>
      <c r="L2179" s="17"/>
    </row>
    <row r="2180" ht="10.95" customHeight="true" customFormat="true" s="9">
      <c r="A2180" s="16">
        <v>45469</v>
      </c>
      <c r="B2180" s="17" t="s">
        <v>424</v>
      </c>
      <c r="C2180" s="17" t="s">
        <v>425</v>
      </c>
      <c r="D2180" s="17" t="s">
        <v>22</v>
      </c>
      <c r="E2180" s="17" t="s">
        <v>426</v>
      </c>
      <c r="F2180" s="17" t="s">
        <v>535</v>
      </c>
      <c r="G2180" s="18">
        <v>0</v>
      </c>
      <c r="H2180" s="18">
        <v>126.0000</v>
      </c>
      <c r="I2180" s="18">
        <f ca="1">((I2179 + G2180) - H2180)</f>
        <v>0</v>
      </c>
      <c r="J2180" s="18">
        <v>0</v>
      </c>
      <c r="K2180" s="19">
        <v>0</v>
      </c>
      <c r="L2180" s="17"/>
    </row>
    <row r="2181" ht="10.95" customHeight="true" customFormat="true" s="9">
      <c r="A2181" s="16">
        <v>45469</v>
      </c>
      <c r="B2181" s="17" t="s">
        <v>424</v>
      </c>
      <c r="C2181" s="17" t="s">
        <v>425</v>
      </c>
      <c r="D2181" s="17" t="s">
        <v>19</v>
      </c>
      <c r="E2181" s="17" t="s">
        <v>428</v>
      </c>
      <c r="F2181" s="17"/>
      <c r="G2181" s="18">
        <v>2608.8500</v>
      </c>
      <c r="H2181" s="18">
        <v>0</v>
      </c>
      <c r="I2181" s="18">
        <f ca="1">((I2180 + G2181) - H2181)</f>
        <v>0</v>
      </c>
      <c r="J2181" s="18">
        <v>0</v>
      </c>
      <c r="K2181" s="19">
        <v>0</v>
      </c>
      <c r="L2181" s="17"/>
    </row>
    <row r="2182" ht="10.95" customHeight="true" customFormat="true" s="9">
      <c r="A2182" s="16">
        <v>45470</v>
      </c>
      <c r="B2182" s="17" t="s">
        <v>424</v>
      </c>
      <c r="C2182" s="17" t="s">
        <v>425</v>
      </c>
      <c r="D2182" s="17" t="s">
        <v>19</v>
      </c>
      <c r="E2182" s="17" t="s">
        <v>428</v>
      </c>
      <c r="F2182" s="17"/>
      <c r="G2182" s="18">
        <v>2636.3500</v>
      </c>
      <c r="H2182" s="18">
        <v>0</v>
      </c>
      <c r="I2182" s="18">
        <f ca="1">((I2181 + G2182) - H2182)</f>
        <v>0</v>
      </c>
      <c r="J2182" s="18">
        <v>0</v>
      </c>
      <c r="K2182" s="19">
        <v>0</v>
      </c>
      <c r="L2182" s="17"/>
    </row>
    <row r="2183" ht="10.95" customHeight="true" customFormat="true" s="9">
      <c r="A2183" s="16">
        <v>45470</v>
      </c>
      <c r="B2183" s="17" t="s">
        <v>424</v>
      </c>
      <c r="C2183" s="17" t="s">
        <v>425</v>
      </c>
      <c r="D2183" s="17" t="s">
        <v>22</v>
      </c>
      <c r="E2183" s="17" t="s">
        <v>461</v>
      </c>
      <c r="F2183" s="17"/>
      <c r="G2183" s="18">
        <v>0</v>
      </c>
      <c r="H2183" s="18">
        <v>3433.8100</v>
      </c>
      <c r="I2183" s="18">
        <f ca="1">((I2182 + G2183) - H2183)</f>
        <v>0</v>
      </c>
      <c r="J2183" s="18">
        <v>0</v>
      </c>
      <c r="K2183" s="19">
        <v>0</v>
      </c>
      <c r="L2183" s="17"/>
    </row>
    <row r="2184" ht="10.95" customHeight="true" customFormat="true" s="9">
      <c r="A2184" s="16">
        <v>45471</v>
      </c>
      <c r="B2184" s="17" t="s">
        <v>424</v>
      </c>
      <c r="C2184" s="17" t="s">
        <v>425</v>
      </c>
      <c r="D2184" s="17" t="s">
        <v>22</v>
      </c>
      <c r="E2184" s="17" t="s">
        <v>447</v>
      </c>
      <c r="F2184" s="17"/>
      <c r="G2184" s="18">
        <v>0</v>
      </c>
      <c r="H2184" s="18">
        <v>10.0000</v>
      </c>
      <c r="I2184" s="18">
        <f ca="1">((I2183 + G2184) - H2184)</f>
        <v>0</v>
      </c>
      <c r="J2184" s="18">
        <v>0</v>
      </c>
      <c r="K2184" s="19">
        <v>0</v>
      </c>
      <c r="L2184" s="17"/>
    </row>
    <row r="2185" ht="10.95" customHeight="true" customFormat="true" s="9">
      <c r="A2185" s="16">
        <v>45471</v>
      </c>
      <c r="B2185" s="17" t="s">
        <v>424</v>
      </c>
      <c r="C2185" s="17" t="s">
        <v>425</v>
      </c>
      <c r="D2185" s="17" t="s">
        <v>22</v>
      </c>
      <c r="E2185" s="17" t="s">
        <v>438</v>
      </c>
      <c r="F2185" s="17"/>
      <c r="G2185" s="18">
        <v>0</v>
      </c>
      <c r="H2185" s="18">
        <v>10.0000</v>
      </c>
      <c r="I2185" s="18">
        <f ca="1">((I2184 + G2185) - H2185)</f>
        <v>0</v>
      </c>
      <c r="J2185" s="18">
        <v>0</v>
      </c>
      <c r="K2185" s="19">
        <v>0</v>
      </c>
      <c r="L2185" s="17"/>
    </row>
    <row r="2186" ht="10.95" customHeight="true" customFormat="true" s="9">
      <c r="A2186" s="16">
        <v>45471</v>
      </c>
      <c r="B2186" s="17" t="s">
        <v>424</v>
      </c>
      <c r="C2186" s="17" t="s">
        <v>425</v>
      </c>
      <c r="D2186" s="17" t="s">
        <v>22</v>
      </c>
      <c r="E2186" s="17" t="s">
        <v>430</v>
      </c>
      <c r="F2186" s="17"/>
      <c r="G2186" s="18">
        <v>0</v>
      </c>
      <c r="H2186" s="18">
        <v>1499.5400</v>
      </c>
      <c r="I2186" s="18">
        <f ca="1">((I2185 + G2186) - H2186)</f>
        <v>0</v>
      </c>
      <c r="J2186" s="18">
        <v>0</v>
      </c>
      <c r="K2186" s="19">
        <v>0</v>
      </c>
      <c r="L2186" s="17"/>
    </row>
    <row r="2187" ht="10.95" customHeight="true" customFormat="true" s="9">
      <c r="A2187" s="16">
        <v>45471</v>
      </c>
      <c r="B2187" s="17" t="s">
        <v>424</v>
      </c>
      <c r="C2187" s="17" t="s">
        <v>425</v>
      </c>
      <c r="D2187" s="17" t="s">
        <v>19</v>
      </c>
      <c r="E2187" s="17" t="s">
        <v>428</v>
      </c>
      <c r="F2187" s="17"/>
      <c r="G2187" s="18">
        <v>2990.7500</v>
      </c>
      <c r="H2187" s="18">
        <v>0</v>
      </c>
      <c r="I2187" s="18">
        <f ca="1">((I2186 + G2187) - H2187)</f>
        <v>0</v>
      </c>
      <c r="J2187" s="18">
        <v>0</v>
      </c>
      <c r="K2187" s="19">
        <v>0</v>
      </c>
      <c r="L2187" s="17"/>
    </row>
    <row r="2188" ht="10.95" customHeight="true" customFormat="true" s="9">
      <c r="A2188" s="16">
        <v>45471</v>
      </c>
      <c r="B2188" s="17" t="s">
        <v>424</v>
      </c>
      <c r="C2188" s="17" t="s">
        <v>425</v>
      </c>
      <c r="D2188" s="17" t="s">
        <v>22</v>
      </c>
      <c r="E2188" s="17" t="s">
        <v>430</v>
      </c>
      <c r="F2188" s="17"/>
      <c r="G2188" s="18">
        <v>0</v>
      </c>
      <c r="H2188" s="18">
        <v>2538.6600</v>
      </c>
      <c r="I2188" s="18">
        <f ca="1">((I2187 + G2188) - H2188)</f>
        <v>0</v>
      </c>
      <c r="J2188" s="18">
        <v>0</v>
      </c>
      <c r="K2188" s="19">
        <v>0</v>
      </c>
      <c r="L2188" s="17"/>
    </row>
    <row r="2189" ht="10.95" customHeight="true" customFormat="true" s="9">
      <c r="A2189" s="20" t="s">
        <v>536</v>
      </c>
      <c r="B2189" s="20"/>
      <c r="C2189" s="20"/>
      <c r="D2189" s="20"/>
      <c r="E2189" s="20"/>
      <c r="F2189" s="20"/>
      <c r="G2189" s="21">
        <f ca="1">SUM(G1159:G2188)</f>
        <v>0</v>
      </c>
      <c r="H2189" s="21">
        <f ca="1">SUM(H1159:H2188)</f>
        <v>0</v>
      </c>
      <c r="I2189" s="21">
        <f ca="1">I2188</f>
        <v>0</v>
      </c>
      <c r="J2189" s="21">
        <f ca="1">SUM(J1159:J2188)</f>
        <v>0</v>
      </c>
      <c r="K2189" s="20"/>
      <c r="L2189" s="20"/>
    </row>
    <row r="2190" ht="10.95" customHeight="true" customFormat="true" s="9">
      <c r="A2190" s="20" t="s">
        <v>53</v>
      </c>
      <c r="B2190" s="20"/>
      <c r="C2190" s="20"/>
      <c r="D2190" s="20"/>
      <c r="E2190" s="20"/>
      <c r="F2190" s="20"/>
      <c r="G2190" s="21">
        <v>84791.2100</v>
      </c>
      <c r="H2190" s="21">
        <v>0</v>
      </c>
      <c r="I2190" s="21">
        <v>0</v>
      </c>
      <c r="J2190" s="21">
        <v>0</v>
      </c>
      <c r="K2190" s="20"/>
      <c r="L2190" s="20"/>
    </row>
    <row r="2191" ht="10.95" customHeight="true" customFormat="true" s="9">
      <c r="A2191" s="10" t="s">
        <v>54</v>
      </c>
      <c r="B2191" s="10"/>
      <c r="C2191" s="10"/>
      <c r="D2191" s="10"/>
      <c r="E2191" s="10"/>
      <c r="F2191" s="10"/>
      <c r="G2191" s="11">
        <v>142811.5000</v>
      </c>
      <c r="H2191" s="11">
        <v>0</v>
      </c>
      <c r="I2191" s="11">
        <f ca="1">I2188</f>
        <v>0</v>
      </c>
      <c r="J2191" s="11">
        <v>0</v>
      </c>
      <c r="K2191" s="10"/>
      <c r="L2191" s="10"/>
    </row>
    <row r="2192" ht="13.35" customHeight="true"/>
    <row r="2193" ht="12.1" customHeight="true" customFormat="true" s="5">
      <c r="A2193" s="8" t="s">
        <v>537</v>
      </c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</row>
    <row r="2194" ht="10.95" customHeight="true" customFormat="true" s="9">
      <c r="A2194" s="10" t="s">
        <v>16</v>
      </c>
      <c r="B2194" s="10"/>
      <c r="C2194" s="10"/>
      <c r="D2194" s="10"/>
      <c r="E2194" s="10"/>
      <c r="F2194" s="10"/>
      <c r="G2194" s="11">
        <v>143390.3300</v>
      </c>
      <c r="H2194" s="11">
        <v>0</v>
      </c>
      <c r="I2194" s="11">
        <f ca="1">(G2194 - H2194)</f>
        <v>0</v>
      </c>
      <c r="J2194" s="11">
        <v>0</v>
      </c>
      <c r="K2194" s="10"/>
      <c r="L2194" s="10"/>
    </row>
    <row r="2195" ht="10.95" customHeight="true" customFormat="true" s="9">
      <c r="A2195" s="12">
        <v>45135</v>
      </c>
      <c r="B2195" s="13" t="s">
        <v>538</v>
      </c>
      <c r="C2195" s="13" t="s">
        <v>417</v>
      </c>
      <c r="D2195" s="13" t="s">
        <v>22</v>
      </c>
      <c r="E2195" s="13" t="s">
        <v>539</v>
      </c>
      <c r="F2195" s="13"/>
      <c r="G2195" s="14">
        <v>20000.0000</v>
      </c>
      <c r="H2195" s="14">
        <v>0</v>
      </c>
      <c r="I2195" s="14">
        <f ca="1">((I2194 + G2195) - H2195)</f>
        <v>0</v>
      </c>
      <c r="J2195" s="14">
        <v>0</v>
      </c>
      <c r="K2195" s="15">
        <v>0</v>
      </c>
      <c r="L2195" s="13" t="s">
        <v>28</v>
      </c>
    </row>
    <row r="2196" ht="10.95" customHeight="true" customFormat="true" s="9">
      <c r="A2196" s="16">
        <v>45166</v>
      </c>
      <c r="B2196" s="17" t="s">
        <v>538</v>
      </c>
      <c r="C2196" s="17" t="s">
        <v>417</v>
      </c>
      <c r="D2196" s="17" t="s">
        <v>22</v>
      </c>
      <c r="E2196" s="17" t="s">
        <v>539</v>
      </c>
      <c r="F2196" s="17"/>
      <c r="G2196" s="18">
        <v>10000.0000</v>
      </c>
      <c r="H2196" s="18">
        <v>0</v>
      </c>
      <c r="I2196" s="18">
        <f ca="1">((I2195 + G2196) - H2196)</f>
        <v>0</v>
      </c>
      <c r="J2196" s="18">
        <v>0</v>
      </c>
      <c r="K2196" s="19">
        <v>0</v>
      </c>
      <c r="L2196" s="17" t="s">
        <v>28</v>
      </c>
    </row>
    <row r="2197" ht="10.95" customHeight="true" customFormat="true" s="9">
      <c r="A2197" s="16">
        <v>45198</v>
      </c>
      <c r="B2197" s="17" t="s">
        <v>538</v>
      </c>
      <c r="C2197" s="17" t="s">
        <v>417</v>
      </c>
      <c r="D2197" s="17" t="s">
        <v>22</v>
      </c>
      <c r="E2197" s="17" t="s">
        <v>539</v>
      </c>
      <c r="F2197" s="17"/>
      <c r="G2197" s="18">
        <v>12500.0000</v>
      </c>
      <c r="H2197" s="18">
        <v>0</v>
      </c>
      <c r="I2197" s="18">
        <f ca="1">((I2196 + G2197) - H2197)</f>
        <v>0</v>
      </c>
      <c r="J2197" s="18">
        <v>0</v>
      </c>
      <c r="K2197" s="19">
        <v>0</v>
      </c>
      <c r="L2197" s="17" t="s">
        <v>28</v>
      </c>
    </row>
    <row r="2198" ht="10.95" customHeight="true" customFormat="true" s="9">
      <c r="A2198" s="16">
        <v>45230</v>
      </c>
      <c r="B2198" s="17" t="s">
        <v>538</v>
      </c>
      <c r="C2198" s="17" t="s">
        <v>417</v>
      </c>
      <c r="D2198" s="17" t="s">
        <v>22</v>
      </c>
      <c r="E2198" s="17" t="s">
        <v>539</v>
      </c>
      <c r="F2198" s="17"/>
      <c r="G2198" s="18">
        <v>5000.0000</v>
      </c>
      <c r="H2198" s="18">
        <v>0</v>
      </c>
      <c r="I2198" s="18">
        <f ca="1">((I2197 + G2198) - H2198)</f>
        <v>0</v>
      </c>
      <c r="J2198" s="18">
        <v>0</v>
      </c>
      <c r="K2198" s="19">
        <v>0</v>
      </c>
      <c r="L2198" s="17" t="s">
        <v>28</v>
      </c>
    </row>
    <row r="2199" ht="10.95" customHeight="true" customFormat="true" s="9">
      <c r="A2199" s="16">
        <v>45473</v>
      </c>
      <c r="B2199" s="17" t="s">
        <v>538</v>
      </c>
      <c r="C2199" s="17" t="s">
        <v>417</v>
      </c>
      <c r="D2199" s="17" t="s">
        <v>25</v>
      </c>
      <c r="E2199" s="17" t="s">
        <v>540</v>
      </c>
      <c r="F2199" s="17" t="s">
        <v>50</v>
      </c>
      <c r="G2199" s="18">
        <v>0</v>
      </c>
      <c r="H2199" s="18">
        <v>47500.0000</v>
      </c>
      <c r="I2199" s="18">
        <f ca="1">((I2198 + G2199) - H2199)</f>
        <v>0</v>
      </c>
      <c r="J2199" s="18">
        <v>0</v>
      </c>
      <c r="K2199" s="19">
        <v>0</v>
      </c>
      <c r="L2199" s="17" t="s">
        <v>28</v>
      </c>
    </row>
    <row r="2200" ht="10.95" customHeight="true" customFormat="true" s="9">
      <c r="A2200" s="16">
        <v>45473</v>
      </c>
      <c r="B2200" s="17" t="s">
        <v>538</v>
      </c>
      <c r="C2200" s="17" t="s">
        <v>417</v>
      </c>
      <c r="D2200" s="17" t="s">
        <v>25</v>
      </c>
      <c r="E2200" s="17" t="s">
        <v>541</v>
      </c>
      <c r="F2200" s="17" t="s">
        <v>50</v>
      </c>
      <c r="G2200" s="18">
        <v>0</v>
      </c>
      <c r="H2200" s="18">
        <v>10985.1800</v>
      </c>
      <c r="I2200" s="18">
        <f ca="1">((I2199 + G2200) - H2200)</f>
        <v>0</v>
      </c>
      <c r="J2200" s="18">
        <v>0</v>
      </c>
      <c r="K2200" s="19">
        <v>0</v>
      </c>
      <c r="L2200" s="17" t="s">
        <v>28</v>
      </c>
    </row>
    <row r="2201" ht="10.95" customHeight="true" customFormat="true" s="9">
      <c r="A2201" s="20" t="s">
        <v>542</v>
      </c>
      <c r="B2201" s="20"/>
      <c r="C2201" s="20"/>
      <c r="D2201" s="20"/>
      <c r="E2201" s="20"/>
      <c r="F2201" s="20"/>
      <c r="G2201" s="21">
        <f ca="1">SUM(G2195:G2200)</f>
        <v>0</v>
      </c>
      <c r="H2201" s="21">
        <f ca="1">SUM(H2195:H2200)</f>
        <v>0</v>
      </c>
      <c r="I2201" s="21">
        <f ca="1">I2200</f>
        <v>0</v>
      </c>
      <c r="J2201" s="21">
        <f ca="1">SUM(J2195:J2200)</f>
        <v>0</v>
      </c>
      <c r="K2201" s="20"/>
      <c r="L2201" s="20"/>
    </row>
    <row r="2202" ht="10.95" customHeight="true" customFormat="true" s="9">
      <c r="A2202" s="20" t="s">
        <v>53</v>
      </c>
      <c r="B2202" s="20"/>
      <c r="C2202" s="20"/>
      <c r="D2202" s="20"/>
      <c r="E2202" s="20"/>
      <c r="F2202" s="20"/>
      <c r="G2202" s="21">
        <v>0</v>
      </c>
      <c r="H2202" s="21">
        <v>10985.1800</v>
      </c>
      <c r="I2202" s="21">
        <v>0</v>
      </c>
      <c r="J2202" s="21">
        <v>0</v>
      </c>
      <c r="K2202" s="20"/>
      <c r="L2202" s="20"/>
    </row>
    <row r="2203" ht="10.95" customHeight="true" customFormat="true" s="9">
      <c r="A2203" s="10" t="s">
        <v>54</v>
      </c>
      <c r="B2203" s="10"/>
      <c r="C2203" s="10"/>
      <c r="D2203" s="10"/>
      <c r="E2203" s="10"/>
      <c r="F2203" s="10"/>
      <c r="G2203" s="11">
        <v>132405.1500</v>
      </c>
      <c r="H2203" s="11">
        <v>0</v>
      </c>
      <c r="I2203" s="11">
        <f ca="1">I2200</f>
        <v>0</v>
      </c>
      <c r="J2203" s="11">
        <v>0</v>
      </c>
      <c r="K2203" s="10"/>
      <c r="L2203" s="10"/>
    </row>
    <row r="2204" ht="13.35" customHeight="true"/>
    <row r="2205" ht="12.1" customHeight="true" customFormat="true" s="5">
      <c r="A2205" s="8" t="s">
        <v>543</v>
      </c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</row>
    <row r="2206" ht="10.95" customHeight="true" customFormat="true" s="9">
      <c r="A2206" s="10" t="s">
        <v>16</v>
      </c>
      <c r="B2206" s="10"/>
      <c r="C2206" s="10"/>
      <c r="D2206" s="10"/>
      <c r="E2206" s="10"/>
      <c r="F2206" s="10"/>
      <c r="G2206" s="11">
        <v>5400.0000</v>
      </c>
      <c r="H2206" s="11">
        <v>0</v>
      </c>
      <c r="I2206" s="11">
        <f ca="1">(G2206 - H2206)</f>
        <v>0</v>
      </c>
      <c r="J2206" s="11">
        <v>0</v>
      </c>
      <c r="K2206" s="10"/>
      <c r="L2206" s="10"/>
    </row>
    <row r="2207" ht="10.95" customHeight="true" customFormat="true" s="9">
      <c r="A2207" s="12">
        <v>45473</v>
      </c>
      <c r="B2207" s="13" t="s">
        <v>544</v>
      </c>
      <c r="C2207" s="13" t="s">
        <v>417</v>
      </c>
      <c r="D2207" s="13" t="s">
        <v>25</v>
      </c>
      <c r="E2207" s="13" t="s">
        <v>71</v>
      </c>
      <c r="F2207" s="13" t="s">
        <v>50</v>
      </c>
      <c r="G2207" s="14">
        <v>0</v>
      </c>
      <c r="H2207" s="14">
        <v>5400.0000</v>
      </c>
      <c r="I2207" s="14">
        <f ca="1">((I2206 + G2207) - H2207)</f>
        <v>0</v>
      </c>
      <c r="J2207" s="14">
        <v>0</v>
      </c>
      <c r="K2207" s="15">
        <v>0</v>
      </c>
      <c r="L2207" s="13" t="s">
        <v>28</v>
      </c>
    </row>
    <row r="2208" ht="10.95" customHeight="true" customFormat="true" s="9">
      <c r="A2208" s="16">
        <v>45473</v>
      </c>
      <c r="B2208" s="17" t="s">
        <v>544</v>
      </c>
      <c r="C2208" s="17" t="s">
        <v>417</v>
      </c>
      <c r="D2208" s="17" t="s">
        <v>25</v>
      </c>
      <c r="E2208" s="17" t="s">
        <v>75</v>
      </c>
      <c r="F2208" s="17" t="s">
        <v>50</v>
      </c>
      <c r="G2208" s="18">
        <v>5400.0000</v>
      </c>
      <c r="H2208" s="18">
        <v>0</v>
      </c>
      <c r="I2208" s="18">
        <f ca="1">((I2207 + G2208) - H2208)</f>
        <v>0</v>
      </c>
      <c r="J2208" s="18">
        <v>0</v>
      </c>
      <c r="K2208" s="19">
        <v>0</v>
      </c>
      <c r="L2208" s="17" t="s">
        <v>28</v>
      </c>
    </row>
    <row r="2209" ht="10.95" customHeight="true" customFormat="true" s="9">
      <c r="A2209" s="20" t="s">
        <v>545</v>
      </c>
      <c r="B2209" s="20"/>
      <c r="C2209" s="20"/>
      <c r="D2209" s="20"/>
      <c r="E2209" s="20"/>
      <c r="F2209" s="20"/>
      <c r="G2209" s="21">
        <f ca="1">SUM(G2207:G2208)</f>
        <v>0</v>
      </c>
      <c r="H2209" s="21">
        <f ca="1">SUM(H2207:H2208)</f>
        <v>0</v>
      </c>
      <c r="I2209" s="21">
        <f ca="1">I2208</f>
        <v>0</v>
      </c>
      <c r="J2209" s="21">
        <f ca="1">SUM(J2207:J2208)</f>
        <v>0</v>
      </c>
      <c r="K2209" s="20"/>
      <c r="L2209" s="20"/>
    </row>
    <row r="2210" ht="10.95" customHeight="true" customFormat="true" s="9">
      <c r="A2210" s="20" t="s">
        <v>53</v>
      </c>
      <c r="B2210" s="20"/>
      <c r="C2210" s="20"/>
      <c r="D2210" s="20"/>
      <c r="E2210" s="20"/>
      <c r="F2210" s="20"/>
      <c r="G2210" s="21">
        <v>0</v>
      </c>
      <c r="H2210" s="21">
        <v>0</v>
      </c>
      <c r="I2210" s="21">
        <v>0</v>
      </c>
      <c r="J2210" s="21">
        <v>0</v>
      </c>
      <c r="K2210" s="20"/>
      <c r="L2210" s="20"/>
    </row>
    <row r="2211" ht="10.95" customHeight="true" customFormat="true" s="9">
      <c r="A2211" s="10" t="s">
        <v>54</v>
      </c>
      <c r="B2211" s="10"/>
      <c r="C2211" s="10"/>
      <c r="D2211" s="10"/>
      <c r="E2211" s="10"/>
      <c r="F2211" s="10"/>
      <c r="G2211" s="11">
        <v>5400.0000</v>
      </c>
      <c r="H2211" s="11">
        <v>0</v>
      </c>
      <c r="I2211" s="11">
        <f ca="1">I2208</f>
        <v>0</v>
      </c>
      <c r="J2211" s="11">
        <v>0</v>
      </c>
      <c r="K2211" s="10"/>
      <c r="L2211" s="10"/>
    </row>
    <row r="2212" ht="13.35" customHeight="true"/>
    <row r="2213" ht="12.1" customHeight="true" customFormat="true" s="5">
      <c r="A2213" s="8" t="s">
        <v>546</v>
      </c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</row>
    <row r="2214" ht="10.95" customHeight="true" customFormat="true" s="9">
      <c r="A2214" s="10" t="s">
        <v>16</v>
      </c>
      <c r="B2214" s="10"/>
      <c r="C2214" s="10"/>
      <c r="D2214" s="10"/>
      <c r="E2214" s="10"/>
      <c r="F2214" s="10"/>
      <c r="G2214" s="11">
        <v>1526.3600</v>
      </c>
      <c r="H2214" s="11">
        <v>0</v>
      </c>
      <c r="I2214" s="11">
        <f ca="1">(G2214 - H2214)</f>
        <v>0</v>
      </c>
      <c r="J2214" s="11">
        <v>0</v>
      </c>
      <c r="K2214" s="10"/>
      <c r="L2214" s="10"/>
    </row>
    <row r="2215" ht="10.95" customHeight="true" customFormat="true" s="9">
      <c r="A2215" s="13"/>
      <c r="B2215" s="13" t="s">
        <v>547</v>
      </c>
      <c r="C2215" s="13" t="s">
        <v>548</v>
      </c>
      <c r="D2215" s="13"/>
      <c r="E2215" s="13" t="s">
        <v>421</v>
      </c>
      <c r="F2215" s="13"/>
      <c r="G2215" s="14">
        <v>0</v>
      </c>
      <c r="H2215" s="14">
        <v>0</v>
      </c>
      <c r="I2215" s="14">
        <f ca="1">((I2214 + G2215) - H2215)</f>
        <v>0</v>
      </c>
      <c r="J2215" s="14">
        <v>0</v>
      </c>
      <c r="K2215" s="15">
        <v>0</v>
      </c>
      <c r="L2215" s="13"/>
    </row>
    <row r="2216" ht="10.95" customHeight="true" customFormat="true" s="9">
      <c r="A2216" s="20" t="s">
        <v>549</v>
      </c>
      <c r="B2216" s="20"/>
      <c r="C2216" s="20"/>
      <c r="D2216" s="20"/>
      <c r="E2216" s="20"/>
      <c r="F2216" s="20"/>
      <c r="G2216" s="21">
        <f ca="1">G2215</f>
        <v>0</v>
      </c>
      <c r="H2216" s="21">
        <f ca="1">H2215</f>
        <v>0</v>
      </c>
      <c r="I2216" s="21">
        <f ca="1">I2215</f>
        <v>0</v>
      </c>
      <c r="J2216" s="21">
        <f ca="1">J2215</f>
        <v>0</v>
      </c>
      <c r="K2216" s="20"/>
      <c r="L2216" s="20"/>
    </row>
    <row r="2217" ht="10.95" customHeight="true" customFormat="true" s="9">
      <c r="A2217" s="20" t="s">
        <v>53</v>
      </c>
      <c r="B2217" s="20"/>
      <c r="C2217" s="20"/>
      <c r="D2217" s="20"/>
      <c r="E2217" s="20"/>
      <c r="F2217" s="20"/>
      <c r="G2217" s="21">
        <v>0</v>
      </c>
      <c r="H2217" s="21">
        <v>0</v>
      </c>
      <c r="I2217" s="21">
        <v>0</v>
      </c>
      <c r="J2217" s="21">
        <v>0</v>
      </c>
      <c r="K2217" s="20"/>
      <c r="L2217" s="20"/>
    </row>
    <row r="2218" ht="10.95" customHeight="true" customFormat="true" s="9">
      <c r="A2218" s="10" t="s">
        <v>54</v>
      </c>
      <c r="B2218" s="10"/>
      <c r="C2218" s="10"/>
      <c r="D2218" s="10"/>
      <c r="E2218" s="10"/>
      <c r="F2218" s="10"/>
      <c r="G2218" s="11">
        <v>1526.3600</v>
      </c>
      <c r="H2218" s="11">
        <v>0</v>
      </c>
      <c r="I2218" s="11">
        <f ca="1">I2215</f>
        <v>0</v>
      </c>
      <c r="J2218" s="11">
        <v>0</v>
      </c>
      <c r="K2218" s="10"/>
      <c r="L2218" s="10"/>
    </row>
    <row r="2219" ht="13.35" customHeight="true"/>
    <row r="2220" ht="12.1" customHeight="true" customFormat="true" s="5">
      <c r="A2220" s="8" t="s">
        <v>550</v>
      </c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</row>
    <row r="2221" ht="10.95" customHeight="true" customFormat="true" s="9">
      <c r="A2221" s="10" t="s">
        <v>16</v>
      </c>
      <c r="B2221" s="10"/>
      <c r="C2221" s="10"/>
      <c r="D2221" s="10"/>
      <c r="E2221" s="10"/>
      <c r="F2221" s="10"/>
      <c r="G2221" s="11">
        <v>0</v>
      </c>
      <c r="H2221" s="11">
        <v>1526.3600</v>
      </c>
      <c r="I2221" s="11">
        <f ca="1">(G2221 - H2221)</f>
        <v>0</v>
      </c>
      <c r="J2221" s="11">
        <v>0</v>
      </c>
      <c r="K2221" s="10"/>
      <c r="L2221" s="10"/>
    </row>
    <row r="2222" ht="10.95" customHeight="true" customFormat="true" s="9">
      <c r="A2222" s="13"/>
      <c r="B2222" s="13" t="s">
        <v>551</v>
      </c>
      <c r="C2222" s="13" t="s">
        <v>548</v>
      </c>
      <c r="D2222" s="13"/>
      <c r="E2222" s="13" t="s">
        <v>421</v>
      </c>
      <c r="F2222" s="13"/>
      <c r="G2222" s="14">
        <v>0</v>
      </c>
      <c r="H2222" s="14">
        <v>0</v>
      </c>
      <c r="I2222" s="14">
        <f ca="1">((I2221 + G2222) - H2222)</f>
        <v>0</v>
      </c>
      <c r="J2222" s="14">
        <v>0</v>
      </c>
      <c r="K2222" s="15">
        <v>0</v>
      </c>
      <c r="L2222" s="13"/>
    </row>
    <row r="2223" ht="10.95" customHeight="true" customFormat="true" s="9">
      <c r="A2223" s="20" t="s">
        <v>552</v>
      </c>
      <c r="B2223" s="20"/>
      <c r="C2223" s="20"/>
      <c r="D2223" s="20"/>
      <c r="E2223" s="20"/>
      <c r="F2223" s="20"/>
      <c r="G2223" s="21">
        <f ca="1">G2222</f>
        <v>0</v>
      </c>
      <c r="H2223" s="21">
        <f ca="1">H2222</f>
        <v>0</v>
      </c>
      <c r="I2223" s="21">
        <f ca="1">I2222</f>
        <v>0</v>
      </c>
      <c r="J2223" s="21">
        <f ca="1">J2222</f>
        <v>0</v>
      </c>
      <c r="K2223" s="20"/>
      <c r="L2223" s="20"/>
    </row>
    <row r="2224" ht="10.95" customHeight="true" customFormat="true" s="9">
      <c r="A2224" s="20" t="s">
        <v>53</v>
      </c>
      <c r="B2224" s="20"/>
      <c r="C2224" s="20"/>
      <c r="D2224" s="20"/>
      <c r="E2224" s="20"/>
      <c r="F2224" s="20"/>
      <c r="G2224" s="21">
        <v>0</v>
      </c>
      <c r="H2224" s="21">
        <v>0</v>
      </c>
      <c r="I2224" s="21">
        <v>0</v>
      </c>
      <c r="J2224" s="21">
        <v>0</v>
      </c>
      <c r="K2224" s="20"/>
      <c r="L2224" s="20"/>
    </row>
    <row r="2225" ht="10.95" customHeight="true" customFormat="true" s="9">
      <c r="A2225" s="10" t="s">
        <v>54</v>
      </c>
      <c r="B2225" s="10"/>
      <c r="C2225" s="10"/>
      <c r="D2225" s="10"/>
      <c r="E2225" s="10"/>
      <c r="F2225" s="10"/>
      <c r="G2225" s="11">
        <v>0</v>
      </c>
      <c r="H2225" s="11">
        <v>1526.3600</v>
      </c>
      <c r="I2225" s="11">
        <f ca="1">I2222</f>
        <v>0</v>
      </c>
      <c r="J2225" s="11">
        <v>0</v>
      </c>
      <c r="K2225" s="10"/>
      <c r="L2225" s="10"/>
    </row>
    <row r="2226" ht="13.35" customHeight="true"/>
    <row r="2227" ht="12.1" customHeight="true" customFormat="true" s="5">
      <c r="A2227" s="8" t="s">
        <v>553</v>
      </c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</row>
    <row r="2228" ht="10.95" customHeight="true" customFormat="true" s="9">
      <c r="A2228" s="10" t="s">
        <v>16</v>
      </c>
      <c r="B2228" s="10"/>
      <c r="C2228" s="10"/>
      <c r="D2228" s="10"/>
      <c r="E2228" s="10"/>
      <c r="F2228" s="10"/>
      <c r="G2228" s="11">
        <v>234769.4100</v>
      </c>
      <c r="H2228" s="11">
        <v>0</v>
      </c>
      <c r="I2228" s="11">
        <f ca="1">(G2228 - H2228)</f>
        <v>0</v>
      </c>
      <c r="J2228" s="11">
        <v>0</v>
      </c>
      <c r="K2228" s="10"/>
      <c r="L2228" s="10"/>
    </row>
    <row r="2229" ht="10.95" customHeight="true" customFormat="true" s="9">
      <c r="A2229" s="12">
        <v>45473</v>
      </c>
      <c r="B2229" s="13" t="s">
        <v>554</v>
      </c>
      <c r="C2229" s="13" t="s">
        <v>548</v>
      </c>
      <c r="D2229" s="13" t="s">
        <v>25</v>
      </c>
      <c r="E2229" s="13" t="s">
        <v>324</v>
      </c>
      <c r="F2229" s="13" t="s">
        <v>50</v>
      </c>
      <c r="G2229" s="14">
        <v>3296.1000</v>
      </c>
      <c r="H2229" s="14">
        <v>0</v>
      </c>
      <c r="I2229" s="14">
        <f ca="1">((I2228 + G2229) - H2229)</f>
        <v>0</v>
      </c>
      <c r="J2229" s="14">
        <v>0</v>
      </c>
      <c r="K2229" s="15">
        <v>0</v>
      </c>
      <c r="L2229" s="13" t="s">
        <v>28</v>
      </c>
    </row>
    <row r="2230" ht="10.95" customHeight="true" customFormat="true" s="9">
      <c r="A2230" s="20" t="s">
        <v>555</v>
      </c>
      <c r="B2230" s="20"/>
      <c r="C2230" s="20"/>
      <c r="D2230" s="20"/>
      <c r="E2230" s="20"/>
      <c r="F2230" s="20"/>
      <c r="G2230" s="21">
        <f ca="1">G2229</f>
        <v>0</v>
      </c>
      <c r="H2230" s="21">
        <f ca="1">H2229</f>
        <v>0</v>
      </c>
      <c r="I2230" s="21">
        <f ca="1">I2229</f>
        <v>0</v>
      </c>
      <c r="J2230" s="21">
        <f ca="1">J2229</f>
        <v>0</v>
      </c>
      <c r="K2230" s="20"/>
      <c r="L2230" s="20"/>
    </row>
    <row r="2231" ht="10.95" customHeight="true" customFormat="true" s="9">
      <c r="A2231" s="20" t="s">
        <v>53</v>
      </c>
      <c r="B2231" s="20"/>
      <c r="C2231" s="20"/>
      <c r="D2231" s="20"/>
      <c r="E2231" s="20"/>
      <c r="F2231" s="20"/>
      <c r="G2231" s="21">
        <v>3296.1000</v>
      </c>
      <c r="H2231" s="21">
        <v>0</v>
      </c>
      <c r="I2231" s="21">
        <v>0</v>
      </c>
      <c r="J2231" s="21">
        <v>0</v>
      </c>
      <c r="K2231" s="20"/>
      <c r="L2231" s="20"/>
    </row>
    <row r="2232" ht="10.95" customHeight="true" customFormat="true" s="9">
      <c r="A2232" s="10" t="s">
        <v>54</v>
      </c>
      <c r="B2232" s="10"/>
      <c r="C2232" s="10"/>
      <c r="D2232" s="10"/>
      <c r="E2232" s="10"/>
      <c r="F2232" s="10"/>
      <c r="G2232" s="11">
        <v>238065.5100</v>
      </c>
      <c r="H2232" s="11">
        <v>0</v>
      </c>
      <c r="I2232" s="11">
        <f ca="1">I2229</f>
        <v>0</v>
      </c>
      <c r="J2232" s="11">
        <v>0</v>
      </c>
      <c r="K2232" s="10"/>
      <c r="L2232" s="10"/>
    </row>
    <row r="2233" ht="13.35" customHeight="true"/>
    <row r="2234" ht="12.1" customHeight="true" customFormat="true" s="5">
      <c r="A2234" s="8" t="s">
        <v>556</v>
      </c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</row>
    <row r="2235" ht="10.95" customHeight="true" customFormat="true" s="9">
      <c r="A2235" s="10" t="s">
        <v>16</v>
      </c>
      <c r="B2235" s="10"/>
      <c r="C2235" s="10"/>
      <c r="D2235" s="10"/>
      <c r="E2235" s="10"/>
      <c r="F2235" s="10"/>
      <c r="G2235" s="11">
        <v>0</v>
      </c>
      <c r="H2235" s="11">
        <v>142500.1200</v>
      </c>
      <c r="I2235" s="11">
        <f ca="1">(G2235 - H2235)</f>
        <v>0</v>
      </c>
      <c r="J2235" s="11">
        <v>0</v>
      </c>
      <c r="K2235" s="10"/>
      <c r="L2235" s="10"/>
    </row>
    <row r="2236" ht="10.95" customHeight="true" customFormat="true" s="9">
      <c r="A2236" s="12">
        <v>45138</v>
      </c>
      <c r="B2236" s="13" t="s">
        <v>557</v>
      </c>
      <c r="C2236" s="13" t="s">
        <v>548</v>
      </c>
      <c r="D2236" s="13"/>
      <c r="E2236" s="13" t="s">
        <v>172</v>
      </c>
      <c r="F2236" s="13"/>
      <c r="G2236" s="14">
        <v>0</v>
      </c>
      <c r="H2236" s="14">
        <v>91.8000</v>
      </c>
      <c r="I2236" s="14">
        <f ca="1">((I2235 + G2236) - H2236)</f>
        <v>0</v>
      </c>
      <c r="J2236" s="14">
        <v>0</v>
      </c>
      <c r="K2236" s="15">
        <v>0</v>
      </c>
      <c r="L2236" s="13"/>
    </row>
    <row r="2237" ht="10.95" customHeight="true" customFormat="true" s="9">
      <c r="A2237" s="16">
        <v>45138</v>
      </c>
      <c r="B2237" s="17" t="s">
        <v>557</v>
      </c>
      <c r="C2237" s="17" t="s">
        <v>548</v>
      </c>
      <c r="D2237" s="17"/>
      <c r="E2237" s="17" t="s">
        <v>173</v>
      </c>
      <c r="F2237" s="17"/>
      <c r="G2237" s="18">
        <v>0</v>
      </c>
      <c r="H2237" s="18">
        <v>119.2300</v>
      </c>
      <c r="I2237" s="18">
        <f ca="1">((I2236 + G2237) - H2237)</f>
        <v>0</v>
      </c>
      <c r="J2237" s="18">
        <v>0</v>
      </c>
      <c r="K2237" s="19">
        <v>0</v>
      </c>
      <c r="L2237" s="17"/>
    </row>
    <row r="2238" ht="10.95" customHeight="true" customFormat="true" s="9">
      <c r="A2238" s="16">
        <v>45138</v>
      </c>
      <c r="B2238" s="17" t="s">
        <v>557</v>
      </c>
      <c r="C2238" s="17" t="s">
        <v>548</v>
      </c>
      <c r="D2238" s="17"/>
      <c r="E2238" s="17" t="s">
        <v>174</v>
      </c>
      <c r="F2238" s="17"/>
      <c r="G2238" s="18">
        <v>0</v>
      </c>
      <c r="H2238" s="18">
        <v>39.8800</v>
      </c>
      <c r="I2238" s="18">
        <f ca="1">((I2237 + G2238) - H2238)</f>
        <v>0</v>
      </c>
      <c r="J2238" s="18">
        <v>0</v>
      </c>
      <c r="K2238" s="19">
        <v>0</v>
      </c>
      <c r="L2238" s="17"/>
    </row>
    <row r="2239" ht="10.95" customHeight="true" customFormat="true" s="9">
      <c r="A2239" s="16">
        <v>45138</v>
      </c>
      <c r="B2239" s="17" t="s">
        <v>557</v>
      </c>
      <c r="C2239" s="17" t="s">
        <v>548</v>
      </c>
      <c r="D2239" s="17"/>
      <c r="E2239" s="17" t="s">
        <v>175</v>
      </c>
      <c r="F2239" s="17"/>
      <c r="G2239" s="18">
        <v>0</v>
      </c>
      <c r="H2239" s="18">
        <v>33.1400</v>
      </c>
      <c r="I2239" s="18">
        <f ca="1">((I2238 + G2239) - H2239)</f>
        <v>0</v>
      </c>
      <c r="J2239" s="18">
        <v>0</v>
      </c>
      <c r="K2239" s="19">
        <v>0</v>
      </c>
      <c r="L2239" s="17"/>
    </row>
    <row r="2240" ht="10.95" customHeight="true" customFormat="true" s="9">
      <c r="A2240" s="16">
        <v>45138</v>
      </c>
      <c r="B2240" s="17" t="s">
        <v>557</v>
      </c>
      <c r="C2240" s="17" t="s">
        <v>548</v>
      </c>
      <c r="D2240" s="17"/>
      <c r="E2240" s="17" t="s">
        <v>176</v>
      </c>
      <c r="F2240" s="17"/>
      <c r="G2240" s="18">
        <v>0</v>
      </c>
      <c r="H2240" s="18">
        <v>11.1500</v>
      </c>
      <c r="I2240" s="18">
        <f ca="1">((I2239 + G2240) - H2240)</f>
        <v>0</v>
      </c>
      <c r="J2240" s="18">
        <v>0</v>
      </c>
      <c r="K2240" s="19">
        <v>0</v>
      </c>
      <c r="L2240" s="17"/>
    </row>
    <row r="2241" ht="10.95" customHeight="true" customFormat="true" s="9">
      <c r="A2241" s="16">
        <v>45138</v>
      </c>
      <c r="B2241" s="17" t="s">
        <v>557</v>
      </c>
      <c r="C2241" s="17" t="s">
        <v>548</v>
      </c>
      <c r="D2241" s="17"/>
      <c r="E2241" s="17" t="s">
        <v>177</v>
      </c>
      <c r="F2241" s="17"/>
      <c r="G2241" s="18">
        <v>0</v>
      </c>
      <c r="H2241" s="18">
        <v>21.8600</v>
      </c>
      <c r="I2241" s="18">
        <f ca="1">((I2240 + G2241) - H2241)</f>
        <v>0</v>
      </c>
      <c r="J2241" s="18">
        <v>0</v>
      </c>
      <c r="K2241" s="19">
        <v>0</v>
      </c>
      <c r="L2241" s="17"/>
    </row>
    <row r="2242" ht="10.95" customHeight="true" customFormat="true" s="9">
      <c r="A2242" s="16">
        <v>45169</v>
      </c>
      <c r="B2242" s="17" t="s">
        <v>557</v>
      </c>
      <c r="C2242" s="17" t="s">
        <v>548</v>
      </c>
      <c r="D2242" s="17"/>
      <c r="E2242" s="17" t="s">
        <v>178</v>
      </c>
      <c r="F2242" s="17"/>
      <c r="G2242" s="18">
        <v>0</v>
      </c>
      <c r="H2242" s="18">
        <v>91.7900</v>
      </c>
      <c r="I2242" s="18">
        <f ca="1">((I2241 + G2242) - H2242)</f>
        <v>0</v>
      </c>
      <c r="J2242" s="18">
        <v>0</v>
      </c>
      <c r="K2242" s="19">
        <v>0</v>
      </c>
      <c r="L2242" s="17"/>
    </row>
    <row r="2243" ht="10.95" customHeight="true" customFormat="true" s="9">
      <c r="A2243" s="16">
        <v>45169</v>
      </c>
      <c r="B2243" s="17" t="s">
        <v>557</v>
      </c>
      <c r="C2243" s="17" t="s">
        <v>548</v>
      </c>
      <c r="D2243" s="17"/>
      <c r="E2243" s="17" t="s">
        <v>179</v>
      </c>
      <c r="F2243" s="17"/>
      <c r="G2243" s="18">
        <v>0</v>
      </c>
      <c r="H2243" s="18">
        <v>119.2300</v>
      </c>
      <c r="I2243" s="18">
        <f ca="1">((I2242 + G2243) - H2243)</f>
        <v>0</v>
      </c>
      <c r="J2243" s="18">
        <v>0</v>
      </c>
      <c r="K2243" s="19">
        <v>0</v>
      </c>
      <c r="L2243" s="17"/>
    </row>
    <row r="2244" ht="10.95" customHeight="true" customFormat="true" s="9">
      <c r="A2244" s="16">
        <v>45169</v>
      </c>
      <c r="B2244" s="17" t="s">
        <v>557</v>
      </c>
      <c r="C2244" s="17" t="s">
        <v>548</v>
      </c>
      <c r="D2244" s="17"/>
      <c r="E2244" s="17" t="s">
        <v>180</v>
      </c>
      <c r="F2244" s="17"/>
      <c r="G2244" s="18">
        <v>0</v>
      </c>
      <c r="H2244" s="18">
        <v>39.8700</v>
      </c>
      <c r="I2244" s="18">
        <f ca="1">((I2243 + G2244) - H2244)</f>
        <v>0</v>
      </c>
      <c r="J2244" s="18">
        <v>0</v>
      </c>
      <c r="K2244" s="19">
        <v>0</v>
      </c>
      <c r="L2244" s="17"/>
    </row>
    <row r="2245" ht="10.95" customHeight="true" customFormat="true" s="9">
      <c r="A2245" s="16">
        <v>45169</v>
      </c>
      <c r="B2245" s="17" t="s">
        <v>557</v>
      </c>
      <c r="C2245" s="17" t="s">
        <v>548</v>
      </c>
      <c r="D2245" s="17"/>
      <c r="E2245" s="17" t="s">
        <v>181</v>
      </c>
      <c r="F2245" s="17"/>
      <c r="G2245" s="18">
        <v>0</v>
      </c>
      <c r="H2245" s="18">
        <v>33.1400</v>
      </c>
      <c r="I2245" s="18">
        <f ca="1">((I2244 + G2245) - H2245)</f>
        <v>0</v>
      </c>
      <c r="J2245" s="18">
        <v>0</v>
      </c>
      <c r="K2245" s="19">
        <v>0</v>
      </c>
      <c r="L2245" s="17"/>
    </row>
    <row r="2246" ht="10.95" customHeight="true" customFormat="true" s="9">
      <c r="A2246" s="16">
        <v>45169</v>
      </c>
      <c r="B2246" s="17" t="s">
        <v>557</v>
      </c>
      <c r="C2246" s="17" t="s">
        <v>548</v>
      </c>
      <c r="D2246" s="17"/>
      <c r="E2246" s="17" t="s">
        <v>182</v>
      </c>
      <c r="F2246" s="17"/>
      <c r="G2246" s="18">
        <v>0</v>
      </c>
      <c r="H2246" s="18">
        <v>11.1600</v>
      </c>
      <c r="I2246" s="18">
        <f ca="1">((I2245 + G2246) - H2246)</f>
        <v>0</v>
      </c>
      <c r="J2246" s="18">
        <v>0</v>
      </c>
      <c r="K2246" s="19">
        <v>0</v>
      </c>
      <c r="L2246" s="17"/>
    </row>
    <row r="2247" ht="10.95" customHeight="true" customFormat="true" s="9">
      <c r="A2247" s="16">
        <v>45169</v>
      </c>
      <c r="B2247" s="17" t="s">
        <v>557</v>
      </c>
      <c r="C2247" s="17" t="s">
        <v>548</v>
      </c>
      <c r="D2247" s="17"/>
      <c r="E2247" s="17" t="s">
        <v>183</v>
      </c>
      <c r="F2247" s="17"/>
      <c r="G2247" s="18">
        <v>0</v>
      </c>
      <c r="H2247" s="18">
        <v>21.8600</v>
      </c>
      <c r="I2247" s="18">
        <f ca="1">((I2246 + G2247) - H2247)</f>
        <v>0</v>
      </c>
      <c r="J2247" s="18">
        <v>0</v>
      </c>
      <c r="K2247" s="19">
        <v>0</v>
      </c>
      <c r="L2247" s="17"/>
    </row>
    <row r="2248" ht="10.95" customHeight="true" customFormat="true" s="9">
      <c r="A2248" s="16">
        <v>45199</v>
      </c>
      <c r="B2248" s="17" t="s">
        <v>557</v>
      </c>
      <c r="C2248" s="17" t="s">
        <v>548</v>
      </c>
      <c r="D2248" s="17"/>
      <c r="E2248" s="17" t="s">
        <v>184</v>
      </c>
      <c r="F2248" s="17"/>
      <c r="G2248" s="18">
        <v>0</v>
      </c>
      <c r="H2248" s="18">
        <v>88.8400</v>
      </c>
      <c r="I2248" s="18">
        <f ca="1">((I2247 + G2248) - H2248)</f>
        <v>0</v>
      </c>
      <c r="J2248" s="18">
        <v>0</v>
      </c>
      <c r="K2248" s="19">
        <v>0</v>
      </c>
      <c r="L2248" s="17"/>
    </row>
    <row r="2249" ht="10.95" customHeight="true" customFormat="true" s="9">
      <c r="A2249" s="16">
        <v>45199</v>
      </c>
      <c r="B2249" s="17" t="s">
        <v>557</v>
      </c>
      <c r="C2249" s="17" t="s">
        <v>548</v>
      </c>
      <c r="D2249" s="17"/>
      <c r="E2249" s="17" t="s">
        <v>185</v>
      </c>
      <c r="F2249" s="17"/>
      <c r="G2249" s="18">
        <v>0</v>
      </c>
      <c r="H2249" s="18">
        <v>115.3900</v>
      </c>
      <c r="I2249" s="18">
        <f ca="1">((I2248 + G2249) - H2249)</f>
        <v>0</v>
      </c>
      <c r="J2249" s="18">
        <v>0</v>
      </c>
      <c r="K2249" s="19">
        <v>0</v>
      </c>
      <c r="L2249" s="17"/>
    </row>
    <row r="2250" ht="10.95" customHeight="true" customFormat="true" s="9">
      <c r="A2250" s="16">
        <v>45199</v>
      </c>
      <c r="B2250" s="17" t="s">
        <v>557</v>
      </c>
      <c r="C2250" s="17" t="s">
        <v>548</v>
      </c>
      <c r="D2250" s="17"/>
      <c r="E2250" s="17" t="s">
        <v>186</v>
      </c>
      <c r="F2250" s="17"/>
      <c r="G2250" s="18">
        <v>0</v>
      </c>
      <c r="H2250" s="18">
        <v>38.5900</v>
      </c>
      <c r="I2250" s="18">
        <f ca="1">((I2249 + G2250) - H2250)</f>
        <v>0</v>
      </c>
      <c r="J2250" s="18">
        <v>0</v>
      </c>
      <c r="K2250" s="19">
        <v>0</v>
      </c>
      <c r="L2250" s="17"/>
    </row>
    <row r="2251" ht="10.95" customHeight="true" customFormat="true" s="9">
      <c r="A2251" s="16">
        <v>45199</v>
      </c>
      <c r="B2251" s="17" t="s">
        <v>557</v>
      </c>
      <c r="C2251" s="17" t="s">
        <v>548</v>
      </c>
      <c r="D2251" s="17"/>
      <c r="E2251" s="17" t="s">
        <v>187</v>
      </c>
      <c r="F2251" s="17"/>
      <c r="G2251" s="18">
        <v>0</v>
      </c>
      <c r="H2251" s="18">
        <v>32.0800</v>
      </c>
      <c r="I2251" s="18">
        <f ca="1">((I2250 + G2251) - H2251)</f>
        <v>0</v>
      </c>
      <c r="J2251" s="18">
        <v>0</v>
      </c>
      <c r="K2251" s="19">
        <v>0</v>
      </c>
      <c r="L2251" s="17"/>
    </row>
    <row r="2252" ht="10.95" customHeight="true" customFormat="true" s="9">
      <c r="A2252" s="16">
        <v>45199</v>
      </c>
      <c r="B2252" s="17" t="s">
        <v>557</v>
      </c>
      <c r="C2252" s="17" t="s">
        <v>548</v>
      </c>
      <c r="D2252" s="17"/>
      <c r="E2252" s="17" t="s">
        <v>188</v>
      </c>
      <c r="F2252" s="17"/>
      <c r="G2252" s="18">
        <v>0</v>
      </c>
      <c r="H2252" s="18">
        <v>10.7900</v>
      </c>
      <c r="I2252" s="18">
        <f ca="1">((I2251 + G2252) - H2252)</f>
        <v>0</v>
      </c>
      <c r="J2252" s="18">
        <v>0</v>
      </c>
      <c r="K2252" s="19">
        <v>0</v>
      </c>
      <c r="L2252" s="17"/>
    </row>
    <row r="2253" ht="10.95" customHeight="true" customFormat="true" s="9">
      <c r="A2253" s="16">
        <v>45199</v>
      </c>
      <c r="B2253" s="17" t="s">
        <v>557</v>
      </c>
      <c r="C2253" s="17" t="s">
        <v>548</v>
      </c>
      <c r="D2253" s="17"/>
      <c r="E2253" s="17" t="s">
        <v>189</v>
      </c>
      <c r="F2253" s="17"/>
      <c r="G2253" s="18">
        <v>0</v>
      </c>
      <c r="H2253" s="18">
        <v>21.1500</v>
      </c>
      <c r="I2253" s="18">
        <f ca="1">((I2252 + G2253) - H2253)</f>
        <v>0</v>
      </c>
      <c r="J2253" s="18">
        <v>0</v>
      </c>
      <c r="K2253" s="19">
        <v>0</v>
      </c>
      <c r="L2253" s="17"/>
    </row>
    <row r="2254" ht="10.95" customHeight="true" customFormat="true" s="9">
      <c r="A2254" s="16">
        <v>45230</v>
      </c>
      <c r="B2254" s="17" t="s">
        <v>557</v>
      </c>
      <c r="C2254" s="17" t="s">
        <v>548</v>
      </c>
      <c r="D2254" s="17"/>
      <c r="E2254" s="17" t="s">
        <v>190</v>
      </c>
      <c r="F2254" s="17"/>
      <c r="G2254" s="18">
        <v>0</v>
      </c>
      <c r="H2254" s="18">
        <v>91.7900</v>
      </c>
      <c r="I2254" s="18">
        <f ca="1">((I2253 + G2254) - H2254)</f>
        <v>0</v>
      </c>
      <c r="J2254" s="18">
        <v>0</v>
      </c>
      <c r="K2254" s="19">
        <v>0</v>
      </c>
      <c r="L2254" s="17"/>
    </row>
    <row r="2255" ht="10.95" customHeight="true" customFormat="true" s="9">
      <c r="A2255" s="16">
        <v>45230</v>
      </c>
      <c r="B2255" s="17" t="s">
        <v>557</v>
      </c>
      <c r="C2255" s="17" t="s">
        <v>548</v>
      </c>
      <c r="D2255" s="17"/>
      <c r="E2255" s="17" t="s">
        <v>191</v>
      </c>
      <c r="F2255" s="17"/>
      <c r="G2255" s="18">
        <v>0</v>
      </c>
      <c r="H2255" s="18">
        <v>119.2300</v>
      </c>
      <c r="I2255" s="18">
        <f ca="1">((I2254 + G2255) - H2255)</f>
        <v>0</v>
      </c>
      <c r="J2255" s="18">
        <v>0</v>
      </c>
      <c r="K2255" s="19">
        <v>0</v>
      </c>
      <c r="L2255" s="17"/>
    </row>
    <row r="2256" ht="10.95" customHeight="true" customFormat="true" s="9">
      <c r="A2256" s="16">
        <v>45230</v>
      </c>
      <c r="B2256" s="17" t="s">
        <v>557</v>
      </c>
      <c r="C2256" s="17" t="s">
        <v>548</v>
      </c>
      <c r="D2256" s="17"/>
      <c r="E2256" s="17" t="s">
        <v>192</v>
      </c>
      <c r="F2256" s="17"/>
      <c r="G2256" s="18">
        <v>0</v>
      </c>
      <c r="H2256" s="18">
        <v>39.8800</v>
      </c>
      <c r="I2256" s="18">
        <f ca="1">((I2255 + G2256) - H2256)</f>
        <v>0</v>
      </c>
      <c r="J2256" s="18">
        <v>0</v>
      </c>
      <c r="K2256" s="19">
        <v>0</v>
      </c>
      <c r="L2256" s="17"/>
    </row>
    <row r="2257" ht="10.95" customHeight="true" customFormat="true" s="9">
      <c r="A2257" s="16">
        <v>45230</v>
      </c>
      <c r="B2257" s="17" t="s">
        <v>557</v>
      </c>
      <c r="C2257" s="17" t="s">
        <v>548</v>
      </c>
      <c r="D2257" s="17"/>
      <c r="E2257" s="17" t="s">
        <v>193</v>
      </c>
      <c r="F2257" s="17"/>
      <c r="G2257" s="18">
        <v>0</v>
      </c>
      <c r="H2257" s="18">
        <v>33.1400</v>
      </c>
      <c r="I2257" s="18">
        <f ca="1">((I2256 + G2257) - H2257)</f>
        <v>0</v>
      </c>
      <c r="J2257" s="18">
        <v>0</v>
      </c>
      <c r="K2257" s="19">
        <v>0</v>
      </c>
      <c r="L2257" s="17"/>
    </row>
    <row r="2258" ht="10.95" customHeight="true" customFormat="true" s="9">
      <c r="A2258" s="16">
        <v>45230</v>
      </c>
      <c r="B2258" s="17" t="s">
        <v>557</v>
      </c>
      <c r="C2258" s="17" t="s">
        <v>548</v>
      </c>
      <c r="D2258" s="17"/>
      <c r="E2258" s="17" t="s">
        <v>194</v>
      </c>
      <c r="F2258" s="17"/>
      <c r="G2258" s="18">
        <v>0</v>
      </c>
      <c r="H2258" s="18">
        <v>11.1600</v>
      </c>
      <c r="I2258" s="18">
        <f ca="1">((I2257 + G2258) - H2258)</f>
        <v>0</v>
      </c>
      <c r="J2258" s="18">
        <v>0</v>
      </c>
      <c r="K2258" s="19">
        <v>0</v>
      </c>
      <c r="L2258" s="17"/>
    </row>
    <row r="2259" ht="10.95" customHeight="true" customFormat="true" s="9">
      <c r="A2259" s="16">
        <v>45230</v>
      </c>
      <c r="B2259" s="17" t="s">
        <v>557</v>
      </c>
      <c r="C2259" s="17" t="s">
        <v>548</v>
      </c>
      <c r="D2259" s="17"/>
      <c r="E2259" s="17" t="s">
        <v>195</v>
      </c>
      <c r="F2259" s="17"/>
      <c r="G2259" s="18">
        <v>0</v>
      </c>
      <c r="H2259" s="18">
        <v>21.8600</v>
      </c>
      <c r="I2259" s="18">
        <f ca="1">((I2258 + G2259) - H2259)</f>
        <v>0</v>
      </c>
      <c r="J2259" s="18">
        <v>0</v>
      </c>
      <c r="K2259" s="19">
        <v>0</v>
      </c>
      <c r="L2259" s="17"/>
    </row>
    <row r="2260" ht="10.95" customHeight="true" customFormat="true" s="9">
      <c r="A2260" s="16">
        <v>45260</v>
      </c>
      <c r="B2260" s="17" t="s">
        <v>557</v>
      </c>
      <c r="C2260" s="17" t="s">
        <v>548</v>
      </c>
      <c r="D2260" s="17"/>
      <c r="E2260" s="17" t="s">
        <v>196</v>
      </c>
      <c r="F2260" s="17"/>
      <c r="G2260" s="18">
        <v>0</v>
      </c>
      <c r="H2260" s="18">
        <v>88.8400</v>
      </c>
      <c r="I2260" s="18">
        <f ca="1">((I2259 + G2260) - H2260)</f>
        <v>0</v>
      </c>
      <c r="J2260" s="18">
        <v>0</v>
      </c>
      <c r="K2260" s="19">
        <v>0</v>
      </c>
      <c r="L2260" s="17"/>
    </row>
    <row r="2261" ht="10.95" customHeight="true" customFormat="true" s="9">
      <c r="A2261" s="16">
        <v>45260</v>
      </c>
      <c r="B2261" s="17" t="s">
        <v>557</v>
      </c>
      <c r="C2261" s="17" t="s">
        <v>548</v>
      </c>
      <c r="D2261" s="17"/>
      <c r="E2261" s="17" t="s">
        <v>197</v>
      </c>
      <c r="F2261" s="17"/>
      <c r="G2261" s="18">
        <v>0</v>
      </c>
      <c r="H2261" s="18">
        <v>115.3800</v>
      </c>
      <c r="I2261" s="18">
        <f ca="1">((I2260 + G2261) - H2261)</f>
        <v>0</v>
      </c>
      <c r="J2261" s="18">
        <v>0</v>
      </c>
      <c r="K2261" s="19">
        <v>0</v>
      </c>
      <c r="L2261" s="17"/>
    </row>
    <row r="2262" ht="10.95" customHeight="true" customFormat="true" s="9">
      <c r="A2262" s="16">
        <v>45260</v>
      </c>
      <c r="B2262" s="17" t="s">
        <v>557</v>
      </c>
      <c r="C2262" s="17" t="s">
        <v>548</v>
      </c>
      <c r="D2262" s="17"/>
      <c r="E2262" s="17" t="s">
        <v>198</v>
      </c>
      <c r="F2262" s="17"/>
      <c r="G2262" s="18">
        <v>0</v>
      </c>
      <c r="H2262" s="18">
        <v>38.5900</v>
      </c>
      <c r="I2262" s="18">
        <f ca="1">((I2261 + G2262) - H2262)</f>
        <v>0</v>
      </c>
      <c r="J2262" s="18">
        <v>0</v>
      </c>
      <c r="K2262" s="19">
        <v>0</v>
      </c>
      <c r="L2262" s="17"/>
    </row>
    <row r="2263" ht="10.95" customHeight="true" customFormat="true" s="9">
      <c r="A2263" s="16">
        <v>45260</v>
      </c>
      <c r="B2263" s="17" t="s">
        <v>557</v>
      </c>
      <c r="C2263" s="17" t="s">
        <v>548</v>
      </c>
      <c r="D2263" s="17"/>
      <c r="E2263" s="17" t="s">
        <v>199</v>
      </c>
      <c r="F2263" s="17"/>
      <c r="G2263" s="18">
        <v>0</v>
      </c>
      <c r="H2263" s="18">
        <v>32.0700</v>
      </c>
      <c r="I2263" s="18">
        <f ca="1">((I2262 + G2263) - H2263)</f>
        <v>0</v>
      </c>
      <c r="J2263" s="18">
        <v>0</v>
      </c>
      <c r="K2263" s="19">
        <v>0</v>
      </c>
      <c r="L2263" s="17"/>
    </row>
    <row r="2264" ht="10.95" customHeight="true" customFormat="true" s="9">
      <c r="A2264" s="16">
        <v>45260</v>
      </c>
      <c r="B2264" s="17" t="s">
        <v>557</v>
      </c>
      <c r="C2264" s="17" t="s">
        <v>548</v>
      </c>
      <c r="D2264" s="17"/>
      <c r="E2264" s="17" t="s">
        <v>200</v>
      </c>
      <c r="F2264" s="17"/>
      <c r="G2264" s="18">
        <v>0</v>
      </c>
      <c r="H2264" s="18">
        <v>10.7900</v>
      </c>
      <c r="I2264" s="18">
        <f ca="1">((I2263 + G2264) - H2264)</f>
        <v>0</v>
      </c>
      <c r="J2264" s="18">
        <v>0</v>
      </c>
      <c r="K2264" s="19">
        <v>0</v>
      </c>
      <c r="L2264" s="17"/>
    </row>
    <row r="2265" ht="10.95" customHeight="true" customFormat="true" s="9">
      <c r="A2265" s="16">
        <v>45260</v>
      </c>
      <c r="B2265" s="17" t="s">
        <v>557</v>
      </c>
      <c r="C2265" s="17" t="s">
        <v>548</v>
      </c>
      <c r="D2265" s="17"/>
      <c r="E2265" s="17" t="s">
        <v>201</v>
      </c>
      <c r="F2265" s="17"/>
      <c r="G2265" s="18">
        <v>0</v>
      </c>
      <c r="H2265" s="18">
        <v>21.1500</v>
      </c>
      <c r="I2265" s="18">
        <f ca="1">((I2264 + G2265) - H2265)</f>
        <v>0</v>
      </c>
      <c r="J2265" s="18">
        <v>0</v>
      </c>
      <c r="K2265" s="19">
        <v>0</v>
      </c>
      <c r="L2265" s="17"/>
    </row>
    <row r="2266" ht="10.95" customHeight="true" customFormat="true" s="9">
      <c r="A2266" s="16">
        <v>45291</v>
      </c>
      <c r="B2266" s="17" t="s">
        <v>557</v>
      </c>
      <c r="C2266" s="17" t="s">
        <v>548</v>
      </c>
      <c r="D2266" s="17"/>
      <c r="E2266" s="17" t="s">
        <v>202</v>
      </c>
      <c r="F2266" s="17"/>
      <c r="G2266" s="18">
        <v>0</v>
      </c>
      <c r="H2266" s="18">
        <v>91.7900</v>
      </c>
      <c r="I2266" s="18">
        <f ca="1">((I2265 + G2266) - H2266)</f>
        <v>0</v>
      </c>
      <c r="J2266" s="18">
        <v>0</v>
      </c>
      <c r="K2266" s="19">
        <v>0</v>
      </c>
      <c r="L2266" s="17"/>
    </row>
    <row r="2267" ht="10.95" customHeight="true" customFormat="true" s="9">
      <c r="A2267" s="16">
        <v>45291</v>
      </c>
      <c r="B2267" s="17" t="s">
        <v>557</v>
      </c>
      <c r="C2267" s="17" t="s">
        <v>548</v>
      </c>
      <c r="D2267" s="17"/>
      <c r="E2267" s="17" t="s">
        <v>203</v>
      </c>
      <c r="F2267" s="17"/>
      <c r="G2267" s="18">
        <v>0</v>
      </c>
      <c r="H2267" s="18">
        <v>119.2300</v>
      </c>
      <c r="I2267" s="18">
        <f ca="1">((I2266 + G2267) - H2267)</f>
        <v>0</v>
      </c>
      <c r="J2267" s="18">
        <v>0</v>
      </c>
      <c r="K2267" s="19">
        <v>0</v>
      </c>
      <c r="L2267" s="17"/>
    </row>
    <row r="2268" ht="10.95" customHeight="true" customFormat="true" s="9">
      <c r="A2268" s="16">
        <v>45291</v>
      </c>
      <c r="B2268" s="17" t="s">
        <v>557</v>
      </c>
      <c r="C2268" s="17" t="s">
        <v>548</v>
      </c>
      <c r="D2268" s="17"/>
      <c r="E2268" s="17" t="s">
        <v>204</v>
      </c>
      <c r="F2268" s="17"/>
      <c r="G2268" s="18">
        <v>0</v>
      </c>
      <c r="H2268" s="18">
        <v>39.8700</v>
      </c>
      <c r="I2268" s="18">
        <f ca="1">((I2267 + G2268) - H2268)</f>
        <v>0</v>
      </c>
      <c r="J2268" s="18">
        <v>0</v>
      </c>
      <c r="K2268" s="19">
        <v>0</v>
      </c>
      <c r="L2268" s="17"/>
    </row>
    <row r="2269" ht="10.95" customHeight="true" customFormat="true" s="9">
      <c r="A2269" s="16">
        <v>45291</v>
      </c>
      <c r="B2269" s="17" t="s">
        <v>557</v>
      </c>
      <c r="C2269" s="17" t="s">
        <v>548</v>
      </c>
      <c r="D2269" s="17"/>
      <c r="E2269" s="17" t="s">
        <v>205</v>
      </c>
      <c r="F2269" s="17"/>
      <c r="G2269" s="18">
        <v>0</v>
      </c>
      <c r="H2269" s="18">
        <v>33.1400</v>
      </c>
      <c r="I2269" s="18">
        <f ca="1">((I2268 + G2269) - H2269)</f>
        <v>0</v>
      </c>
      <c r="J2269" s="18">
        <v>0</v>
      </c>
      <c r="K2269" s="19">
        <v>0</v>
      </c>
      <c r="L2269" s="17"/>
    </row>
    <row r="2270" ht="10.95" customHeight="true" customFormat="true" s="9">
      <c r="A2270" s="16">
        <v>45291</v>
      </c>
      <c r="B2270" s="17" t="s">
        <v>557</v>
      </c>
      <c r="C2270" s="17" t="s">
        <v>548</v>
      </c>
      <c r="D2270" s="17"/>
      <c r="E2270" s="17" t="s">
        <v>206</v>
      </c>
      <c r="F2270" s="17"/>
      <c r="G2270" s="18">
        <v>0</v>
      </c>
      <c r="H2270" s="18">
        <v>11.1600</v>
      </c>
      <c r="I2270" s="18">
        <f ca="1">((I2269 + G2270) - H2270)</f>
        <v>0</v>
      </c>
      <c r="J2270" s="18">
        <v>0</v>
      </c>
      <c r="K2270" s="19">
        <v>0</v>
      </c>
      <c r="L2270" s="17"/>
    </row>
    <row r="2271" ht="10.95" customHeight="true" customFormat="true" s="9">
      <c r="A2271" s="16">
        <v>45291</v>
      </c>
      <c r="B2271" s="17" t="s">
        <v>557</v>
      </c>
      <c r="C2271" s="17" t="s">
        <v>548</v>
      </c>
      <c r="D2271" s="17"/>
      <c r="E2271" s="17" t="s">
        <v>207</v>
      </c>
      <c r="F2271" s="17"/>
      <c r="G2271" s="18">
        <v>0</v>
      </c>
      <c r="H2271" s="18">
        <v>21.8600</v>
      </c>
      <c r="I2271" s="18">
        <f ca="1">((I2270 + G2271) - H2271)</f>
        <v>0</v>
      </c>
      <c r="J2271" s="18">
        <v>0</v>
      </c>
      <c r="K2271" s="19">
        <v>0</v>
      </c>
      <c r="L2271" s="17"/>
    </row>
    <row r="2272" ht="10.95" customHeight="true" customFormat="true" s="9">
      <c r="A2272" s="16">
        <v>45322</v>
      </c>
      <c r="B2272" s="17" t="s">
        <v>557</v>
      </c>
      <c r="C2272" s="17" t="s">
        <v>548</v>
      </c>
      <c r="D2272" s="17"/>
      <c r="E2272" s="17" t="s">
        <v>208</v>
      </c>
      <c r="F2272" s="17"/>
      <c r="G2272" s="18">
        <v>0</v>
      </c>
      <c r="H2272" s="18">
        <v>91.8000</v>
      </c>
      <c r="I2272" s="18">
        <f ca="1">((I2271 + G2272) - H2272)</f>
        <v>0</v>
      </c>
      <c r="J2272" s="18">
        <v>0</v>
      </c>
      <c r="K2272" s="19">
        <v>0</v>
      </c>
      <c r="L2272" s="17"/>
    </row>
    <row r="2273" ht="10.95" customHeight="true" customFormat="true" s="9">
      <c r="A2273" s="16">
        <v>45322</v>
      </c>
      <c r="B2273" s="17" t="s">
        <v>557</v>
      </c>
      <c r="C2273" s="17" t="s">
        <v>548</v>
      </c>
      <c r="D2273" s="17"/>
      <c r="E2273" s="17" t="s">
        <v>209</v>
      </c>
      <c r="F2273" s="17"/>
      <c r="G2273" s="18">
        <v>0</v>
      </c>
      <c r="H2273" s="18">
        <v>119.2400</v>
      </c>
      <c r="I2273" s="18">
        <f ca="1">((I2272 + G2273) - H2273)</f>
        <v>0</v>
      </c>
      <c r="J2273" s="18">
        <v>0</v>
      </c>
      <c r="K2273" s="19">
        <v>0</v>
      </c>
      <c r="L2273" s="17"/>
    </row>
    <row r="2274" ht="10.95" customHeight="true" customFormat="true" s="9">
      <c r="A2274" s="16">
        <v>45322</v>
      </c>
      <c r="B2274" s="17" t="s">
        <v>557</v>
      </c>
      <c r="C2274" s="17" t="s">
        <v>548</v>
      </c>
      <c r="D2274" s="17"/>
      <c r="E2274" s="17" t="s">
        <v>210</v>
      </c>
      <c r="F2274" s="17"/>
      <c r="G2274" s="18">
        <v>0</v>
      </c>
      <c r="H2274" s="18">
        <v>39.8800</v>
      </c>
      <c r="I2274" s="18">
        <f ca="1">((I2273 + G2274) - H2274)</f>
        <v>0</v>
      </c>
      <c r="J2274" s="18">
        <v>0</v>
      </c>
      <c r="K2274" s="19">
        <v>0</v>
      </c>
      <c r="L2274" s="17"/>
    </row>
    <row r="2275" ht="10.95" customHeight="true" customFormat="true" s="9">
      <c r="A2275" s="16">
        <v>45322</v>
      </c>
      <c r="B2275" s="17" t="s">
        <v>557</v>
      </c>
      <c r="C2275" s="17" t="s">
        <v>548</v>
      </c>
      <c r="D2275" s="17"/>
      <c r="E2275" s="17" t="s">
        <v>211</v>
      </c>
      <c r="F2275" s="17"/>
      <c r="G2275" s="18">
        <v>0</v>
      </c>
      <c r="H2275" s="18">
        <v>33.1500</v>
      </c>
      <c r="I2275" s="18">
        <f ca="1">((I2274 + G2275) - H2275)</f>
        <v>0</v>
      </c>
      <c r="J2275" s="18">
        <v>0</v>
      </c>
      <c r="K2275" s="19">
        <v>0</v>
      </c>
      <c r="L2275" s="17"/>
    </row>
    <row r="2276" ht="10.95" customHeight="true" customFormat="true" s="9">
      <c r="A2276" s="16">
        <v>45322</v>
      </c>
      <c r="B2276" s="17" t="s">
        <v>557</v>
      </c>
      <c r="C2276" s="17" t="s">
        <v>548</v>
      </c>
      <c r="D2276" s="17"/>
      <c r="E2276" s="17" t="s">
        <v>212</v>
      </c>
      <c r="F2276" s="17"/>
      <c r="G2276" s="18">
        <v>0</v>
      </c>
      <c r="H2276" s="18">
        <v>11.1500</v>
      </c>
      <c r="I2276" s="18">
        <f ca="1">((I2275 + G2276) - H2276)</f>
        <v>0</v>
      </c>
      <c r="J2276" s="18">
        <v>0</v>
      </c>
      <c r="K2276" s="19">
        <v>0</v>
      </c>
      <c r="L2276" s="17"/>
    </row>
    <row r="2277" ht="10.95" customHeight="true" customFormat="true" s="9">
      <c r="A2277" s="16">
        <v>45322</v>
      </c>
      <c r="B2277" s="17" t="s">
        <v>557</v>
      </c>
      <c r="C2277" s="17" t="s">
        <v>548</v>
      </c>
      <c r="D2277" s="17"/>
      <c r="E2277" s="17" t="s">
        <v>213</v>
      </c>
      <c r="F2277" s="17"/>
      <c r="G2277" s="18">
        <v>0</v>
      </c>
      <c r="H2277" s="18">
        <v>21.8600</v>
      </c>
      <c r="I2277" s="18">
        <f ca="1">((I2276 + G2277) - H2277)</f>
        <v>0</v>
      </c>
      <c r="J2277" s="18">
        <v>0</v>
      </c>
      <c r="K2277" s="19">
        <v>0</v>
      </c>
      <c r="L2277" s="17"/>
    </row>
    <row r="2278" ht="10.95" customHeight="true" customFormat="true" s="9">
      <c r="A2278" s="16">
        <v>45322</v>
      </c>
      <c r="B2278" s="17" t="s">
        <v>557</v>
      </c>
      <c r="C2278" s="17" t="s">
        <v>548</v>
      </c>
      <c r="D2278" s="17"/>
      <c r="E2278" s="17" t="s">
        <v>214</v>
      </c>
      <c r="F2278" s="17"/>
      <c r="G2278" s="18">
        <v>0</v>
      </c>
      <c r="H2278" s="18">
        <v>4.5800</v>
      </c>
      <c r="I2278" s="18">
        <f ca="1">((I2277 + G2278) - H2278)</f>
        <v>0</v>
      </c>
      <c r="J2278" s="18">
        <v>0</v>
      </c>
      <c r="K2278" s="19">
        <v>0</v>
      </c>
      <c r="L2278" s="17"/>
    </row>
    <row r="2279" ht="10.95" customHeight="true" customFormat="true" s="9">
      <c r="A2279" s="16">
        <v>45322</v>
      </c>
      <c r="B2279" s="17" t="s">
        <v>557</v>
      </c>
      <c r="C2279" s="17" t="s">
        <v>548</v>
      </c>
      <c r="D2279" s="17"/>
      <c r="E2279" s="17" t="s">
        <v>215</v>
      </c>
      <c r="F2279" s="17"/>
      <c r="G2279" s="18">
        <v>0</v>
      </c>
      <c r="H2279" s="18">
        <v>1.3300</v>
      </c>
      <c r="I2279" s="18">
        <f ca="1">((I2278 + G2279) - H2279)</f>
        <v>0</v>
      </c>
      <c r="J2279" s="18">
        <v>0</v>
      </c>
      <c r="K2279" s="19">
        <v>0</v>
      </c>
      <c r="L2279" s="17"/>
    </row>
    <row r="2280" ht="10.95" customHeight="true" customFormat="true" s="9">
      <c r="A2280" s="16">
        <v>45351</v>
      </c>
      <c r="B2280" s="17" t="s">
        <v>557</v>
      </c>
      <c r="C2280" s="17" t="s">
        <v>548</v>
      </c>
      <c r="D2280" s="17"/>
      <c r="E2280" s="17" t="s">
        <v>216</v>
      </c>
      <c r="F2280" s="17"/>
      <c r="G2280" s="18">
        <v>0</v>
      </c>
      <c r="H2280" s="18">
        <v>85.8700</v>
      </c>
      <c r="I2280" s="18">
        <f ca="1">((I2279 + G2280) - H2280)</f>
        <v>0</v>
      </c>
      <c r="J2280" s="18">
        <v>0</v>
      </c>
      <c r="K2280" s="19">
        <v>0</v>
      </c>
      <c r="L2280" s="17"/>
    </row>
    <row r="2281" ht="10.95" customHeight="true" customFormat="true" s="9">
      <c r="A2281" s="16">
        <v>45351</v>
      </c>
      <c r="B2281" s="17" t="s">
        <v>557</v>
      </c>
      <c r="C2281" s="17" t="s">
        <v>548</v>
      </c>
      <c r="D2281" s="17"/>
      <c r="E2281" s="17" t="s">
        <v>217</v>
      </c>
      <c r="F2281" s="17"/>
      <c r="G2281" s="18">
        <v>0</v>
      </c>
      <c r="H2281" s="18">
        <v>111.5300</v>
      </c>
      <c r="I2281" s="18">
        <f ca="1">((I2280 + G2281) - H2281)</f>
        <v>0</v>
      </c>
      <c r="J2281" s="18">
        <v>0</v>
      </c>
      <c r="K2281" s="19">
        <v>0</v>
      </c>
      <c r="L2281" s="17"/>
    </row>
    <row r="2282" ht="10.95" customHeight="true" customFormat="true" s="9">
      <c r="A2282" s="16">
        <v>45351</v>
      </c>
      <c r="B2282" s="17" t="s">
        <v>557</v>
      </c>
      <c r="C2282" s="17" t="s">
        <v>548</v>
      </c>
      <c r="D2282" s="17"/>
      <c r="E2282" s="17" t="s">
        <v>218</v>
      </c>
      <c r="F2282" s="17"/>
      <c r="G2282" s="18">
        <v>0</v>
      </c>
      <c r="H2282" s="18">
        <v>37.3000</v>
      </c>
      <c r="I2282" s="18">
        <f ca="1">((I2281 + G2282) - H2282)</f>
        <v>0</v>
      </c>
      <c r="J2282" s="18">
        <v>0</v>
      </c>
      <c r="K2282" s="19">
        <v>0</v>
      </c>
      <c r="L2282" s="17"/>
    </row>
    <row r="2283" ht="10.95" customHeight="true" customFormat="true" s="9">
      <c r="A2283" s="16">
        <v>45351</v>
      </c>
      <c r="B2283" s="17" t="s">
        <v>557</v>
      </c>
      <c r="C2283" s="17" t="s">
        <v>548</v>
      </c>
      <c r="D2283" s="17"/>
      <c r="E2283" s="17" t="s">
        <v>219</v>
      </c>
      <c r="F2283" s="17"/>
      <c r="G2283" s="18">
        <v>0</v>
      </c>
      <c r="H2283" s="18">
        <v>31.0000</v>
      </c>
      <c r="I2283" s="18">
        <f ca="1">((I2282 + G2283) - H2283)</f>
        <v>0</v>
      </c>
      <c r="J2283" s="18">
        <v>0</v>
      </c>
      <c r="K2283" s="19">
        <v>0</v>
      </c>
      <c r="L2283" s="17"/>
    </row>
    <row r="2284" ht="10.95" customHeight="true" customFormat="true" s="9">
      <c r="A2284" s="16">
        <v>45351</v>
      </c>
      <c r="B2284" s="17" t="s">
        <v>557</v>
      </c>
      <c r="C2284" s="17" t="s">
        <v>548</v>
      </c>
      <c r="D2284" s="17"/>
      <c r="E2284" s="17" t="s">
        <v>220</v>
      </c>
      <c r="F2284" s="17"/>
      <c r="G2284" s="18">
        <v>0</v>
      </c>
      <c r="H2284" s="18">
        <v>10.4400</v>
      </c>
      <c r="I2284" s="18">
        <f ca="1">((I2283 + G2284) - H2284)</f>
        <v>0</v>
      </c>
      <c r="J2284" s="18">
        <v>0</v>
      </c>
      <c r="K2284" s="19">
        <v>0</v>
      </c>
      <c r="L2284" s="17"/>
    </row>
    <row r="2285" ht="10.95" customHeight="true" customFormat="true" s="9">
      <c r="A2285" s="16">
        <v>45351</v>
      </c>
      <c r="B2285" s="17" t="s">
        <v>557</v>
      </c>
      <c r="C2285" s="17" t="s">
        <v>548</v>
      </c>
      <c r="D2285" s="17"/>
      <c r="E2285" s="17" t="s">
        <v>221</v>
      </c>
      <c r="F2285" s="17"/>
      <c r="G2285" s="18">
        <v>0</v>
      </c>
      <c r="H2285" s="18">
        <v>20.4500</v>
      </c>
      <c r="I2285" s="18">
        <f ca="1">((I2284 + G2285) - H2285)</f>
        <v>0</v>
      </c>
      <c r="J2285" s="18">
        <v>0</v>
      </c>
      <c r="K2285" s="19">
        <v>0</v>
      </c>
      <c r="L2285" s="17"/>
    </row>
    <row r="2286" ht="10.95" customHeight="true" customFormat="true" s="9">
      <c r="A2286" s="16">
        <v>45351</v>
      </c>
      <c r="B2286" s="17" t="s">
        <v>557</v>
      </c>
      <c r="C2286" s="17" t="s">
        <v>548</v>
      </c>
      <c r="D2286" s="17"/>
      <c r="E2286" s="17" t="s">
        <v>222</v>
      </c>
      <c r="F2286" s="17"/>
      <c r="G2286" s="18">
        <v>0</v>
      </c>
      <c r="H2286" s="18">
        <v>13.2800</v>
      </c>
      <c r="I2286" s="18">
        <f ca="1">((I2285 + G2286) - H2286)</f>
        <v>0</v>
      </c>
      <c r="J2286" s="18">
        <v>0</v>
      </c>
      <c r="K2286" s="19">
        <v>0</v>
      </c>
      <c r="L2286" s="17"/>
    </row>
    <row r="2287" ht="10.95" customHeight="true" customFormat="true" s="9">
      <c r="A2287" s="16">
        <v>45351</v>
      </c>
      <c r="B2287" s="17" t="s">
        <v>557</v>
      </c>
      <c r="C2287" s="17" t="s">
        <v>548</v>
      </c>
      <c r="D2287" s="17"/>
      <c r="E2287" s="17" t="s">
        <v>223</v>
      </c>
      <c r="F2287" s="17"/>
      <c r="G2287" s="18">
        <v>0</v>
      </c>
      <c r="H2287" s="18">
        <v>12.8300</v>
      </c>
      <c r="I2287" s="18">
        <f ca="1">((I2286 + G2287) - H2287)</f>
        <v>0</v>
      </c>
      <c r="J2287" s="18">
        <v>0</v>
      </c>
      <c r="K2287" s="19">
        <v>0</v>
      </c>
      <c r="L2287" s="17"/>
    </row>
    <row r="2288" ht="10.95" customHeight="true" customFormat="true" s="9">
      <c r="A2288" s="16">
        <v>45382</v>
      </c>
      <c r="B2288" s="17" t="s">
        <v>557</v>
      </c>
      <c r="C2288" s="17" t="s">
        <v>548</v>
      </c>
      <c r="D2288" s="17"/>
      <c r="E2288" s="17" t="s">
        <v>224</v>
      </c>
      <c r="F2288" s="17"/>
      <c r="G2288" s="18">
        <v>0</v>
      </c>
      <c r="H2288" s="18">
        <v>91.8000</v>
      </c>
      <c r="I2288" s="18">
        <f ca="1">((I2287 + G2288) - H2288)</f>
        <v>0</v>
      </c>
      <c r="J2288" s="18">
        <v>0</v>
      </c>
      <c r="K2288" s="19">
        <v>0</v>
      </c>
      <c r="L2288" s="17"/>
    </row>
    <row r="2289" ht="10.95" customHeight="true" customFormat="true" s="9">
      <c r="A2289" s="16">
        <v>45382</v>
      </c>
      <c r="B2289" s="17" t="s">
        <v>557</v>
      </c>
      <c r="C2289" s="17" t="s">
        <v>548</v>
      </c>
      <c r="D2289" s="17"/>
      <c r="E2289" s="17" t="s">
        <v>225</v>
      </c>
      <c r="F2289" s="17"/>
      <c r="G2289" s="18">
        <v>0</v>
      </c>
      <c r="H2289" s="18">
        <v>119.2400</v>
      </c>
      <c r="I2289" s="18">
        <f ca="1">((I2288 + G2289) - H2289)</f>
        <v>0</v>
      </c>
      <c r="J2289" s="18">
        <v>0</v>
      </c>
      <c r="K2289" s="19">
        <v>0</v>
      </c>
      <c r="L2289" s="17"/>
    </row>
    <row r="2290" ht="10.95" customHeight="true" customFormat="true" s="9">
      <c r="A2290" s="16">
        <v>45382</v>
      </c>
      <c r="B2290" s="17" t="s">
        <v>557</v>
      </c>
      <c r="C2290" s="17" t="s">
        <v>548</v>
      </c>
      <c r="D2290" s="17"/>
      <c r="E2290" s="17" t="s">
        <v>226</v>
      </c>
      <c r="F2290" s="17"/>
      <c r="G2290" s="18">
        <v>0</v>
      </c>
      <c r="H2290" s="18">
        <v>39.8800</v>
      </c>
      <c r="I2290" s="18">
        <f ca="1">((I2289 + G2290) - H2290)</f>
        <v>0</v>
      </c>
      <c r="J2290" s="18">
        <v>0</v>
      </c>
      <c r="K2290" s="19">
        <v>0</v>
      </c>
      <c r="L2290" s="17"/>
    </row>
    <row r="2291" ht="10.95" customHeight="true" customFormat="true" s="9">
      <c r="A2291" s="16">
        <v>45382</v>
      </c>
      <c r="B2291" s="17" t="s">
        <v>557</v>
      </c>
      <c r="C2291" s="17" t="s">
        <v>548</v>
      </c>
      <c r="D2291" s="17"/>
      <c r="E2291" s="17" t="s">
        <v>227</v>
      </c>
      <c r="F2291" s="17"/>
      <c r="G2291" s="18">
        <v>0</v>
      </c>
      <c r="H2291" s="18">
        <v>33.1400</v>
      </c>
      <c r="I2291" s="18">
        <f ca="1">((I2290 + G2291) - H2291)</f>
        <v>0</v>
      </c>
      <c r="J2291" s="18">
        <v>0</v>
      </c>
      <c r="K2291" s="19">
        <v>0</v>
      </c>
      <c r="L2291" s="17"/>
    </row>
    <row r="2292" ht="10.95" customHeight="true" customFormat="true" s="9">
      <c r="A2292" s="16">
        <v>45382</v>
      </c>
      <c r="B2292" s="17" t="s">
        <v>557</v>
      </c>
      <c r="C2292" s="17" t="s">
        <v>548</v>
      </c>
      <c r="D2292" s="17"/>
      <c r="E2292" s="17" t="s">
        <v>228</v>
      </c>
      <c r="F2292" s="17"/>
      <c r="G2292" s="18">
        <v>0</v>
      </c>
      <c r="H2292" s="18">
        <v>11.1500</v>
      </c>
      <c r="I2292" s="18">
        <f ca="1">((I2291 + G2292) - H2292)</f>
        <v>0</v>
      </c>
      <c r="J2292" s="18">
        <v>0</v>
      </c>
      <c r="K2292" s="19">
        <v>0</v>
      </c>
      <c r="L2292" s="17"/>
    </row>
    <row r="2293" ht="10.95" customHeight="true" customFormat="true" s="9">
      <c r="A2293" s="16">
        <v>45382</v>
      </c>
      <c r="B2293" s="17" t="s">
        <v>557</v>
      </c>
      <c r="C2293" s="17" t="s">
        <v>548</v>
      </c>
      <c r="D2293" s="17"/>
      <c r="E2293" s="17" t="s">
        <v>229</v>
      </c>
      <c r="F2293" s="17"/>
      <c r="G2293" s="18">
        <v>0</v>
      </c>
      <c r="H2293" s="18">
        <v>21.8500</v>
      </c>
      <c r="I2293" s="18">
        <f ca="1">((I2292 + G2293) - H2293)</f>
        <v>0</v>
      </c>
      <c r="J2293" s="18">
        <v>0</v>
      </c>
      <c r="K2293" s="19">
        <v>0</v>
      </c>
      <c r="L2293" s="17"/>
    </row>
    <row r="2294" ht="10.95" customHeight="true" customFormat="true" s="9">
      <c r="A2294" s="16">
        <v>45382</v>
      </c>
      <c r="B2294" s="17" t="s">
        <v>557</v>
      </c>
      <c r="C2294" s="17" t="s">
        <v>548</v>
      </c>
      <c r="D2294" s="17"/>
      <c r="E2294" s="17" t="s">
        <v>230</v>
      </c>
      <c r="F2294" s="17"/>
      <c r="G2294" s="18">
        <v>0</v>
      </c>
      <c r="H2294" s="18">
        <v>14.2000</v>
      </c>
      <c r="I2294" s="18">
        <f ca="1">((I2293 + G2294) - H2294)</f>
        <v>0</v>
      </c>
      <c r="J2294" s="18">
        <v>0</v>
      </c>
      <c r="K2294" s="19">
        <v>0</v>
      </c>
      <c r="L2294" s="17"/>
    </row>
    <row r="2295" ht="10.95" customHeight="true" customFormat="true" s="9">
      <c r="A2295" s="16">
        <v>45382</v>
      </c>
      <c r="B2295" s="17" t="s">
        <v>557</v>
      </c>
      <c r="C2295" s="17" t="s">
        <v>548</v>
      </c>
      <c r="D2295" s="17"/>
      <c r="E2295" s="17" t="s">
        <v>231</v>
      </c>
      <c r="F2295" s="17"/>
      <c r="G2295" s="18">
        <v>0</v>
      </c>
      <c r="H2295" s="18">
        <v>13.7300</v>
      </c>
      <c r="I2295" s="18">
        <f ca="1">((I2294 + G2295) - H2295)</f>
        <v>0</v>
      </c>
      <c r="J2295" s="18">
        <v>0</v>
      </c>
      <c r="K2295" s="19">
        <v>0</v>
      </c>
      <c r="L2295" s="17"/>
    </row>
    <row r="2296" ht="10.95" customHeight="true" customFormat="true" s="9">
      <c r="A2296" s="16">
        <v>45412</v>
      </c>
      <c r="B2296" s="17" t="s">
        <v>557</v>
      </c>
      <c r="C2296" s="17" t="s">
        <v>548</v>
      </c>
      <c r="D2296" s="17"/>
      <c r="E2296" s="17" t="s">
        <v>232</v>
      </c>
      <c r="F2296" s="17"/>
      <c r="G2296" s="18">
        <v>0</v>
      </c>
      <c r="H2296" s="18">
        <v>88.8300</v>
      </c>
      <c r="I2296" s="18">
        <f ca="1">((I2295 + G2296) - H2296)</f>
        <v>0</v>
      </c>
      <c r="J2296" s="18">
        <v>0</v>
      </c>
      <c r="K2296" s="19">
        <v>0</v>
      </c>
      <c r="L2296" s="17"/>
    </row>
    <row r="2297" ht="10.95" customHeight="true" customFormat="true" s="9">
      <c r="A2297" s="16">
        <v>45412</v>
      </c>
      <c r="B2297" s="17" t="s">
        <v>557</v>
      </c>
      <c r="C2297" s="17" t="s">
        <v>548</v>
      </c>
      <c r="D2297" s="17"/>
      <c r="E2297" s="17" t="s">
        <v>233</v>
      </c>
      <c r="F2297" s="17"/>
      <c r="G2297" s="18">
        <v>0</v>
      </c>
      <c r="H2297" s="18">
        <v>115.3800</v>
      </c>
      <c r="I2297" s="18">
        <f ca="1">((I2296 + G2297) - H2297)</f>
        <v>0</v>
      </c>
      <c r="J2297" s="18">
        <v>0</v>
      </c>
      <c r="K2297" s="19">
        <v>0</v>
      </c>
      <c r="L2297" s="17"/>
    </row>
    <row r="2298" ht="10.95" customHeight="true" customFormat="true" s="9">
      <c r="A2298" s="16">
        <v>45412</v>
      </c>
      <c r="B2298" s="17" t="s">
        <v>557</v>
      </c>
      <c r="C2298" s="17" t="s">
        <v>548</v>
      </c>
      <c r="D2298" s="17"/>
      <c r="E2298" s="17" t="s">
        <v>234</v>
      </c>
      <c r="F2298" s="17"/>
      <c r="G2298" s="18">
        <v>0</v>
      </c>
      <c r="H2298" s="18">
        <v>38.5900</v>
      </c>
      <c r="I2298" s="18">
        <f ca="1">((I2297 + G2298) - H2298)</f>
        <v>0</v>
      </c>
      <c r="J2298" s="18">
        <v>0</v>
      </c>
      <c r="K2298" s="19">
        <v>0</v>
      </c>
      <c r="L2298" s="17"/>
    </row>
    <row r="2299" ht="10.95" customHeight="true" customFormat="true" s="9">
      <c r="A2299" s="16">
        <v>45412</v>
      </c>
      <c r="B2299" s="17" t="s">
        <v>557</v>
      </c>
      <c r="C2299" s="17" t="s">
        <v>548</v>
      </c>
      <c r="D2299" s="17"/>
      <c r="E2299" s="17" t="s">
        <v>235</v>
      </c>
      <c r="F2299" s="17"/>
      <c r="G2299" s="18">
        <v>0</v>
      </c>
      <c r="H2299" s="18">
        <v>32.0800</v>
      </c>
      <c r="I2299" s="18">
        <f ca="1">((I2298 + G2299) - H2299)</f>
        <v>0</v>
      </c>
      <c r="J2299" s="18">
        <v>0</v>
      </c>
      <c r="K2299" s="19">
        <v>0</v>
      </c>
      <c r="L2299" s="17"/>
    </row>
    <row r="2300" ht="10.95" customHeight="true" customFormat="true" s="9">
      <c r="A2300" s="16">
        <v>45412</v>
      </c>
      <c r="B2300" s="17" t="s">
        <v>557</v>
      </c>
      <c r="C2300" s="17" t="s">
        <v>548</v>
      </c>
      <c r="D2300" s="17"/>
      <c r="E2300" s="17" t="s">
        <v>236</v>
      </c>
      <c r="F2300" s="17"/>
      <c r="G2300" s="18">
        <v>0</v>
      </c>
      <c r="H2300" s="18">
        <v>10.7900</v>
      </c>
      <c r="I2300" s="18">
        <f ca="1">((I2299 + G2300) - H2300)</f>
        <v>0</v>
      </c>
      <c r="J2300" s="18">
        <v>0</v>
      </c>
      <c r="K2300" s="19">
        <v>0</v>
      </c>
      <c r="L2300" s="17"/>
    </row>
    <row r="2301" ht="10.95" customHeight="true" customFormat="true" s="9">
      <c r="A2301" s="16">
        <v>45412</v>
      </c>
      <c r="B2301" s="17" t="s">
        <v>557</v>
      </c>
      <c r="C2301" s="17" t="s">
        <v>548</v>
      </c>
      <c r="D2301" s="17"/>
      <c r="E2301" s="17" t="s">
        <v>237</v>
      </c>
      <c r="F2301" s="17"/>
      <c r="G2301" s="18">
        <v>0</v>
      </c>
      <c r="H2301" s="18">
        <v>21.1600</v>
      </c>
      <c r="I2301" s="18">
        <f ca="1">((I2300 + G2301) - H2301)</f>
        <v>0</v>
      </c>
      <c r="J2301" s="18">
        <v>0</v>
      </c>
      <c r="K2301" s="19">
        <v>0</v>
      </c>
      <c r="L2301" s="17"/>
    </row>
    <row r="2302" ht="10.95" customHeight="true" customFormat="true" s="9">
      <c r="A2302" s="16">
        <v>45412</v>
      </c>
      <c r="B2302" s="17" t="s">
        <v>557</v>
      </c>
      <c r="C2302" s="17" t="s">
        <v>548</v>
      </c>
      <c r="D2302" s="17"/>
      <c r="E2302" s="17" t="s">
        <v>238</v>
      </c>
      <c r="F2302" s="17"/>
      <c r="G2302" s="18">
        <v>0</v>
      </c>
      <c r="H2302" s="18">
        <v>13.7400</v>
      </c>
      <c r="I2302" s="18">
        <f ca="1">((I2301 + G2302) - H2302)</f>
        <v>0</v>
      </c>
      <c r="J2302" s="18">
        <v>0</v>
      </c>
      <c r="K2302" s="19">
        <v>0</v>
      </c>
      <c r="L2302" s="17"/>
    </row>
    <row r="2303" ht="10.95" customHeight="true" customFormat="true" s="9">
      <c r="A2303" s="16">
        <v>45412</v>
      </c>
      <c r="B2303" s="17" t="s">
        <v>557</v>
      </c>
      <c r="C2303" s="17" t="s">
        <v>548</v>
      </c>
      <c r="D2303" s="17"/>
      <c r="E2303" s="17" t="s">
        <v>239</v>
      </c>
      <c r="F2303" s="17"/>
      <c r="G2303" s="18">
        <v>0</v>
      </c>
      <c r="H2303" s="18">
        <v>13.2700</v>
      </c>
      <c r="I2303" s="18">
        <f ca="1">((I2302 + G2303) - H2303)</f>
        <v>0</v>
      </c>
      <c r="J2303" s="18">
        <v>0</v>
      </c>
      <c r="K2303" s="19">
        <v>0</v>
      </c>
      <c r="L2303" s="17"/>
    </row>
    <row r="2304" ht="10.95" customHeight="true" customFormat="true" s="9">
      <c r="A2304" s="16">
        <v>45443</v>
      </c>
      <c r="B2304" s="17" t="s">
        <v>557</v>
      </c>
      <c r="C2304" s="17" t="s">
        <v>548</v>
      </c>
      <c r="D2304" s="17"/>
      <c r="E2304" s="17" t="s">
        <v>240</v>
      </c>
      <c r="F2304" s="17"/>
      <c r="G2304" s="18">
        <v>0</v>
      </c>
      <c r="H2304" s="18">
        <v>91.8000</v>
      </c>
      <c r="I2304" s="18">
        <f ca="1">((I2303 + G2304) - H2304)</f>
        <v>0</v>
      </c>
      <c r="J2304" s="18">
        <v>0</v>
      </c>
      <c r="K2304" s="19">
        <v>0</v>
      </c>
      <c r="L2304" s="17"/>
    </row>
    <row r="2305" ht="10.95" customHeight="true" customFormat="true" s="9">
      <c r="A2305" s="16">
        <v>45443</v>
      </c>
      <c r="B2305" s="17" t="s">
        <v>557</v>
      </c>
      <c r="C2305" s="17" t="s">
        <v>548</v>
      </c>
      <c r="D2305" s="17"/>
      <c r="E2305" s="17" t="s">
        <v>241</v>
      </c>
      <c r="F2305" s="17"/>
      <c r="G2305" s="18">
        <v>0</v>
      </c>
      <c r="H2305" s="18">
        <v>119.2300</v>
      </c>
      <c r="I2305" s="18">
        <f ca="1">((I2304 + G2305) - H2305)</f>
        <v>0</v>
      </c>
      <c r="J2305" s="18">
        <v>0</v>
      </c>
      <c r="K2305" s="19">
        <v>0</v>
      </c>
      <c r="L2305" s="17"/>
    </row>
    <row r="2306" ht="10.95" customHeight="true" customFormat="true" s="9">
      <c r="A2306" s="16">
        <v>45443</v>
      </c>
      <c r="B2306" s="17" t="s">
        <v>557</v>
      </c>
      <c r="C2306" s="17" t="s">
        <v>548</v>
      </c>
      <c r="D2306" s="17"/>
      <c r="E2306" s="17" t="s">
        <v>242</v>
      </c>
      <c r="F2306" s="17"/>
      <c r="G2306" s="18">
        <v>0</v>
      </c>
      <c r="H2306" s="18">
        <v>39.8700</v>
      </c>
      <c r="I2306" s="18">
        <f ca="1">((I2305 + G2306) - H2306)</f>
        <v>0</v>
      </c>
      <c r="J2306" s="18">
        <v>0</v>
      </c>
      <c r="K2306" s="19">
        <v>0</v>
      </c>
      <c r="L2306" s="17"/>
    </row>
    <row r="2307" ht="10.95" customHeight="true" customFormat="true" s="9">
      <c r="A2307" s="16">
        <v>45443</v>
      </c>
      <c r="B2307" s="17" t="s">
        <v>557</v>
      </c>
      <c r="C2307" s="17" t="s">
        <v>548</v>
      </c>
      <c r="D2307" s="17"/>
      <c r="E2307" s="17" t="s">
        <v>243</v>
      </c>
      <c r="F2307" s="17"/>
      <c r="G2307" s="18">
        <v>0</v>
      </c>
      <c r="H2307" s="18">
        <v>33.1400</v>
      </c>
      <c r="I2307" s="18">
        <f ca="1">((I2306 + G2307) - H2307)</f>
        <v>0</v>
      </c>
      <c r="J2307" s="18">
        <v>0</v>
      </c>
      <c r="K2307" s="19">
        <v>0</v>
      </c>
      <c r="L2307" s="17"/>
    </row>
    <row r="2308" ht="10.95" customHeight="true" customFormat="true" s="9">
      <c r="A2308" s="16">
        <v>45443</v>
      </c>
      <c r="B2308" s="17" t="s">
        <v>557</v>
      </c>
      <c r="C2308" s="17" t="s">
        <v>548</v>
      </c>
      <c r="D2308" s="17"/>
      <c r="E2308" s="17" t="s">
        <v>244</v>
      </c>
      <c r="F2308" s="17"/>
      <c r="G2308" s="18">
        <v>0</v>
      </c>
      <c r="H2308" s="18">
        <v>11.1600</v>
      </c>
      <c r="I2308" s="18">
        <f ca="1">((I2307 + G2308) - H2308)</f>
        <v>0</v>
      </c>
      <c r="J2308" s="18">
        <v>0</v>
      </c>
      <c r="K2308" s="19">
        <v>0</v>
      </c>
      <c r="L2308" s="17"/>
    </row>
    <row r="2309" ht="10.95" customHeight="true" customFormat="true" s="9">
      <c r="A2309" s="16">
        <v>45443</v>
      </c>
      <c r="B2309" s="17" t="s">
        <v>557</v>
      </c>
      <c r="C2309" s="17" t="s">
        <v>548</v>
      </c>
      <c r="D2309" s="17"/>
      <c r="E2309" s="17" t="s">
        <v>245</v>
      </c>
      <c r="F2309" s="17"/>
      <c r="G2309" s="18">
        <v>0</v>
      </c>
      <c r="H2309" s="18">
        <v>21.8600</v>
      </c>
      <c r="I2309" s="18">
        <f ca="1">((I2308 + G2309) - H2309)</f>
        <v>0</v>
      </c>
      <c r="J2309" s="18">
        <v>0</v>
      </c>
      <c r="K2309" s="19">
        <v>0</v>
      </c>
      <c r="L2309" s="17"/>
    </row>
    <row r="2310" ht="10.95" customHeight="true" customFormat="true" s="9">
      <c r="A2310" s="16">
        <v>45443</v>
      </c>
      <c r="B2310" s="17" t="s">
        <v>557</v>
      </c>
      <c r="C2310" s="17" t="s">
        <v>548</v>
      </c>
      <c r="D2310" s="17"/>
      <c r="E2310" s="17" t="s">
        <v>246</v>
      </c>
      <c r="F2310" s="17"/>
      <c r="G2310" s="18">
        <v>0</v>
      </c>
      <c r="H2310" s="18">
        <v>14.1900</v>
      </c>
      <c r="I2310" s="18">
        <f ca="1">((I2309 + G2310) - H2310)</f>
        <v>0</v>
      </c>
      <c r="J2310" s="18">
        <v>0</v>
      </c>
      <c r="K2310" s="19">
        <v>0</v>
      </c>
      <c r="L2310" s="17"/>
    </row>
    <row r="2311" ht="10.95" customHeight="true" customFormat="true" s="9">
      <c r="A2311" s="16">
        <v>45443</v>
      </c>
      <c r="B2311" s="17" t="s">
        <v>557</v>
      </c>
      <c r="C2311" s="17" t="s">
        <v>548</v>
      </c>
      <c r="D2311" s="17"/>
      <c r="E2311" s="17" t="s">
        <v>247</v>
      </c>
      <c r="F2311" s="17"/>
      <c r="G2311" s="18">
        <v>0</v>
      </c>
      <c r="H2311" s="18">
        <v>13.7300</v>
      </c>
      <c r="I2311" s="18">
        <f ca="1">((I2310 + G2311) - H2311)</f>
        <v>0</v>
      </c>
      <c r="J2311" s="18">
        <v>0</v>
      </c>
      <c r="K2311" s="19">
        <v>0</v>
      </c>
      <c r="L2311" s="17"/>
    </row>
    <row r="2312" ht="10.95" customHeight="true" customFormat="true" s="9">
      <c r="A2312" s="16">
        <v>45473</v>
      </c>
      <c r="B2312" s="17" t="s">
        <v>557</v>
      </c>
      <c r="C2312" s="17" t="s">
        <v>548</v>
      </c>
      <c r="D2312" s="17"/>
      <c r="E2312" s="17" t="s">
        <v>248</v>
      </c>
      <c r="F2312" s="17"/>
      <c r="G2312" s="18">
        <v>0</v>
      </c>
      <c r="H2312" s="18">
        <v>88.8400</v>
      </c>
      <c r="I2312" s="18">
        <f ca="1">((I2311 + G2312) - H2312)</f>
        <v>0</v>
      </c>
      <c r="J2312" s="18">
        <v>0</v>
      </c>
      <c r="K2312" s="19">
        <v>0</v>
      </c>
      <c r="L2312" s="17"/>
    </row>
    <row r="2313" ht="10.95" customHeight="true" customFormat="true" s="9">
      <c r="A2313" s="16">
        <v>45473</v>
      </c>
      <c r="B2313" s="17" t="s">
        <v>557</v>
      </c>
      <c r="C2313" s="17" t="s">
        <v>548</v>
      </c>
      <c r="D2313" s="17"/>
      <c r="E2313" s="17" t="s">
        <v>249</v>
      </c>
      <c r="F2313" s="17"/>
      <c r="G2313" s="18">
        <v>0</v>
      </c>
      <c r="H2313" s="18">
        <v>115.3900</v>
      </c>
      <c r="I2313" s="18">
        <f ca="1">((I2312 + G2313) - H2313)</f>
        <v>0</v>
      </c>
      <c r="J2313" s="18">
        <v>0</v>
      </c>
      <c r="K2313" s="19">
        <v>0</v>
      </c>
      <c r="L2313" s="17"/>
    </row>
    <row r="2314" ht="10.95" customHeight="true" customFormat="true" s="9">
      <c r="A2314" s="16">
        <v>45473</v>
      </c>
      <c r="B2314" s="17" t="s">
        <v>557</v>
      </c>
      <c r="C2314" s="17" t="s">
        <v>548</v>
      </c>
      <c r="D2314" s="17"/>
      <c r="E2314" s="17" t="s">
        <v>250</v>
      </c>
      <c r="F2314" s="17"/>
      <c r="G2314" s="18">
        <v>0</v>
      </c>
      <c r="H2314" s="18">
        <v>38.5900</v>
      </c>
      <c r="I2314" s="18">
        <f ca="1">((I2313 + G2314) - H2314)</f>
        <v>0</v>
      </c>
      <c r="J2314" s="18">
        <v>0</v>
      </c>
      <c r="K2314" s="19">
        <v>0</v>
      </c>
      <c r="L2314" s="17"/>
    </row>
    <row r="2315" ht="10.95" customHeight="true" customFormat="true" s="9">
      <c r="A2315" s="16">
        <v>45473</v>
      </c>
      <c r="B2315" s="17" t="s">
        <v>557</v>
      </c>
      <c r="C2315" s="17" t="s">
        <v>548</v>
      </c>
      <c r="D2315" s="17"/>
      <c r="E2315" s="17" t="s">
        <v>251</v>
      </c>
      <c r="F2315" s="17"/>
      <c r="G2315" s="18">
        <v>0</v>
      </c>
      <c r="H2315" s="18">
        <v>32.0700</v>
      </c>
      <c r="I2315" s="18">
        <f ca="1">((I2314 + G2315) - H2315)</f>
        <v>0</v>
      </c>
      <c r="J2315" s="18">
        <v>0</v>
      </c>
      <c r="K2315" s="19">
        <v>0</v>
      </c>
      <c r="L2315" s="17"/>
    </row>
    <row r="2316" ht="10.95" customHeight="true" customFormat="true" s="9">
      <c r="A2316" s="16">
        <v>45473</v>
      </c>
      <c r="B2316" s="17" t="s">
        <v>557</v>
      </c>
      <c r="C2316" s="17" t="s">
        <v>548</v>
      </c>
      <c r="D2316" s="17"/>
      <c r="E2316" s="17" t="s">
        <v>252</v>
      </c>
      <c r="F2316" s="17"/>
      <c r="G2316" s="18">
        <v>0</v>
      </c>
      <c r="H2316" s="18">
        <v>10.7900</v>
      </c>
      <c r="I2316" s="18">
        <f ca="1">((I2315 + G2316) - H2316)</f>
        <v>0</v>
      </c>
      <c r="J2316" s="18">
        <v>0</v>
      </c>
      <c r="K2316" s="19">
        <v>0</v>
      </c>
      <c r="L2316" s="17"/>
    </row>
    <row r="2317" ht="10.95" customHeight="true" customFormat="true" s="9">
      <c r="A2317" s="16">
        <v>45473</v>
      </c>
      <c r="B2317" s="17" t="s">
        <v>557</v>
      </c>
      <c r="C2317" s="17" t="s">
        <v>548</v>
      </c>
      <c r="D2317" s="17"/>
      <c r="E2317" s="17" t="s">
        <v>253</v>
      </c>
      <c r="F2317" s="17"/>
      <c r="G2317" s="18">
        <v>0</v>
      </c>
      <c r="H2317" s="18">
        <v>21.1500</v>
      </c>
      <c r="I2317" s="18">
        <f ca="1">((I2316 + G2317) - H2317)</f>
        <v>0</v>
      </c>
      <c r="J2317" s="18">
        <v>0</v>
      </c>
      <c r="K2317" s="19">
        <v>0</v>
      </c>
      <c r="L2317" s="17"/>
    </row>
    <row r="2318" ht="10.95" customHeight="true" customFormat="true" s="9">
      <c r="A2318" s="16">
        <v>45473</v>
      </c>
      <c r="B2318" s="17" t="s">
        <v>557</v>
      </c>
      <c r="C2318" s="17" t="s">
        <v>548</v>
      </c>
      <c r="D2318" s="17"/>
      <c r="E2318" s="17" t="s">
        <v>254</v>
      </c>
      <c r="F2318" s="17"/>
      <c r="G2318" s="18">
        <v>0</v>
      </c>
      <c r="H2318" s="18">
        <v>13.7400</v>
      </c>
      <c r="I2318" s="18">
        <f ca="1">((I2317 + G2318) - H2318)</f>
        <v>0</v>
      </c>
      <c r="J2318" s="18">
        <v>0</v>
      </c>
      <c r="K2318" s="19">
        <v>0</v>
      </c>
      <c r="L2318" s="17"/>
    </row>
    <row r="2319" ht="10.95" customHeight="true" customFormat="true" s="9">
      <c r="A2319" s="16">
        <v>45473</v>
      </c>
      <c r="B2319" s="17" t="s">
        <v>557</v>
      </c>
      <c r="C2319" s="17" t="s">
        <v>548</v>
      </c>
      <c r="D2319" s="17"/>
      <c r="E2319" s="17" t="s">
        <v>255</v>
      </c>
      <c r="F2319" s="17"/>
      <c r="G2319" s="18">
        <v>0</v>
      </c>
      <c r="H2319" s="18">
        <v>13.2700</v>
      </c>
      <c r="I2319" s="18">
        <f ca="1">((I2318 + G2319) - H2319)</f>
        <v>0</v>
      </c>
      <c r="J2319" s="18">
        <v>0</v>
      </c>
      <c r="K2319" s="19">
        <v>0</v>
      </c>
      <c r="L2319" s="17"/>
    </row>
    <row r="2320" ht="10.95" customHeight="true" customFormat="true" s="9">
      <c r="A2320" s="20" t="s">
        <v>558</v>
      </c>
      <c r="B2320" s="20"/>
      <c r="C2320" s="20"/>
      <c r="D2320" s="20"/>
      <c r="E2320" s="20"/>
      <c r="F2320" s="20"/>
      <c r="G2320" s="21">
        <f ca="1">SUM(G2236:G2319)</f>
        <v>0</v>
      </c>
      <c r="H2320" s="21">
        <f ca="1">SUM(H2236:H2319)</f>
        <v>0</v>
      </c>
      <c r="I2320" s="21">
        <f ca="1">I2319</f>
        <v>0</v>
      </c>
      <c r="J2320" s="21">
        <f ca="1">SUM(J2236:J2319)</f>
        <v>0</v>
      </c>
      <c r="K2320" s="20"/>
      <c r="L2320" s="20"/>
    </row>
    <row r="2321" ht="10.95" customHeight="true" customFormat="true" s="9">
      <c r="A2321" s="20" t="s">
        <v>53</v>
      </c>
      <c r="B2321" s="20"/>
      <c r="C2321" s="20"/>
      <c r="D2321" s="20"/>
      <c r="E2321" s="20"/>
      <c r="F2321" s="20"/>
      <c r="G2321" s="21">
        <v>0</v>
      </c>
      <c r="H2321" s="21">
        <v>3885.2200</v>
      </c>
      <c r="I2321" s="21">
        <v>0</v>
      </c>
      <c r="J2321" s="21">
        <v>0</v>
      </c>
      <c r="K2321" s="20"/>
      <c r="L2321" s="20"/>
    </row>
    <row r="2322" ht="10.95" customHeight="true" customFormat="true" s="9">
      <c r="A2322" s="10" t="s">
        <v>54</v>
      </c>
      <c r="B2322" s="10"/>
      <c r="C2322" s="10"/>
      <c r="D2322" s="10"/>
      <c r="E2322" s="10"/>
      <c r="F2322" s="10"/>
      <c r="G2322" s="11">
        <v>0</v>
      </c>
      <c r="H2322" s="11">
        <v>146385.3400</v>
      </c>
      <c r="I2322" s="11">
        <f ca="1">I2319</f>
        <v>0</v>
      </c>
      <c r="J2322" s="11">
        <v>0</v>
      </c>
      <c r="K2322" s="10"/>
      <c r="L2322" s="10"/>
    </row>
    <row r="2323" ht="13.35" customHeight="true"/>
    <row r="2324" ht="12.1" customHeight="true" customFormat="true" s="5">
      <c r="A2324" s="8" t="s">
        <v>559</v>
      </c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</row>
    <row r="2325" ht="10.95" customHeight="true" customFormat="true" s="9">
      <c r="A2325" s="10" t="s">
        <v>16</v>
      </c>
      <c r="B2325" s="10"/>
      <c r="C2325" s="10"/>
      <c r="D2325" s="10"/>
      <c r="E2325" s="10"/>
      <c r="F2325" s="10"/>
      <c r="G2325" s="11">
        <v>2409.0900</v>
      </c>
      <c r="H2325" s="11">
        <v>0</v>
      </c>
      <c r="I2325" s="11">
        <f ca="1">(G2325 - H2325)</f>
        <v>0</v>
      </c>
      <c r="J2325" s="11">
        <v>0</v>
      </c>
      <c r="K2325" s="10"/>
      <c r="L2325" s="10"/>
    </row>
    <row r="2326" ht="10.95" customHeight="true" customFormat="true" s="9">
      <c r="A2326" s="12">
        <v>45473</v>
      </c>
      <c r="B2326" s="13" t="s">
        <v>560</v>
      </c>
      <c r="C2326" s="13" t="s">
        <v>561</v>
      </c>
      <c r="D2326" s="13" t="s">
        <v>25</v>
      </c>
      <c r="E2326" s="13" t="s">
        <v>562</v>
      </c>
      <c r="F2326" s="13" t="s">
        <v>50</v>
      </c>
      <c r="G2326" s="14">
        <v>0</v>
      </c>
      <c r="H2326" s="14">
        <v>2409.0900</v>
      </c>
      <c r="I2326" s="14">
        <f ca="1">((I2325 + G2326) - H2326)</f>
        <v>0</v>
      </c>
      <c r="J2326" s="14">
        <v>0</v>
      </c>
      <c r="K2326" s="15">
        <v>0</v>
      </c>
      <c r="L2326" s="13" t="s">
        <v>28</v>
      </c>
    </row>
    <row r="2327" ht="10.95" customHeight="true" customFormat="true" s="9">
      <c r="A2327" s="20" t="s">
        <v>563</v>
      </c>
      <c r="B2327" s="20"/>
      <c r="C2327" s="20"/>
      <c r="D2327" s="20"/>
      <c r="E2327" s="20"/>
      <c r="F2327" s="20"/>
      <c r="G2327" s="21">
        <f ca="1">G2326</f>
        <v>0</v>
      </c>
      <c r="H2327" s="21">
        <f ca="1">H2326</f>
        <v>0</v>
      </c>
      <c r="I2327" s="21">
        <f ca="1">I2326</f>
        <v>0</v>
      </c>
      <c r="J2327" s="21">
        <f ca="1">J2326</f>
        <v>0</v>
      </c>
      <c r="K2327" s="20"/>
      <c r="L2327" s="20"/>
    </row>
    <row r="2328" ht="10.95" customHeight="true" customFormat="true" s="9">
      <c r="A2328" s="20" t="s">
        <v>53</v>
      </c>
      <c r="B2328" s="20"/>
      <c r="C2328" s="20"/>
      <c r="D2328" s="20"/>
      <c r="E2328" s="20"/>
      <c r="F2328" s="20"/>
      <c r="G2328" s="21">
        <v>0</v>
      </c>
      <c r="H2328" s="21">
        <v>2409.0900</v>
      </c>
      <c r="I2328" s="21">
        <v>0</v>
      </c>
      <c r="J2328" s="21">
        <v>0</v>
      </c>
      <c r="K2328" s="20"/>
      <c r="L2328" s="20"/>
    </row>
    <row r="2329" ht="10.95" customHeight="true" customFormat="true" s="9">
      <c r="A2329" s="10" t="s">
        <v>54</v>
      </c>
      <c r="B2329" s="10"/>
      <c r="C2329" s="10"/>
      <c r="D2329" s="10"/>
      <c r="E2329" s="10"/>
      <c r="F2329" s="10"/>
      <c r="G2329" s="11">
        <v>0</v>
      </c>
      <c r="H2329" s="11">
        <v>0</v>
      </c>
      <c r="I2329" s="11">
        <f ca="1">I2326</f>
        <v>0</v>
      </c>
      <c r="J2329" s="11">
        <v>0</v>
      </c>
      <c r="K2329" s="10"/>
      <c r="L2329" s="10"/>
    </row>
    <row r="2330" ht="13.35" customHeight="true"/>
    <row r="2331" ht="12.1" customHeight="true" customFormat="true" s="5">
      <c r="A2331" s="8" t="s">
        <v>564</v>
      </c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</row>
    <row r="2332" ht="10.95" customHeight="true" customFormat="true" s="9">
      <c r="A2332" s="10" t="s">
        <v>16</v>
      </c>
      <c r="B2332" s="10"/>
      <c r="C2332" s="10"/>
      <c r="D2332" s="10"/>
      <c r="E2332" s="10"/>
      <c r="F2332" s="10"/>
      <c r="G2332" s="11">
        <v>0</v>
      </c>
      <c r="H2332" s="11">
        <v>2409.0900</v>
      </c>
      <c r="I2332" s="11">
        <f ca="1">(G2332 - H2332)</f>
        <v>0</v>
      </c>
      <c r="J2332" s="11">
        <v>0</v>
      </c>
      <c r="K2332" s="10"/>
      <c r="L2332" s="10"/>
    </row>
    <row r="2333" ht="10.95" customHeight="true" customFormat="true" s="9">
      <c r="A2333" s="12">
        <v>45473</v>
      </c>
      <c r="B2333" s="13" t="s">
        <v>565</v>
      </c>
      <c r="C2333" s="13" t="s">
        <v>561</v>
      </c>
      <c r="D2333" s="13" t="s">
        <v>25</v>
      </c>
      <c r="E2333" s="13" t="s">
        <v>562</v>
      </c>
      <c r="F2333" s="13" t="s">
        <v>50</v>
      </c>
      <c r="G2333" s="14">
        <v>2409.0900</v>
      </c>
      <c r="H2333" s="14">
        <v>0</v>
      </c>
      <c r="I2333" s="14">
        <f ca="1">((I2332 + G2333) - H2333)</f>
        <v>0</v>
      </c>
      <c r="J2333" s="14">
        <v>0</v>
      </c>
      <c r="K2333" s="15">
        <v>0</v>
      </c>
      <c r="L2333" s="13" t="s">
        <v>28</v>
      </c>
    </row>
    <row r="2334" ht="10.95" customHeight="true" customFormat="true" s="9">
      <c r="A2334" s="20" t="s">
        <v>566</v>
      </c>
      <c r="B2334" s="20"/>
      <c r="C2334" s="20"/>
      <c r="D2334" s="20"/>
      <c r="E2334" s="20"/>
      <c r="F2334" s="20"/>
      <c r="G2334" s="21">
        <f ca="1">G2333</f>
        <v>0</v>
      </c>
      <c r="H2334" s="21">
        <f ca="1">H2333</f>
        <v>0</v>
      </c>
      <c r="I2334" s="21">
        <f ca="1">I2333</f>
        <v>0</v>
      </c>
      <c r="J2334" s="21">
        <f ca="1">J2333</f>
        <v>0</v>
      </c>
      <c r="K2334" s="20"/>
      <c r="L2334" s="20"/>
    </row>
    <row r="2335" ht="10.95" customHeight="true" customFormat="true" s="9">
      <c r="A2335" s="20" t="s">
        <v>53</v>
      </c>
      <c r="B2335" s="20"/>
      <c r="C2335" s="20"/>
      <c r="D2335" s="20"/>
      <c r="E2335" s="20"/>
      <c r="F2335" s="20"/>
      <c r="G2335" s="21">
        <v>2409.0900</v>
      </c>
      <c r="H2335" s="21">
        <v>0</v>
      </c>
      <c r="I2335" s="21">
        <v>0</v>
      </c>
      <c r="J2335" s="21">
        <v>0</v>
      </c>
      <c r="K2335" s="20"/>
      <c r="L2335" s="20"/>
    </row>
    <row r="2336" ht="10.95" customHeight="true" customFormat="true" s="9">
      <c r="A2336" s="10" t="s">
        <v>54</v>
      </c>
      <c r="B2336" s="10"/>
      <c r="C2336" s="10"/>
      <c r="D2336" s="10"/>
      <c r="E2336" s="10"/>
      <c r="F2336" s="10"/>
      <c r="G2336" s="11">
        <v>0</v>
      </c>
      <c r="H2336" s="11">
        <v>0</v>
      </c>
      <c r="I2336" s="11">
        <f ca="1">I2333</f>
        <v>0</v>
      </c>
      <c r="J2336" s="11">
        <v>0</v>
      </c>
      <c r="K2336" s="10"/>
      <c r="L2336" s="10"/>
    </row>
    <row r="2337" ht="13.35" customHeight="true"/>
    <row r="2338" ht="12.1" customHeight="true" customFormat="true" s="5">
      <c r="A2338" s="8" t="s">
        <v>567</v>
      </c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</row>
    <row r="2339" ht="10.95" customHeight="true" customFormat="true" s="9">
      <c r="A2339" s="10" t="s">
        <v>16</v>
      </c>
      <c r="B2339" s="10"/>
      <c r="C2339" s="10"/>
      <c r="D2339" s="10"/>
      <c r="E2339" s="10"/>
      <c r="F2339" s="10"/>
      <c r="G2339" s="11">
        <v>15950.0000</v>
      </c>
      <c r="H2339" s="11">
        <v>0</v>
      </c>
      <c r="I2339" s="11">
        <f ca="1">(G2339 - H2339)</f>
        <v>0</v>
      </c>
      <c r="J2339" s="11">
        <v>0</v>
      </c>
      <c r="K2339" s="10"/>
      <c r="L2339" s="10"/>
    </row>
    <row r="2340" ht="10.95" customHeight="true" customFormat="true" s="9">
      <c r="A2340" s="13"/>
      <c r="B2340" s="13" t="s">
        <v>568</v>
      </c>
      <c r="C2340" s="13" t="s">
        <v>561</v>
      </c>
      <c r="D2340" s="13"/>
      <c r="E2340" s="13" t="s">
        <v>421</v>
      </c>
      <c r="F2340" s="13"/>
      <c r="G2340" s="14">
        <v>0</v>
      </c>
      <c r="H2340" s="14">
        <v>0</v>
      </c>
      <c r="I2340" s="14">
        <f ca="1">((I2339 + G2340) - H2340)</f>
        <v>0</v>
      </c>
      <c r="J2340" s="14">
        <v>0</v>
      </c>
      <c r="K2340" s="15">
        <v>0</v>
      </c>
      <c r="L2340" s="13"/>
    </row>
    <row r="2341" ht="10.95" customHeight="true" customFormat="true" s="9">
      <c r="A2341" s="20" t="s">
        <v>569</v>
      </c>
      <c r="B2341" s="20"/>
      <c r="C2341" s="20"/>
      <c r="D2341" s="20"/>
      <c r="E2341" s="20"/>
      <c r="F2341" s="20"/>
      <c r="G2341" s="21">
        <f ca="1">G2340</f>
        <v>0</v>
      </c>
      <c r="H2341" s="21">
        <f ca="1">H2340</f>
        <v>0</v>
      </c>
      <c r="I2341" s="21">
        <f ca="1">I2340</f>
        <v>0</v>
      </c>
      <c r="J2341" s="21">
        <f ca="1">J2340</f>
        <v>0</v>
      </c>
      <c r="K2341" s="20"/>
      <c r="L2341" s="20"/>
    </row>
    <row r="2342" ht="10.95" customHeight="true" customFormat="true" s="9">
      <c r="A2342" s="20" t="s">
        <v>53</v>
      </c>
      <c r="B2342" s="20"/>
      <c r="C2342" s="20"/>
      <c r="D2342" s="20"/>
      <c r="E2342" s="20"/>
      <c r="F2342" s="20"/>
      <c r="G2342" s="21">
        <v>0</v>
      </c>
      <c r="H2342" s="21">
        <v>0</v>
      </c>
      <c r="I2342" s="21">
        <v>0</v>
      </c>
      <c r="J2342" s="21">
        <v>0</v>
      </c>
      <c r="K2342" s="20"/>
      <c r="L2342" s="20"/>
    </row>
    <row r="2343" ht="10.95" customHeight="true" customFormat="true" s="9">
      <c r="A2343" s="10" t="s">
        <v>54</v>
      </c>
      <c r="B2343" s="10"/>
      <c r="C2343" s="10"/>
      <c r="D2343" s="10"/>
      <c r="E2343" s="10"/>
      <c r="F2343" s="10"/>
      <c r="G2343" s="11">
        <v>15950.0000</v>
      </c>
      <c r="H2343" s="11">
        <v>0</v>
      </c>
      <c r="I2343" s="11">
        <f ca="1">I2340</f>
        <v>0</v>
      </c>
      <c r="J2343" s="11">
        <v>0</v>
      </c>
      <c r="K2343" s="10"/>
      <c r="L2343" s="10"/>
    </row>
    <row r="2344" ht="13.35" customHeight="true"/>
    <row r="2345" ht="12.1" customHeight="true" customFormat="true" s="5">
      <c r="A2345" s="8" t="s">
        <v>570</v>
      </c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</row>
    <row r="2346" ht="10.95" customHeight="true" customFormat="true" s="9">
      <c r="A2346" s="10" t="s">
        <v>16</v>
      </c>
      <c r="B2346" s="10"/>
      <c r="C2346" s="10"/>
      <c r="D2346" s="10"/>
      <c r="E2346" s="10"/>
      <c r="F2346" s="10"/>
      <c r="G2346" s="11">
        <v>0</v>
      </c>
      <c r="H2346" s="11">
        <v>0</v>
      </c>
      <c r="I2346" s="11">
        <f ca="1">(G2346 - H2346)</f>
        <v>0</v>
      </c>
      <c r="J2346" s="11">
        <v>0</v>
      </c>
      <c r="K2346" s="10"/>
      <c r="L2346" s="10"/>
    </row>
    <row r="2347" ht="10.95" customHeight="true" customFormat="true" s="9">
      <c r="A2347" s="12">
        <v>45110</v>
      </c>
      <c r="B2347" s="13" t="s">
        <v>571</v>
      </c>
      <c r="C2347" s="13" t="s">
        <v>572</v>
      </c>
      <c r="D2347" s="13" t="s">
        <v>22</v>
      </c>
      <c r="E2347" s="13" t="s">
        <v>573</v>
      </c>
      <c r="F2347" s="13" t="s">
        <v>427</v>
      </c>
      <c r="G2347" s="14">
        <v>487.0000</v>
      </c>
      <c r="H2347" s="14">
        <v>0</v>
      </c>
      <c r="I2347" s="14">
        <f ca="1">((I2346 + G2347) - H2347)</f>
        <v>0</v>
      </c>
      <c r="J2347" s="14">
        <v>0</v>
      </c>
      <c r="K2347" s="15">
        <v>0</v>
      </c>
      <c r="L2347" s="13" t="s">
        <v>28</v>
      </c>
    </row>
    <row r="2348" ht="10.95" customHeight="true" customFormat="true" s="9">
      <c r="A2348" s="16">
        <v>45110</v>
      </c>
      <c r="B2348" s="17" t="s">
        <v>571</v>
      </c>
      <c r="C2348" s="17" t="s">
        <v>572</v>
      </c>
      <c r="D2348" s="17" t="s">
        <v>22</v>
      </c>
      <c r="E2348" s="17" t="s">
        <v>573</v>
      </c>
      <c r="F2348" s="17" t="s">
        <v>427</v>
      </c>
      <c r="G2348" s="18">
        <v>1000.0000</v>
      </c>
      <c r="H2348" s="18">
        <v>0</v>
      </c>
      <c r="I2348" s="18">
        <f ca="1">((I2347 + G2348) - H2348)</f>
        <v>0</v>
      </c>
      <c r="J2348" s="18">
        <v>0</v>
      </c>
      <c r="K2348" s="19">
        <v>0</v>
      </c>
      <c r="L2348" s="17" t="s">
        <v>28</v>
      </c>
    </row>
    <row r="2349" ht="10.95" customHeight="true" customFormat="true" s="9">
      <c r="A2349" s="16">
        <v>45110</v>
      </c>
      <c r="B2349" s="17" t="s">
        <v>571</v>
      </c>
      <c r="C2349" s="17" t="s">
        <v>572</v>
      </c>
      <c r="D2349" s="17" t="s">
        <v>22</v>
      </c>
      <c r="E2349" s="17" t="s">
        <v>573</v>
      </c>
      <c r="F2349" s="17" t="s">
        <v>427</v>
      </c>
      <c r="G2349" s="18">
        <v>590.0000</v>
      </c>
      <c r="H2349" s="18">
        <v>0</v>
      </c>
      <c r="I2349" s="18">
        <f ca="1">((I2348 + G2349) - H2349)</f>
        <v>0</v>
      </c>
      <c r="J2349" s="18">
        <v>0</v>
      </c>
      <c r="K2349" s="19">
        <v>0</v>
      </c>
      <c r="L2349" s="17" t="s">
        <v>28</v>
      </c>
    </row>
    <row r="2350" ht="10.95" customHeight="true" customFormat="true" s="9">
      <c r="A2350" s="16">
        <v>45110</v>
      </c>
      <c r="B2350" s="17" t="s">
        <v>571</v>
      </c>
      <c r="C2350" s="17" t="s">
        <v>572</v>
      </c>
      <c r="D2350" s="17" t="s">
        <v>22</v>
      </c>
      <c r="E2350" s="17" t="s">
        <v>573</v>
      </c>
      <c r="F2350" s="17" t="s">
        <v>427</v>
      </c>
      <c r="G2350" s="18">
        <v>674.5000</v>
      </c>
      <c r="H2350" s="18">
        <v>0</v>
      </c>
      <c r="I2350" s="18">
        <f ca="1">((I2349 + G2350) - H2350)</f>
        <v>0</v>
      </c>
      <c r="J2350" s="18">
        <v>0</v>
      </c>
      <c r="K2350" s="19">
        <v>0</v>
      </c>
      <c r="L2350" s="17" t="s">
        <v>28</v>
      </c>
    </row>
    <row r="2351" ht="10.95" customHeight="true" customFormat="true" s="9">
      <c r="A2351" s="16">
        <v>45110</v>
      </c>
      <c r="B2351" s="17" t="s">
        <v>571</v>
      </c>
      <c r="C2351" s="17" t="s">
        <v>572</v>
      </c>
      <c r="D2351" s="17" t="s">
        <v>22</v>
      </c>
      <c r="E2351" s="17" t="s">
        <v>573</v>
      </c>
      <c r="F2351" s="17" t="s">
        <v>427</v>
      </c>
      <c r="G2351" s="18">
        <v>1158.1500</v>
      </c>
      <c r="H2351" s="18">
        <v>0</v>
      </c>
      <c r="I2351" s="18">
        <f ca="1">((I2350 + G2351) - H2351)</f>
        <v>0</v>
      </c>
      <c r="J2351" s="18">
        <v>0</v>
      </c>
      <c r="K2351" s="19">
        <v>0</v>
      </c>
      <c r="L2351" s="17" t="s">
        <v>28</v>
      </c>
    </row>
    <row r="2352" ht="10.95" customHeight="true" customFormat="true" s="9">
      <c r="A2352" s="16">
        <v>45110</v>
      </c>
      <c r="B2352" s="17" t="s">
        <v>571</v>
      </c>
      <c r="C2352" s="17" t="s">
        <v>572</v>
      </c>
      <c r="D2352" s="17" t="s">
        <v>22</v>
      </c>
      <c r="E2352" s="17" t="s">
        <v>573</v>
      </c>
      <c r="F2352" s="17" t="s">
        <v>427</v>
      </c>
      <c r="G2352" s="18">
        <v>126.0000</v>
      </c>
      <c r="H2352" s="18">
        <v>0</v>
      </c>
      <c r="I2352" s="18">
        <f ca="1">((I2351 + G2352) - H2352)</f>
        <v>0</v>
      </c>
      <c r="J2352" s="18">
        <v>0</v>
      </c>
      <c r="K2352" s="19">
        <v>0</v>
      </c>
      <c r="L2352" s="17" t="s">
        <v>28</v>
      </c>
    </row>
    <row r="2353" ht="10.95" customHeight="true" customFormat="true" s="9">
      <c r="A2353" s="16">
        <v>45110</v>
      </c>
      <c r="B2353" s="17" t="s">
        <v>571</v>
      </c>
      <c r="C2353" s="17" t="s">
        <v>572</v>
      </c>
      <c r="D2353" s="17" t="s">
        <v>22</v>
      </c>
      <c r="E2353" s="17" t="s">
        <v>573</v>
      </c>
      <c r="F2353" s="17" t="s">
        <v>427</v>
      </c>
      <c r="G2353" s="18">
        <v>201.8800</v>
      </c>
      <c r="H2353" s="18">
        <v>0</v>
      </c>
      <c r="I2353" s="18">
        <f ca="1">((I2352 + G2353) - H2353)</f>
        <v>0</v>
      </c>
      <c r="J2353" s="18">
        <v>0</v>
      </c>
      <c r="K2353" s="19">
        <v>0</v>
      </c>
      <c r="L2353" s="17" t="s">
        <v>28</v>
      </c>
    </row>
    <row r="2354" ht="10.95" customHeight="true" customFormat="true" s="9">
      <c r="A2354" s="16">
        <v>45110</v>
      </c>
      <c r="B2354" s="17" t="s">
        <v>571</v>
      </c>
      <c r="C2354" s="17" t="s">
        <v>572</v>
      </c>
      <c r="D2354" s="17" t="s">
        <v>333</v>
      </c>
      <c r="E2354" s="17" t="s">
        <v>574</v>
      </c>
      <c r="F2354" s="17" t="s">
        <v>335</v>
      </c>
      <c r="G2354" s="18">
        <v>0</v>
      </c>
      <c r="H2354" s="18">
        <v>4237.1500</v>
      </c>
      <c r="I2354" s="18">
        <f ca="1">((I2353 + G2354) - H2354)</f>
        <v>0</v>
      </c>
      <c r="J2354" s="18">
        <v>0</v>
      </c>
      <c r="K2354" s="19">
        <v>0</v>
      </c>
      <c r="L2354" s="17" t="s">
        <v>28</v>
      </c>
    </row>
    <row r="2355" ht="10.95" customHeight="true" customFormat="true" s="9">
      <c r="A2355" s="16">
        <v>45117</v>
      </c>
      <c r="B2355" s="17" t="s">
        <v>571</v>
      </c>
      <c r="C2355" s="17" t="s">
        <v>572</v>
      </c>
      <c r="D2355" s="17" t="s">
        <v>333</v>
      </c>
      <c r="E2355" s="17" t="s">
        <v>574</v>
      </c>
      <c r="F2355" s="17" t="s">
        <v>336</v>
      </c>
      <c r="G2355" s="18">
        <v>0</v>
      </c>
      <c r="H2355" s="18">
        <v>5081.1500</v>
      </c>
      <c r="I2355" s="18">
        <f ca="1">((I2354 + G2355) - H2355)</f>
        <v>0</v>
      </c>
      <c r="J2355" s="18">
        <v>0</v>
      </c>
      <c r="K2355" s="19">
        <v>0</v>
      </c>
      <c r="L2355" s="17" t="s">
        <v>28</v>
      </c>
    </row>
    <row r="2356" ht="10.95" customHeight="true" customFormat="true" s="9">
      <c r="A2356" s="16">
        <v>45117</v>
      </c>
      <c r="B2356" s="17" t="s">
        <v>571</v>
      </c>
      <c r="C2356" s="17" t="s">
        <v>572</v>
      </c>
      <c r="D2356" s="17" t="s">
        <v>22</v>
      </c>
      <c r="E2356" s="17" t="s">
        <v>573</v>
      </c>
      <c r="F2356" s="17" t="s">
        <v>432</v>
      </c>
      <c r="G2356" s="18">
        <v>594.5800</v>
      </c>
      <c r="H2356" s="18">
        <v>0</v>
      </c>
      <c r="I2356" s="18">
        <f ca="1">((I2355 + G2356) - H2356)</f>
        <v>0</v>
      </c>
      <c r="J2356" s="18">
        <v>0</v>
      </c>
      <c r="K2356" s="19">
        <v>0</v>
      </c>
      <c r="L2356" s="17" t="s">
        <v>28</v>
      </c>
    </row>
    <row r="2357" ht="10.95" customHeight="true" customFormat="true" s="9">
      <c r="A2357" s="16">
        <v>45117</v>
      </c>
      <c r="B2357" s="17" t="s">
        <v>571</v>
      </c>
      <c r="C2357" s="17" t="s">
        <v>572</v>
      </c>
      <c r="D2357" s="17" t="s">
        <v>22</v>
      </c>
      <c r="E2357" s="17" t="s">
        <v>573</v>
      </c>
      <c r="F2357" s="17" t="s">
        <v>432</v>
      </c>
      <c r="G2357" s="18">
        <v>674.5000</v>
      </c>
      <c r="H2357" s="18">
        <v>0</v>
      </c>
      <c r="I2357" s="18">
        <f ca="1">((I2356 + G2357) - H2357)</f>
        <v>0</v>
      </c>
      <c r="J2357" s="18">
        <v>0</v>
      </c>
      <c r="K2357" s="19">
        <v>0</v>
      </c>
      <c r="L2357" s="17" t="s">
        <v>28</v>
      </c>
    </row>
    <row r="2358" ht="10.95" customHeight="true" customFormat="true" s="9">
      <c r="A2358" s="16">
        <v>45117</v>
      </c>
      <c r="B2358" s="17" t="s">
        <v>571</v>
      </c>
      <c r="C2358" s="17" t="s">
        <v>572</v>
      </c>
      <c r="D2358" s="17" t="s">
        <v>22</v>
      </c>
      <c r="E2358" s="17" t="s">
        <v>573</v>
      </c>
      <c r="F2358" s="17" t="s">
        <v>432</v>
      </c>
      <c r="G2358" s="18">
        <v>264.0000</v>
      </c>
      <c r="H2358" s="18">
        <v>0</v>
      </c>
      <c r="I2358" s="18">
        <f ca="1">((I2357 + G2358) - H2358)</f>
        <v>0</v>
      </c>
      <c r="J2358" s="18">
        <v>0</v>
      </c>
      <c r="K2358" s="19">
        <v>0</v>
      </c>
      <c r="L2358" s="17" t="s">
        <v>28</v>
      </c>
    </row>
    <row r="2359" ht="10.95" customHeight="true" customFormat="true" s="9">
      <c r="A2359" s="16">
        <v>45117</v>
      </c>
      <c r="B2359" s="17" t="s">
        <v>571</v>
      </c>
      <c r="C2359" s="17" t="s">
        <v>572</v>
      </c>
      <c r="D2359" s="17" t="s">
        <v>22</v>
      </c>
      <c r="E2359" s="17" t="s">
        <v>573</v>
      </c>
      <c r="F2359" s="17" t="s">
        <v>432</v>
      </c>
      <c r="G2359" s="18">
        <v>2000.0000</v>
      </c>
      <c r="H2359" s="18">
        <v>0</v>
      </c>
      <c r="I2359" s="18">
        <f ca="1">((I2358 + G2359) - H2359)</f>
        <v>0</v>
      </c>
      <c r="J2359" s="18">
        <v>0</v>
      </c>
      <c r="K2359" s="19">
        <v>0</v>
      </c>
      <c r="L2359" s="17" t="s">
        <v>28</v>
      </c>
    </row>
    <row r="2360" ht="10.95" customHeight="true" customFormat="true" s="9">
      <c r="A2360" s="16">
        <v>45117</v>
      </c>
      <c r="B2360" s="17" t="s">
        <v>571</v>
      </c>
      <c r="C2360" s="17" t="s">
        <v>572</v>
      </c>
      <c r="D2360" s="17" t="s">
        <v>22</v>
      </c>
      <c r="E2360" s="17" t="s">
        <v>573</v>
      </c>
      <c r="F2360" s="17" t="s">
        <v>432</v>
      </c>
      <c r="G2360" s="18">
        <v>264.0000</v>
      </c>
      <c r="H2360" s="18">
        <v>0</v>
      </c>
      <c r="I2360" s="18">
        <f ca="1">((I2359 + G2360) - H2360)</f>
        <v>0</v>
      </c>
      <c r="J2360" s="18">
        <v>0</v>
      </c>
      <c r="K2360" s="19">
        <v>0</v>
      </c>
      <c r="L2360" s="17" t="s">
        <v>28</v>
      </c>
    </row>
    <row r="2361" ht="10.95" customHeight="true" customFormat="true" s="9">
      <c r="A2361" s="16">
        <v>45117</v>
      </c>
      <c r="B2361" s="17" t="s">
        <v>571</v>
      </c>
      <c r="C2361" s="17" t="s">
        <v>572</v>
      </c>
      <c r="D2361" s="17" t="s">
        <v>22</v>
      </c>
      <c r="E2361" s="17" t="s">
        <v>573</v>
      </c>
      <c r="F2361" s="17" t="s">
        <v>432</v>
      </c>
      <c r="G2361" s="18">
        <v>126.0000</v>
      </c>
      <c r="H2361" s="18">
        <v>0</v>
      </c>
      <c r="I2361" s="18">
        <f ca="1">((I2360 + G2361) - H2361)</f>
        <v>0</v>
      </c>
      <c r="J2361" s="18">
        <v>0</v>
      </c>
      <c r="K2361" s="19">
        <v>0</v>
      </c>
      <c r="L2361" s="17" t="s">
        <v>28</v>
      </c>
    </row>
    <row r="2362" ht="10.95" customHeight="true" customFormat="true" s="9">
      <c r="A2362" s="16">
        <v>45117</v>
      </c>
      <c r="B2362" s="17" t="s">
        <v>571</v>
      </c>
      <c r="C2362" s="17" t="s">
        <v>572</v>
      </c>
      <c r="D2362" s="17" t="s">
        <v>22</v>
      </c>
      <c r="E2362" s="17" t="s">
        <v>573</v>
      </c>
      <c r="F2362" s="17" t="s">
        <v>432</v>
      </c>
      <c r="G2362" s="18">
        <v>1158.1500</v>
      </c>
      <c r="H2362" s="18">
        <v>0</v>
      </c>
      <c r="I2362" s="18">
        <f ca="1">((I2361 + G2362) - H2362)</f>
        <v>0</v>
      </c>
      <c r="J2362" s="18">
        <v>0</v>
      </c>
      <c r="K2362" s="19">
        <v>0</v>
      </c>
      <c r="L2362" s="17" t="s">
        <v>28</v>
      </c>
    </row>
    <row r="2363" ht="10.95" customHeight="true" customFormat="true" s="9">
      <c r="A2363" s="16">
        <v>45124</v>
      </c>
      <c r="B2363" s="17" t="s">
        <v>571</v>
      </c>
      <c r="C2363" s="17" t="s">
        <v>572</v>
      </c>
      <c r="D2363" s="17" t="s">
        <v>22</v>
      </c>
      <c r="E2363" s="17" t="s">
        <v>573</v>
      </c>
      <c r="F2363" s="17" t="s">
        <v>437</v>
      </c>
      <c r="G2363" s="18">
        <v>511.0000</v>
      </c>
      <c r="H2363" s="18">
        <v>0</v>
      </c>
      <c r="I2363" s="18">
        <f ca="1">((I2362 + G2363) - H2363)</f>
        <v>0</v>
      </c>
      <c r="J2363" s="18">
        <v>0</v>
      </c>
      <c r="K2363" s="19">
        <v>0</v>
      </c>
      <c r="L2363" s="17" t="s">
        <v>28</v>
      </c>
    </row>
    <row r="2364" ht="10.95" customHeight="true" customFormat="true" s="9">
      <c r="A2364" s="16">
        <v>45124</v>
      </c>
      <c r="B2364" s="17" t="s">
        <v>571</v>
      </c>
      <c r="C2364" s="17" t="s">
        <v>572</v>
      </c>
      <c r="D2364" s="17" t="s">
        <v>22</v>
      </c>
      <c r="E2364" s="17" t="s">
        <v>573</v>
      </c>
      <c r="F2364" s="17" t="s">
        <v>437</v>
      </c>
      <c r="G2364" s="18">
        <v>201.8800</v>
      </c>
      <c r="H2364" s="18">
        <v>0</v>
      </c>
      <c r="I2364" s="18">
        <f ca="1">((I2363 + G2364) - H2364)</f>
        <v>0</v>
      </c>
      <c r="J2364" s="18">
        <v>0</v>
      </c>
      <c r="K2364" s="19">
        <v>0</v>
      </c>
      <c r="L2364" s="17" t="s">
        <v>28</v>
      </c>
    </row>
    <row r="2365" ht="10.95" customHeight="true" customFormat="true" s="9">
      <c r="A2365" s="16">
        <v>45124</v>
      </c>
      <c r="B2365" s="17" t="s">
        <v>571</v>
      </c>
      <c r="C2365" s="17" t="s">
        <v>572</v>
      </c>
      <c r="D2365" s="17" t="s">
        <v>22</v>
      </c>
      <c r="E2365" s="17" t="s">
        <v>573</v>
      </c>
      <c r="F2365" s="17" t="s">
        <v>437</v>
      </c>
      <c r="G2365" s="18">
        <v>674.5000</v>
      </c>
      <c r="H2365" s="18">
        <v>0</v>
      </c>
      <c r="I2365" s="18">
        <f ca="1">((I2364 + G2365) - H2365)</f>
        <v>0</v>
      </c>
      <c r="J2365" s="18">
        <v>0</v>
      </c>
      <c r="K2365" s="19">
        <v>0</v>
      </c>
      <c r="L2365" s="17" t="s">
        <v>28</v>
      </c>
    </row>
    <row r="2366" ht="10.95" customHeight="true" customFormat="true" s="9">
      <c r="A2366" s="16">
        <v>45124</v>
      </c>
      <c r="B2366" s="17" t="s">
        <v>571</v>
      </c>
      <c r="C2366" s="17" t="s">
        <v>572</v>
      </c>
      <c r="D2366" s="17" t="s">
        <v>22</v>
      </c>
      <c r="E2366" s="17" t="s">
        <v>573</v>
      </c>
      <c r="F2366" s="17" t="s">
        <v>437</v>
      </c>
      <c r="G2366" s="18">
        <v>1158.1500</v>
      </c>
      <c r="H2366" s="18">
        <v>0</v>
      </c>
      <c r="I2366" s="18">
        <f ca="1">((I2365 + G2366) - H2366)</f>
        <v>0</v>
      </c>
      <c r="J2366" s="18">
        <v>0</v>
      </c>
      <c r="K2366" s="19">
        <v>0</v>
      </c>
      <c r="L2366" s="17" t="s">
        <v>28</v>
      </c>
    </row>
    <row r="2367" ht="10.95" customHeight="true" customFormat="true" s="9">
      <c r="A2367" s="16">
        <v>45124</v>
      </c>
      <c r="B2367" s="17" t="s">
        <v>571</v>
      </c>
      <c r="C2367" s="17" t="s">
        <v>572</v>
      </c>
      <c r="D2367" s="17" t="s">
        <v>22</v>
      </c>
      <c r="E2367" s="17" t="s">
        <v>573</v>
      </c>
      <c r="F2367" s="17" t="s">
        <v>437</v>
      </c>
      <c r="G2367" s="18">
        <v>2000.0000</v>
      </c>
      <c r="H2367" s="18">
        <v>0</v>
      </c>
      <c r="I2367" s="18">
        <f ca="1">((I2366 + G2367) - H2367)</f>
        <v>0</v>
      </c>
      <c r="J2367" s="18">
        <v>0</v>
      </c>
      <c r="K2367" s="19">
        <v>0</v>
      </c>
      <c r="L2367" s="17" t="s">
        <v>28</v>
      </c>
    </row>
    <row r="2368" ht="10.95" customHeight="true" customFormat="true" s="9">
      <c r="A2368" s="16">
        <v>45124</v>
      </c>
      <c r="B2368" s="17" t="s">
        <v>571</v>
      </c>
      <c r="C2368" s="17" t="s">
        <v>572</v>
      </c>
      <c r="D2368" s="17" t="s">
        <v>22</v>
      </c>
      <c r="E2368" s="17" t="s">
        <v>573</v>
      </c>
      <c r="F2368" s="17" t="s">
        <v>437</v>
      </c>
      <c r="G2368" s="18">
        <v>126.0000</v>
      </c>
      <c r="H2368" s="18">
        <v>0</v>
      </c>
      <c r="I2368" s="18">
        <f ca="1">((I2367 + G2368) - H2368)</f>
        <v>0</v>
      </c>
      <c r="J2368" s="18">
        <v>0</v>
      </c>
      <c r="K2368" s="19">
        <v>0</v>
      </c>
      <c r="L2368" s="17" t="s">
        <v>28</v>
      </c>
    </row>
    <row r="2369" ht="10.95" customHeight="true" customFormat="true" s="9">
      <c r="A2369" s="16">
        <v>45124</v>
      </c>
      <c r="B2369" s="17" t="s">
        <v>571</v>
      </c>
      <c r="C2369" s="17" t="s">
        <v>572</v>
      </c>
      <c r="D2369" s="17" t="s">
        <v>333</v>
      </c>
      <c r="E2369" s="17" t="s">
        <v>574</v>
      </c>
      <c r="F2369" s="17" t="s">
        <v>337</v>
      </c>
      <c r="G2369" s="18">
        <v>0</v>
      </c>
      <c r="H2369" s="18">
        <v>4671.1500</v>
      </c>
      <c r="I2369" s="18">
        <f ca="1">((I2368 + G2369) - H2369)</f>
        <v>0</v>
      </c>
      <c r="J2369" s="18">
        <v>0</v>
      </c>
      <c r="K2369" s="19">
        <v>0</v>
      </c>
      <c r="L2369" s="17" t="s">
        <v>28</v>
      </c>
    </row>
    <row r="2370" ht="10.95" customHeight="true" customFormat="true" s="9">
      <c r="A2370" s="16">
        <v>45131</v>
      </c>
      <c r="B2370" s="17" t="s">
        <v>571</v>
      </c>
      <c r="C2370" s="17" t="s">
        <v>572</v>
      </c>
      <c r="D2370" s="17" t="s">
        <v>22</v>
      </c>
      <c r="E2370" s="17" t="s">
        <v>573</v>
      </c>
      <c r="F2370" s="17" t="s">
        <v>441</v>
      </c>
      <c r="G2370" s="18">
        <v>126.0000</v>
      </c>
      <c r="H2370" s="18">
        <v>0</v>
      </c>
      <c r="I2370" s="18">
        <f ca="1">((I2369 + G2370) - H2370)</f>
        <v>0</v>
      </c>
      <c r="J2370" s="18">
        <v>0</v>
      </c>
      <c r="K2370" s="19">
        <v>0</v>
      </c>
      <c r="L2370" s="17" t="s">
        <v>28</v>
      </c>
    </row>
    <row r="2371" ht="10.95" customHeight="true" customFormat="true" s="9">
      <c r="A2371" s="16">
        <v>45131</v>
      </c>
      <c r="B2371" s="17" t="s">
        <v>571</v>
      </c>
      <c r="C2371" s="17" t="s">
        <v>572</v>
      </c>
      <c r="D2371" s="17" t="s">
        <v>22</v>
      </c>
      <c r="E2371" s="17" t="s">
        <v>573</v>
      </c>
      <c r="F2371" s="17" t="s">
        <v>441</v>
      </c>
      <c r="G2371" s="18">
        <v>2000.0000</v>
      </c>
      <c r="H2371" s="18">
        <v>0</v>
      </c>
      <c r="I2371" s="18">
        <f ca="1">((I2370 + G2371) - H2371)</f>
        <v>0</v>
      </c>
      <c r="J2371" s="18">
        <v>0</v>
      </c>
      <c r="K2371" s="19">
        <v>0</v>
      </c>
      <c r="L2371" s="17" t="s">
        <v>28</v>
      </c>
    </row>
    <row r="2372" ht="10.95" customHeight="true" customFormat="true" s="9">
      <c r="A2372" s="16">
        <v>45131</v>
      </c>
      <c r="B2372" s="17" t="s">
        <v>571</v>
      </c>
      <c r="C2372" s="17" t="s">
        <v>572</v>
      </c>
      <c r="D2372" s="17" t="s">
        <v>22</v>
      </c>
      <c r="E2372" s="17" t="s">
        <v>573</v>
      </c>
      <c r="F2372" s="17" t="s">
        <v>441</v>
      </c>
      <c r="G2372" s="18">
        <v>674.5000</v>
      </c>
      <c r="H2372" s="18">
        <v>0</v>
      </c>
      <c r="I2372" s="18">
        <f ca="1">((I2371 + G2372) - H2372)</f>
        <v>0</v>
      </c>
      <c r="J2372" s="18">
        <v>0</v>
      </c>
      <c r="K2372" s="19">
        <v>0</v>
      </c>
      <c r="L2372" s="17" t="s">
        <v>28</v>
      </c>
    </row>
    <row r="2373" ht="10.95" customHeight="true" customFormat="true" s="9">
      <c r="A2373" s="16">
        <v>45131</v>
      </c>
      <c r="B2373" s="17" t="s">
        <v>571</v>
      </c>
      <c r="C2373" s="17" t="s">
        <v>572</v>
      </c>
      <c r="D2373" s="17" t="s">
        <v>22</v>
      </c>
      <c r="E2373" s="17" t="s">
        <v>573</v>
      </c>
      <c r="F2373" s="17" t="s">
        <v>441</v>
      </c>
      <c r="G2373" s="18">
        <v>201.8800</v>
      </c>
      <c r="H2373" s="18">
        <v>0</v>
      </c>
      <c r="I2373" s="18">
        <f ca="1">((I2372 + G2373) - H2373)</f>
        <v>0</v>
      </c>
      <c r="J2373" s="18">
        <v>0</v>
      </c>
      <c r="K2373" s="19">
        <v>0</v>
      </c>
      <c r="L2373" s="17" t="s">
        <v>28</v>
      </c>
    </row>
    <row r="2374" ht="10.95" customHeight="true" customFormat="true" s="9">
      <c r="A2374" s="16">
        <v>45131</v>
      </c>
      <c r="B2374" s="17" t="s">
        <v>571</v>
      </c>
      <c r="C2374" s="17" t="s">
        <v>572</v>
      </c>
      <c r="D2374" s="17" t="s">
        <v>22</v>
      </c>
      <c r="E2374" s="17" t="s">
        <v>573</v>
      </c>
      <c r="F2374" s="17" t="s">
        <v>441</v>
      </c>
      <c r="G2374" s="18">
        <v>511.0000</v>
      </c>
      <c r="H2374" s="18">
        <v>0</v>
      </c>
      <c r="I2374" s="18">
        <f ca="1">((I2373 + G2374) - H2374)</f>
        <v>0</v>
      </c>
      <c r="J2374" s="18">
        <v>0</v>
      </c>
      <c r="K2374" s="19">
        <v>0</v>
      </c>
      <c r="L2374" s="17" t="s">
        <v>28</v>
      </c>
    </row>
    <row r="2375" ht="10.95" customHeight="true" customFormat="true" s="9">
      <c r="A2375" s="16">
        <v>45131</v>
      </c>
      <c r="B2375" s="17" t="s">
        <v>571</v>
      </c>
      <c r="C2375" s="17" t="s">
        <v>572</v>
      </c>
      <c r="D2375" s="17" t="s">
        <v>22</v>
      </c>
      <c r="E2375" s="17" t="s">
        <v>573</v>
      </c>
      <c r="F2375" s="17" t="s">
        <v>441</v>
      </c>
      <c r="G2375" s="18">
        <v>1158.1500</v>
      </c>
      <c r="H2375" s="18">
        <v>0</v>
      </c>
      <c r="I2375" s="18">
        <f ca="1">((I2374 + G2375) - H2375)</f>
        <v>0</v>
      </c>
      <c r="J2375" s="18">
        <v>0</v>
      </c>
      <c r="K2375" s="19">
        <v>0</v>
      </c>
      <c r="L2375" s="17" t="s">
        <v>28</v>
      </c>
    </row>
    <row r="2376" ht="10.95" customHeight="true" customFormat="true" s="9">
      <c r="A2376" s="16">
        <v>45131</v>
      </c>
      <c r="B2376" s="17" t="s">
        <v>571</v>
      </c>
      <c r="C2376" s="17" t="s">
        <v>572</v>
      </c>
      <c r="D2376" s="17" t="s">
        <v>333</v>
      </c>
      <c r="E2376" s="17" t="s">
        <v>574</v>
      </c>
      <c r="F2376" s="17" t="s">
        <v>338</v>
      </c>
      <c r="G2376" s="18">
        <v>0</v>
      </c>
      <c r="H2376" s="18">
        <v>4671.1500</v>
      </c>
      <c r="I2376" s="18">
        <f ca="1">((I2375 + G2376) - H2376)</f>
        <v>0</v>
      </c>
      <c r="J2376" s="18">
        <v>0</v>
      </c>
      <c r="K2376" s="19">
        <v>0</v>
      </c>
      <c r="L2376" s="17" t="s">
        <v>28</v>
      </c>
    </row>
    <row r="2377" ht="10.95" customHeight="true" customFormat="true" s="9">
      <c r="A2377" s="16">
        <v>45138</v>
      </c>
      <c r="B2377" s="17" t="s">
        <v>571</v>
      </c>
      <c r="C2377" s="17" t="s">
        <v>572</v>
      </c>
      <c r="D2377" s="17" t="s">
        <v>333</v>
      </c>
      <c r="E2377" s="17" t="s">
        <v>574</v>
      </c>
      <c r="F2377" s="17" t="s">
        <v>339</v>
      </c>
      <c r="G2377" s="18">
        <v>0</v>
      </c>
      <c r="H2377" s="18">
        <v>4687.1500</v>
      </c>
      <c r="I2377" s="18">
        <f ca="1">((I2376 + G2377) - H2377)</f>
        <v>0</v>
      </c>
      <c r="J2377" s="18">
        <v>0</v>
      </c>
      <c r="K2377" s="19">
        <v>0</v>
      </c>
      <c r="L2377" s="17" t="s">
        <v>28</v>
      </c>
    </row>
    <row r="2378" ht="10.95" customHeight="true" customFormat="true" s="9">
      <c r="A2378" s="16">
        <v>45138</v>
      </c>
      <c r="B2378" s="17" t="s">
        <v>571</v>
      </c>
      <c r="C2378" s="17" t="s">
        <v>572</v>
      </c>
      <c r="D2378" s="17" t="s">
        <v>22</v>
      </c>
      <c r="E2378" s="17" t="s">
        <v>573</v>
      </c>
      <c r="F2378" s="17" t="s">
        <v>446</v>
      </c>
      <c r="G2378" s="18">
        <v>1158.1500</v>
      </c>
      <c r="H2378" s="18">
        <v>0</v>
      </c>
      <c r="I2378" s="18">
        <f ca="1">((I2377 + G2378) - H2378)</f>
        <v>0</v>
      </c>
      <c r="J2378" s="18">
        <v>0</v>
      </c>
      <c r="K2378" s="19">
        <v>0</v>
      </c>
      <c r="L2378" s="17" t="s">
        <v>28</v>
      </c>
    </row>
    <row r="2379" ht="10.95" customHeight="true" customFormat="true" s="9">
      <c r="A2379" s="16">
        <v>45138</v>
      </c>
      <c r="B2379" s="17" t="s">
        <v>571</v>
      </c>
      <c r="C2379" s="17" t="s">
        <v>572</v>
      </c>
      <c r="D2379" s="17" t="s">
        <v>22</v>
      </c>
      <c r="E2379" s="17" t="s">
        <v>573</v>
      </c>
      <c r="F2379" s="17" t="s">
        <v>446</v>
      </c>
      <c r="G2379" s="18">
        <v>403.7500</v>
      </c>
      <c r="H2379" s="18">
        <v>0</v>
      </c>
      <c r="I2379" s="18">
        <f ca="1">((I2378 + G2379) - H2379)</f>
        <v>0</v>
      </c>
      <c r="J2379" s="18">
        <v>0</v>
      </c>
      <c r="K2379" s="19">
        <v>0</v>
      </c>
      <c r="L2379" s="17" t="s">
        <v>28</v>
      </c>
    </row>
    <row r="2380" ht="10.95" customHeight="true" customFormat="true" s="9">
      <c r="A2380" s="16">
        <v>45138</v>
      </c>
      <c r="B2380" s="17" t="s">
        <v>571</v>
      </c>
      <c r="C2380" s="17" t="s">
        <v>572</v>
      </c>
      <c r="D2380" s="17" t="s">
        <v>22</v>
      </c>
      <c r="E2380" s="17" t="s">
        <v>573</v>
      </c>
      <c r="F2380" s="17" t="s">
        <v>446</v>
      </c>
      <c r="G2380" s="18">
        <v>488.0000</v>
      </c>
      <c r="H2380" s="18">
        <v>0</v>
      </c>
      <c r="I2380" s="18">
        <f ca="1">((I2379 + G2380) - H2380)</f>
        <v>0</v>
      </c>
      <c r="J2380" s="18">
        <v>0</v>
      </c>
      <c r="K2380" s="19">
        <v>0</v>
      </c>
      <c r="L2380" s="17" t="s">
        <v>28</v>
      </c>
    </row>
    <row r="2381" ht="10.95" customHeight="true" customFormat="true" s="9">
      <c r="A2381" s="16">
        <v>45138</v>
      </c>
      <c r="B2381" s="17" t="s">
        <v>571</v>
      </c>
      <c r="C2381" s="17" t="s">
        <v>572</v>
      </c>
      <c r="D2381" s="17" t="s">
        <v>22</v>
      </c>
      <c r="E2381" s="17" t="s">
        <v>573</v>
      </c>
      <c r="F2381" s="17" t="s">
        <v>446</v>
      </c>
      <c r="G2381" s="18">
        <v>511.0000</v>
      </c>
      <c r="H2381" s="18">
        <v>0</v>
      </c>
      <c r="I2381" s="18">
        <f ca="1">((I2380 + G2381) - H2381)</f>
        <v>0</v>
      </c>
      <c r="J2381" s="18">
        <v>0</v>
      </c>
      <c r="K2381" s="19">
        <v>0</v>
      </c>
      <c r="L2381" s="17" t="s">
        <v>28</v>
      </c>
    </row>
    <row r="2382" ht="10.95" customHeight="true" customFormat="true" s="9">
      <c r="A2382" s="16">
        <v>45138</v>
      </c>
      <c r="B2382" s="17" t="s">
        <v>571</v>
      </c>
      <c r="C2382" s="17" t="s">
        <v>572</v>
      </c>
      <c r="D2382" s="17" t="s">
        <v>22</v>
      </c>
      <c r="E2382" s="17" t="s">
        <v>573</v>
      </c>
      <c r="F2382" s="17" t="s">
        <v>446</v>
      </c>
      <c r="G2382" s="18">
        <v>126.0000</v>
      </c>
      <c r="H2382" s="18">
        <v>0</v>
      </c>
      <c r="I2382" s="18">
        <f ca="1">((I2381 + G2382) - H2382)</f>
        <v>0</v>
      </c>
      <c r="J2382" s="18">
        <v>0</v>
      </c>
      <c r="K2382" s="19">
        <v>0</v>
      </c>
      <c r="L2382" s="17" t="s">
        <v>28</v>
      </c>
    </row>
    <row r="2383" ht="10.95" customHeight="true" customFormat="true" s="9">
      <c r="A2383" s="16">
        <v>45138</v>
      </c>
      <c r="B2383" s="17" t="s">
        <v>571</v>
      </c>
      <c r="C2383" s="17" t="s">
        <v>572</v>
      </c>
      <c r="D2383" s="17" t="s">
        <v>22</v>
      </c>
      <c r="E2383" s="17" t="s">
        <v>573</v>
      </c>
      <c r="F2383" s="17" t="s">
        <v>446</v>
      </c>
      <c r="G2383" s="18">
        <v>2000.0000</v>
      </c>
      <c r="H2383" s="18">
        <v>0</v>
      </c>
      <c r="I2383" s="18">
        <f ca="1">((I2382 + G2383) - H2383)</f>
        <v>0</v>
      </c>
      <c r="J2383" s="18">
        <v>0</v>
      </c>
      <c r="K2383" s="19">
        <v>0</v>
      </c>
      <c r="L2383" s="17" t="s">
        <v>28</v>
      </c>
    </row>
    <row r="2384" ht="10.95" customHeight="true" customFormat="true" s="9">
      <c r="A2384" s="16">
        <v>45145</v>
      </c>
      <c r="B2384" s="17" t="s">
        <v>571</v>
      </c>
      <c r="C2384" s="17" t="s">
        <v>572</v>
      </c>
      <c r="D2384" s="17" t="s">
        <v>333</v>
      </c>
      <c r="E2384" s="17" t="s">
        <v>574</v>
      </c>
      <c r="F2384" s="17" t="s">
        <v>340</v>
      </c>
      <c r="G2384" s="18">
        <v>0</v>
      </c>
      <c r="H2384" s="18">
        <v>4799.1500</v>
      </c>
      <c r="I2384" s="18">
        <f ca="1">((I2383 + G2384) - H2384)</f>
        <v>0</v>
      </c>
      <c r="J2384" s="18">
        <v>0</v>
      </c>
      <c r="K2384" s="19">
        <v>0</v>
      </c>
      <c r="L2384" s="17" t="s">
        <v>28</v>
      </c>
    </row>
    <row r="2385" ht="10.95" customHeight="true" customFormat="true" s="9">
      <c r="A2385" s="16">
        <v>45145</v>
      </c>
      <c r="B2385" s="17" t="s">
        <v>571</v>
      </c>
      <c r="C2385" s="17" t="s">
        <v>572</v>
      </c>
      <c r="D2385" s="17" t="s">
        <v>22</v>
      </c>
      <c r="E2385" s="17" t="s">
        <v>573</v>
      </c>
      <c r="F2385" s="17" t="s">
        <v>448</v>
      </c>
      <c r="G2385" s="18">
        <v>126.0000</v>
      </c>
      <c r="H2385" s="18">
        <v>0</v>
      </c>
      <c r="I2385" s="18">
        <f ca="1">((I2384 + G2385) - H2385)</f>
        <v>0</v>
      </c>
      <c r="J2385" s="18">
        <v>0</v>
      </c>
      <c r="K2385" s="19">
        <v>0</v>
      </c>
      <c r="L2385" s="17" t="s">
        <v>28</v>
      </c>
    </row>
    <row r="2386" ht="10.95" customHeight="true" customFormat="true" s="9">
      <c r="A2386" s="16">
        <v>45145</v>
      </c>
      <c r="B2386" s="17" t="s">
        <v>571</v>
      </c>
      <c r="C2386" s="17" t="s">
        <v>572</v>
      </c>
      <c r="D2386" s="17" t="s">
        <v>22</v>
      </c>
      <c r="E2386" s="17" t="s">
        <v>573</v>
      </c>
      <c r="F2386" s="17" t="s">
        <v>448</v>
      </c>
      <c r="G2386" s="18">
        <v>1158.1500</v>
      </c>
      <c r="H2386" s="18">
        <v>0</v>
      </c>
      <c r="I2386" s="18">
        <f ca="1">((I2385 + G2386) - H2386)</f>
        <v>0</v>
      </c>
      <c r="J2386" s="18">
        <v>0</v>
      </c>
      <c r="K2386" s="19">
        <v>0</v>
      </c>
      <c r="L2386" s="17" t="s">
        <v>28</v>
      </c>
    </row>
    <row r="2387" ht="10.95" customHeight="true" customFormat="true" s="9">
      <c r="A2387" s="16">
        <v>45145</v>
      </c>
      <c r="B2387" s="17" t="s">
        <v>571</v>
      </c>
      <c r="C2387" s="17" t="s">
        <v>572</v>
      </c>
      <c r="D2387" s="17" t="s">
        <v>22</v>
      </c>
      <c r="E2387" s="17" t="s">
        <v>573</v>
      </c>
      <c r="F2387" s="17" t="s">
        <v>448</v>
      </c>
      <c r="G2387" s="18">
        <v>231.0000</v>
      </c>
      <c r="H2387" s="18">
        <v>0</v>
      </c>
      <c r="I2387" s="18">
        <f ca="1">((I2386 + G2387) - H2387)</f>
        <v>0</v>
      </c>
      <c r="J2387" s="18">
        <v>0</v>
      </c>
      <c r="K2387" s="19">
        <v>0</v>
      </c>
      <c r="L2387" s="17" t="s">
        <v>28</v>
      </c>
    </row>
    <row r="2388" ht="10.95" customHeight="true" customFormat="true" s="9">
      <c r="A2388" s="16">
        <v>45145</v>
      </c>
      <c r="B2388" s="17" t="s">
        <v>571</v>
      </c>
      <c r="C2388" s="17" t="s">
        <v>572</v>
      </c>
      <c r="D2388" s="17" t="s">
        <v>22</v>
      </c>
      <c r="E2388" s="17" t="s">
        <v>573</v>
      </c>
      <c r="F2388" s="17" t="s">
        <v>448</v>
      </c>
      <c r="G2388" s="18">
        <v>488.0000</v>
      </c>
      <c r="H2388" s="18">
        <v>0</v>
      </c>
      <c r="I2388" s="18">
        <f ca="1">((I2387 + G2388) - H2388)</f>
        <v>0</v>
      </c>
      <c r="J2388" s="18">
        <v>0</v>
      </c>
      <c r="K2388" s="19">
        <v>0</v>
      </c>
      <c r="L2388" s="17" t="s">
        <v>28</v>
      </c>
    </row>
    <row r="2389" ht="10.95" customHeight="true" customFormat="true" s="9">
      <c r="A2389" s="16">
        <v>45145</v>
      </c>
      <c r="B2389" s="17" t="s">
        <v>571</v>
      </c>
      <c r="C2389" s="17" t="s">
        <v>572</v>
      </c>
      <c r="D2389" s="17" t="s">
        <v>22</v>
      </c>
      <c r="E2389" s="17" t="s">
        <v>573</v>
      </c>
      <c r="F2389" s="17" t="s">
        <v>448</v>
      </c>
      <c r="G2389" s="18">
        <v>796.4500</v>
      </c>
      <c r="H2389" s="18">
        <v>0</v>
      </c>
      <c r="I2389" s="18">
        <f ca="1">((I2388 + G2389) - H2389)</f>
        <v>0</v>
      </c>
      <c r="J2389" s="18">
        <v>0</v>
      </c>
      <c r="K2389" s="19">
        <v>0</v>
      </c>
      <c r="L2389" s="17" t="s">
        <v>28</v>
      </c>
    </row>
    <row r="2390" ht="10.95" customHeight="true" customFormat="true" s="9">
      <c r="A2390" s="16">
        <v>45145</v>
      </c>
      <c r="B2390" s="17" t="s">
        <v>571</v>
      </c>
      <c r="C2390" s="17" t="s">
        <v>572</v>
      </c>
      <c r="D2390" s="17" t="s">
        <v>22</v>
      </c>
      <c r="E2390" s="17" t="s">
        <v>573</v>
      </c>
      <c r="F2390" s="17" t="s">
        <v>448</v>
      </c>
      <c r="G2390" s="18">
        <v>2000.0000</v>
      </c>
      <c r="H2390" s="18">
        <v>0</v>
      </c>
      <c r="I2390" s="18">
        <f ca="1">((I2389 + G2390) - H2390)</f>
        <v>0</v>
      </c>
      <c r="J2390" s="18">
        <v>0</v>
      </c>
      <c r="K2390" s="19">
        <v>0</v>
      </c>
      <c r="L2390" s="17" t="s">
        <v>28</v>
      </c>
    </row>
    <row r="2391" ht="10.95" customHeight="true" customFormat="true" s="9">
      <c r="A2391" s="16">
        <v>45152</v>
      </c>
      <c r="B2391" s="17" t="s">
        <v>571</v>
      </c>
      <c r="C2391" s="17" t="s">
        <v>572</v>
      </c>
      <c r="D2391" s="17" t="s">
        <v>333</v>
      </c>
      <c r="E2391" s="17" t="s">
        <v>574</v>
      </c>
      <c r="F2391" s="17" t="s">
        <v>341</v>
      </c>
      <c r="G2391" s="18">
        <v>0</v>
      </c>
      <c r="H2391" s="18">
        <v>4710.1500</v>
      </c>
      <c r="I2391" s="18">
        <f ca="1">((I2390 + G2391) - H2391)</f>
        <v>0</v>
      </c>
      <c r="J2391" s="18">
        <v>0</v>
      </c>
      <c r="K2391" s="19">
        <v>0</v>
      </c>
      <c r="L2391" s="17" t="s">
        <v>28</v>
      </c>
    </row>
    <row r="2392" ht="10.95" customHeight="true" customFormat="true" s="9">
      <c r="A2392" s="16">
        <v>45152</v>
      </c>
      <c r="B2392" s="17" t="s">
        <v>571</v>
      </c>
      <c r="C2392" s="17" t="s">
        <v>572</v>
      </c>
      <c r="D2392" s="17" t="s">
        <v>22</v>
      </c>
      <c r="E2392" s="17" t="s">
        <v>573</v>
      </c>
      <c r="F2392" s="17" t="s">
        <v>450</v>
      </c>
      <c r="G2392" s="18">
        <v>1158.1500</v>
      </c>
      <c r="H2392" s="18">
        <v>0</v>
      </c>
      <c r="I2392" s="18">
        <f ca="1">((I2391 + G2392) - H2392)</f>
        <v>0</v>
      </c>
      <c r="J2392" s="18">
        <v>0</v>
      </c>
      <c r="K2392" s="19">
        <v>0</v>
      </c>
      <c r="L2392" s="17" t="s">
        <v>28</v>
      </c>
    </row>
    <row r="2393" ht="10.95" customHeight="true" customFormat="true" s="9">
      <c r="A2393" s="16">
        <v>45152</v>
      </c>
      <c r="B2393" s="17" t="s">
        <v>571</v>
      </c>
      <c r="C2393" s="17" t="s">
        <v>572</v>
      </c>
      <c r="D2393" s="17" t="s">
        <v>22</v>
      </c>
      <c r="E2393" s="17" t="s">
        <v>573</v>
      </c>
      <c r="F2393" s="17" t="s">
        <v>450</v>
      </c>
      <c r="G2393" s="18">
        <v>841.0000</v>
      </c>
      <c r="H2393" s="18">
        <v>0</v>
      </c>
      <c r="I2393" s="18">
        <f ca="1">((I2392 + G2393) - H2393)</f>
        <v>0</v>
      </c>
      <c r="J2393" s="18">
        <v>0</v>
      </c>
      <c r="K2393" s="19">
        <v>0</v>
      </c>
      <c r="L2393" s="17" t="s">
        <v>28</v>
      </c>
    </row>
    <row r="2394" ht="10.95" customHeight="true" customFormat="true" s="9">
      <c r="A2394" s="16">
        <v>45152</v>
      </c>
      <c r="B2394" s="17" t="s">
        <v>571</v>
      </c>
      <c r="C2394" s="17" t="s">
        <v>572</v>
      </c>
      <c r="D2394" s="17" t="s">
        <v>22</v>
      </c>
      <c r="E2394" s="17" t="s">
        <v>573</v>
      </c>
      <c r="F2394" s="17" t="s">
        <v>450</v>
      </c>
      <c r="G2394" s="18">
        <v>2000.0000</v>
      </c>
      <c r="H2394" s="18">
        <v>0</v>
      </c>
      <c r="I2394" s="18">
        <f ca="1">((I2393 + G2394) - H2394)</f>
        <v>0</v>
      </c>
      <c r="J2394" s="18">
        <v>0</v>
      </c>
      <c r="K2394" s="19">
        <v>0</v>
      </c>
      <c r="L2394" s="17" t="s">
        <v>28</v>
      </c>
    </row>
    <row r="2395" ht="10.95" customHeight="true" customFormat="true" s="9">
      <c r="A2395" s="16">
        <v>45152</v>
      </c>
      <c r="B2395" s="17" t="s">
        <v>571</v>
      </c>
      <c r="C2395" s="17" t="s">
        <v>572</v>
      </c>
      <c r="D2395" s="17" t="s">
        <v>22</v>
      </c>
      <c r="E2395" s="17" t="s">
        <v>573</v>
      </c>
      <c r="F2395" s="17" t="s">
        <v>450</v>
      </c>
      <c r="G2395" s="18">
        <v>389.0000</v>
      </c>
      <c r="H2395" s="18">
        <v>0</v>
      </c>
      <c r="I2395" s="18">
        <f ca="1">((I2394 + G2395) - H2395)</f>
        <v>0</v>
      </c>
      <c r="J2395" s="18">
        <v>0</v>
      </c>
      <c r="K2395" s="19">
        <v>0</v>
      </c>
      <c r="L2395" s="17" t="s">
        <v>28</v>
      </c>
    </row>
    <row r="2396" ht="10.95" customHeight="true" customFormat="true" s="9">
      <c r="A2396" s="16">
        <v>45152</v>
      </c>
      <c r="B2396" s="17" t="s">
        <v>571</v>
      </c>
      <c r="C2396" s="17" t="s">
        <v>572</v>
      </c>
      <c r="D2396" s="17" t="s">
        <v>22</v>
      </c>
      <c r="E2396" s="17" t="s">
        <v>573</v>
      </c>
      <c r="F2396" s="17" t="s">
        <v>450</v>
      </c>
      <c r="G2396" s="18">
        <v>196.0000</v>
      </c>
      <c r="H2396" s="18">
        <v>0</v>
      </c>
      <c r="I2396" s="18">
        <f ca="1">((I2395 + G2396) - H2396)</f>
        <v>0</v>
      </c>
      <c r="J2396" s="18">
        <v>0</v>
      </c>
      <c r="K2396" s="19">
        <v>0</v>
      </c>
      <c r="L2396" s="17" t="s">
        <v>28</v>
      </c>
    </row>
    <row r="2397" ht="10.95" customHeight="true" customFormat="true" s="9">
      <c r="A2397" s="16">
        <v>45152</v>
      </c>
      <c r="B2397" s="17" t="s">
        <v>571</v>
      </c>
      <c r="C2397" s="17" t="s">
        <v>572</v>
      </c>
      <c r="D2397" s="17" t="s">
        <v>22</v>
      </c>
      <c r="E2397" s="17" t="s">
        <v>573</v>
      </c>
      <c r="F2397" s="17" t="s">
        <v>450</v>
      </c>
      <c r="G2397" s="18">
        <v>126.0000</v>
      </c>
      <c r="H2397" s="18">
        <v>0</v>
      </c>
      <c r="I2397" s="18">
        <f ca="1">((I2396 + G2397) - H2397)</f>
        <v>0</v>
      </c>
      <c r="J2397" s="18">
        <v>0</v>
      </c>
      <c r="K2397" s="19">
        <v>0</v>
      </c>
      <c r="L2397" s="17" t="s">
        <v>28</v>
      </c>
    </row>
    <row r="2398" ht="10.95" customHeight="true" customFormat="true" s="9">
      <c r="A2398" s="16">
        <v>45159</v>
      </c>
      <c r="B2398" s="17" t="s">
        <v>571</v>
      </c>
      <c r="C2398" s="17" t="s">
        <v>572</v>
      </c>
      <c r="D2398" s="17" t="s">
        <v>333</v>
      </c>
      <c r="E2398" s="17" t="s">
        <v>574</v>
      </c>
      <c r="F2398" s="17" t="s">
        <v>342</v>
      </c>
      <c r="G2398" s="18">
        <v>0</v>
      </c>
      <c r="H2398" s="18">
        <v>4749.1500</v>
      </c>
      <c r="I2398" s="18">
        <f ca="1">((I2397 + G2398) - H2398)</f>
        <v>0</v>
      </c>
      <c r="J2398" s="18">
        <v>0</v>
      </c>
      <c r="K2398" s="19">
        <v>0</v>
      </c>
      <c r="L2398" s="17" t="s">
        <v>28</v>
      </c>
    </row>
    <row r="2399" ht="10.95" customHeight="true" customFormat="true" s="9">
      <c r="A2399" s="16">
        <v>45159</v>
      </c>
      <c r="B2399" s="17" t="s">
        <v>571</v>
      </c>
      <c r="C2399" s="17" t="s">
        <v>572</v>
      </c>
      <c r="D2399" s="17" t="s">
        <v>22</v>
      </c>
      <c r="E2399" s="17" t="s">
        <v>573</v>
      </c>
      <c r="F2399" s="17" t="s">
        <v>454</v>
      </c>
      <c r="G2399" s="18">
        <v>63.0000</v>
      </c>
      <c r="H2399" s="18">
        <v>0</v>
      </c>
      <c r="I2399" s="18">
        <f ca="1">((I2398 + G2399) - H2399)</f>
        <v>0</v>
      </c>
      <c r="J2399" s="18">
        <v>0</v>
      </c>
      <c r="K2399" s="19">
        <v>0</v>
      </c>
      <c r="L2399" s="17" t="s">
        <v>28</v>
      </c>
    </row>
    <row r="2400" ht="10.95" customHeight="true" customFormat="true" s="9">
      <c r="A2400" s="16">
        <v>45159</v>
      </c>
      <c r="B2400" s="17" t="s">
        <v>571</v>
      </c>
      <c r="C2400" s="17" t="s">
        <v>572</v>
      </c>
      <c r="D2400" s="17" t="s">
        <v>22</v>
      </c>
      <c r="E2400" s="17" t="s">
        <v>573</v>
      </c>
      <c r="F2400" s="17" t="s">
        <v>454</v>
      </c>
      <c r="G2400" s="18">
        <v>231.0000</v>
      </c>
      <c r="H2400" s="18">
        <v>0</v>
      </c>
      <c r="I2400" s="18">
        <f ca="1">((I2399 + G2400) - H2400)</f>
        <v>0</v>
      </c>
      <c r="J2400" s="18">
        <v>0</v>
      </c>
      <c r="K2400" s="19">
        <v>0</v>
      </c>
      <c r="L2400" s="17" t="s">
        <v>28</v>
      </c>
    </row>
    <row r="2401" ht="10.95" customHeight="true" customFormat="true" s="9">
      <c r="A2401" s="16">
        <v>45159</v>
      </c>
      <c r="B2401" s="17" t="s">
        <v>571</v>
      </c>
      <c r="C2401" s="17" t="s">
        <v>572</v>
      </c>
      <c r="D2401" s="17" t="s">
        <v>22</v>
      </c>
      <c r="E2401" s="17" t="s">
        <v>573</v>
      </c>
      <c r="F2401" s="17" t="s">
        <v>454</v>
      </c>
      <c r="G2401" s="18">
        <v>1158.1500</v>
      </c>
      <c r="H2401" s="18">
        <v>0</v>
      </c>
      <c r="I2401" s="18">
        <f ca="1">((I2400 + G2401) - H2401)</f>
        <v>0</v>
      </c>
      <c r="J2401" s="18">
        <v>0</v>
      </c>
      <c r="K2401" s="19">
        <v>0</v>
      </c>
      <c r="L2401" s="17" t="s">
        <v>28</v>
      </c>
    </row>
    <row r="2402" ht="10.95" customHeight="true" customFormat="true" s="9">
      <c r="A2402" s="16">
        <v>45159</v>
      </c>
      <c r="B2402" s="17" t="s">
        <v>571</v>
      </c>
      <c r="C2402" s="17" t="s">
        <v>572</v>
      </c>
      <c r="D2402" s="17" t="s">
        <v>22</v>
      </c>
      <c r="E2402" s="17" t="s">
        <v>573</v>
      </c>
      <c r="F2402" s="17" t="s">
        <v>454</v>
      </c>
      <c r="G2402" s="18">
        <v>63.0000</v>
      </c>
      <c r="H2402" s="18">
        <v>0</v>
      </c>
      <c r="I2402" s="18">
        <f ca="1">((I2401 + G2402) - H2402)</f>
        <v>0</v>
      </c>
      <c r="J2402" s="18">
        <v>0</v>
      </c>
      <c r="K2402" s="19">
        <v>0</v>
      </c>
      <c r="L2402" s="17" t="s">
        <v>28</v>
      </c>
    </row>
    <row r="2403" ht="10.95" customHeight="true" customFormat="true" s="9">
      <c r="A2403" s="16">
        <v>45159</v>
      </c>
      <c r="B2403" s="17" t="s">
        <v>571</v>
      </c>
      <c r="C2403" s="17" t="s">
        <v>572</v>
      </c>
      <c r="D2403" s="17" t="s">
        <v>22</v>
      </c>
      <c r="E2403" s="17" t="s">
        <v>573</v>
      </c>
      <c r="F2403" s="17" t="s">
        <v>454</v>
      </c>
      <c r="G2403" s="18">
        <v>2000.0000</v>
      </c>
      <c r="H2403" s="18">
        <v>0</v>
      </c>
      <c r="I2403" s="18">
        <f ca="1">((I2402 + G2403) - H2403)</f>
        <v>0</v>
      </c>
      <c r="J2403" s="18">
        <v>0</v>
      </c>
      <c r="K2403" s="19">
        <v>0</v>
      </c>
      <c r="L2403" s="17" t="s">
        <v>28</v>
      </c>
    </row>
    <row r="2404" ht="10.95" customHeight="true" customFormat="true" s="9">
      <c r="A2404" s="16">
        <v>45159</v>
      </c>
      <c r="B2404" s="17" t="s">
        <v>571</v>
      </c>
      <c r="C2404" s="17" t="s">
        <v>572</v>
      </c>
      <c r="D2404" s="17" t="s">
        <v>22</v>
      </c>
      <c r="E2404" s="17" t="s">
        <v>573</v>
      </c>
      <c r="F2404" s="17" t="s">
        <v>454</v>
      </c>
      <c r="G2404" s="18">
        <v>392.7000</v>
      </c>
      <c r="H2404" s="18">
        <v>0</v>
      </c>
      <c r="I2404" s="18">
        <f ca="1">((I2403 + G2404) - H2404)</f>
        <v>0</v>
      </c>
      <c r="J2404" s="18">
        <v>0</v>
      </c>
      <c r="K2404" s="19">
        <v>0</v>
      </c>
      <c r="L2404" s="17" t="s">
        <v>28</v>
      </c>
    </row>
    <row r="2405" ht="10.95" customHeight="true" customFormat="true" s="9">
      <c r="A2405" s="16">
        <v>45159</v>
      </c>
      <c r="B2405" s="17" t="s">
        <v>571</v>
      </c>
      <c r="C2405" s="17" t="s">
        <v>572</v>
      </c>
      <c r="D2405" s="17" t="s">
        <v>22</v>
      </c>
      <c r="E2405" s="17" t="s">
        <v>573</v>
      </c>
      <c r="F2405" s="17" t="s">
        <v>454</v>
      </c>
      <c r="G2405" s="18">
        <v>841.0000</v>
      </c>
      <c r="H2405" s="18">
        <v>0</v>
      </c>
      <c r="I2405" s="18">
        <f ca="1">((I2404 + G2405) - H2405)</f>
        <v>0</v>
      </c>
      <c r="J2405" s="18">
        <v>0</v>
      </c>
      <c r="K2405" s="19">
        <v>0</v>
      </c>
      <c r="L2405" s="17" t="s">
        <v>28</v>
      </c>
    </row>
    <row r="2406" ht="10.95" customHeight="true" customFormat="true" s="9">
      <c r="A2406" s="16">
        <v>45166</v>
      </c>
      <c r="B2406" s="17" t="s">
        <v>571</v>
      </c>
      <c r="C2406" s="17" t="s">
        <v>572</v>
      </c>
      <c r="D2406" s="17" t="s">
        <v>333</v>
      </c>
      <c r="E2406" s="17" t="s">
        <v>574</v>
      </c>
      <c r="F2406" s="17" t="s">
        <v>343</v>
      </c>
      <c r="G2406" s="18">
        <v>0</v>
      </c>
      <c r="H2406" s="18">
        <v>5159.1500</v>
      </c>
      <c r="I2406" s="18">
        <f ca="1">((I2405 + G2406) - H2406)</f>
        <v>0</v>
      </c>
      <c r="J2406" s="18">
        <v>0</v>
      </c>
      <c r="K2406" s="19">
        <v>0</v>
      </c>
      <c r="L2406" s="17" t="s">
        <v>28</v>
      </c>
    </row>
    <row r="2407" ht="10.95" customHeight="true" customFormat="true" s="9">
      <c r="A2407" s="16">
        <v>45166</v>
      </c>
      <c r="B2407" s="17" t="s">
        <v>571</v>
      </c>
      <c r="C2407" s="17" t="s">
        <v>572</v>
      </c>
      <c r="D2407" s="17" t="s">
        <v>22</v>
      </c>
      <c r="E2407" s="17" t="s">
        <v>573</v>
      </c>
      <c r="F2407" s="17" t="s">
        <v>455</v>
      </c>
      <c r="G2407" s="18">
        <v>650.6100</v>
      </c>
      <c r="H2407" s="18">
        <v>0</v>
      </c>
      <c r="I2407" s="18">
        <f ca="1">((I2406 + G2407) - H2407)</f>
        <v>0</v>
      </c>
      <c r="J2407" s="18">
        <v>0</v>
      </c>
      <c r="K2407" s="19">
        <v>0</v>
      </c>
      <c r="L2407" s="17" t="s">
        <v>28</v>
      </c>
    </row>
    <row r="2408" ht="10.95" customHeight="true" customFormat="true" s="9">
      <c r="A2408" s="16">
        <v>45166</v>
      </c>
      <c r="B2408" s="17" t="s">
        <v>571</v>
      </c>
      <c r="C2408" s="17" t="s">
        <v>572</v>
      </c>
      <c r="D2408" s="17" t="s">
        <v>22</v>
      </c>
      <c r="E2408" s="17" t="s">
        <v>573</v>
      </c>
      <c r="F2408" s="17" t="s">
        <v>455</v>
      </c>
      <c r="G2408" s="18">
        <v>63.0000</v>
      </c>
      <c r="H2408" s="18">
        <v>0</v>
      </c>
      <c r="I2408" s="18">
        <f ca="1">((I2407 + G2408) - H2408)</f>
        <v>0</v>
      </c>
      <c r="J2408" s="18">
        <v>0</v>
      </c>
      <c r="K2408" s="19">
        <v>0</v>
      </c>
      <c r="L2408" s="17" t="s">
        <v>28</v>
      </c>
    </row>
    <row r="2409" ht="10.95" customHeight="true" customFormat="true" s="9">
      <c r="A2409" s="16">
        <v>45166</v>
      </c>
      <c r="B2409" s="17" t="s">
        <v>571</v>
      </c>
      <c r="C2409" s="17" t="s">
        <v>572</v>
      </c>
      <c r="D2409" s="17" t="s">
        <v>22</v>
      </c>
      <c r="E2409" s="17" t="s">
        <v>573</v>
      </c>
      <c r="F2409" s="17" t="s">
        <v>455</v>
      </c>
      <c r="G2409" s="18">
        <v>1158.1500</v>
      </c>
      <c r="H2409" s="18">
        <v>0</v>
      </c>
      <c r="I2409" s="18">
        <f ca="1">((I2408 + G2409) - H2409)</f>
        <v>0</v>
      </c>
      <c r="J2409" s="18">
        <v>0</v>
      </c>
      <c r="K2409" s="19">
        <v>0</v>
      </c>
      <c r="L2409" s="17" t="s">
        <v>28</v>
      </c>
    </row>
    <row r="2410" ht="10.95" customHeight="true" customFormat="true" s="9">
      <c r="A2410" s="16">
        <v>45166</v>
      </c>
      <c r="B2410" s="17" t="s">
        <v>571</v>
      </c>
      <c r="C2410" s="17" t="s">
        <v>572</v>
      </c>
      <c r="D2410" s="17" t="s">
        <v>22</v>
      </c>
      <c r="E2410" s="17" t="s">
        <v>573</v>
      </c>
      <c r="F2410" s="17" t="s">
        <v>455</v>
      </c>
      <c r="G2410" s="18">
        <v>2000.0000</v>
      </c>
      <c r="H2410" s="18">
        <v>0</v>
      </c>
      <c r="I2410" s="18">
        <f ca="1">((I2409 + G2410) - H2410)</f>
        <v>0</v>
      </c>
      <c r="J2410" s="18">
        <v>0</v>
      </c>
      <c r="K2410" s="19">
        <v>0</v>
      </c>
      <c r="L2410" s="17" t="s">
        <v>28</v>
      </c>
    </row>
    <row r="2411" ht="10.95" customHeight="true" customFormat="true" s="9">
      <c r="A2411" s="16">
        <v>45166</v>
      </c>
      <c r="B2411" s="17" t="s">
        <v>571</v>
      </c>
      <c r="C2411" s="17" t="s">
        <v>572</v>
      </c>
      <c r="D2411" s="17" t="s">
        <v>22</v>
      </c>
      <c r="E2411" s="17" t="s">
        <v>573</v>
      </c>
      <c r="F2411" s="17" t="s">
        <v>455</v>
      </c>
      <c r="G2411" s="18">
        <v>674.5000</v>
      </c>
      <c r="H2411" s="18">
        <v>0</v>
      </c>
      <c r="I2411" s="18">
        <f ca="1">((I2410 + G2411) - H2411)</f>
        <v>0</v>
      </c>
      <c r="J2411" s="18">
        <v>0</v>
      </c>
      <c r="K2411" s="19">
        <v>0</v>
      </c>
      <c r="L2411" s="17" t="s">
        <v>28</v>
      </c>
    </row>
    <row r="2412" ht="10.95" customHeight="true" customFormat="true" s="9">
      <c r="A2412" s="16">
        <v>45166</v>
      </c>
      <c r="B2412" s="17" t="s">
        <v>571</v>
      </c>
      <c r="C2412" s="17" t="s">
        <v>572</v>
      </c>
      <c r="D2412" s="17" t="s">
        <v>22</v>
      </c>
      <c r="E2412" s="17" t="s">
        <v>573</v>
      </c>
      <c r="F2412" s="17" t="s">
        <v>455</v>
      </c>
      <c r="G2412" s="18">
        <v>126.0000</v>
      </c>
      <c r="H2412" s="18">
        <v>0</v>
      </c>
      <c r="I2412" s="18">
        <f ca="1">((I2411 + G2412) - H2412)</f>
        <v>0</v>
      </c>
      <c r="J2412" s="18">
        <v>0</v>
      </c>
      <c r="K2412" s="19">
        <v>0</v>
      </c>
      <c r="L2412" s="17" t="s">
        <v>28</v>
      </c>
    </row>
    <row r="2413" ht="10.95" customHeight="true" customFormat="true" s="9">
      <c r="A2413" s="16">
        <v>45166</v>
      </c>
      <c r="B2413" s="17" t="s">
        <v>571</v>
      </c>
      <c r="C2413" s="17" t="s">
        <v>572</v>
      </c>
      <c r="D2413" s="17" t="s">
        <v>22</v>
      </c>
      <c r="E2413" s="17" t="s">
        <v>573</v>
      </c>
      <c r="F2413" s="17" t="s">
        <v>455</v>
      </c>
      <c r="G2413" s="18">
        <v>487.0000</v>
      </c>
      <c r="H2413" s="18">
        <v>0</v>
      </c>
      <c r="I2413" s="18">
        <f ca="1">((I2412 + G2413) - H2413)</f>
        <v>0</v>
      </c>
      <c r="J2413" s="18">
        <v>0</v>
      </c>
      <c r="K2413" s="19">
        <v>0</v>
      </c>
      <c r="L2413" s="17" t="s">
        <v>28</v>
      </c>
    </row>
    <row r="2414" ht="10.95" customHeight="true" customFormat="true" s="9">
      <c r="A2414" s="16">
        <v>45173</v>
      </c>
      <c r="B2414" s="17" t="s">
        <v>571</v>
      </c>
      <c r="C2414" s="17" t="s">
        <v>572</v>
      </c>
      <c r="D2414" s="17" t="s">
        <v>333</v>
      </c>
      <c r="E2414" s="17" t="s">
        <v>574</v>
      </c>
      <c r="F2414" s="17" t="s">
        <v>344</v>
      </c>
      <c r="G2414" s="18">
        <v>0</v>
      </c>
      <c r="H2414" s="18">
        <v>4637.1500</v>
      </c>
      <c r="I2414" s="18">
        <f ca="1">((I2413 + G2414) - H2414)</f>
        <v>0</v>
      </c>
      <c r="J2414" s="18">
        <v>0</v>
      </c>
      <c r="K2414" s="19">
        <v>0</v>
      </c>
      <c r="L2414" s="17" t="s">
        <v>28</v>
      </c>
    </row>
    <row r="2415" ht="10.95" customHeight="true" customFormat="true" s="9">
      <c r="A2415" s="16">
        <v>45173</v>
      </c>
      <c r="B2415" s="17" t="s">
        <v>571</v>
      </c>
      <c r="C2415" s="17" t="s">
        <v>572</v>
      </c>
      <c r="D2415" s="17" t="s">
        <v>22</v>
      </c>
      <c r="E2415" s="17" t="s">
        <v>573</v>
      </c>
      <c r="F2415" s="17" t="s">
        <v>456</v>
      </c>
      <c r="G2415" s="18">
        <v>1158.1500</v>
      </c>
      <c r="H2415" s="18">
        <v>0</v>
      </c>
      <c r="I2415" s="18">
        <f ca="1">((I2414 + G2415) - H2415)</f>
        <v>0</v>
      </c>
      <c r="J2415" s="18">
        <v>0</v>
      </c>
      <c r="K2415" s="19">
        <v>0</v>
      </c>
      <c r="L2415" s="17" t="s">
        <v>28</v>
      </c>
    </row>
    <row r="2416" ht="10.95" customHeight="true" customFormat="true" s="9">
      <c r="A2416" s="16">
        <v>45173</v>
      </c>
      <c r="B2416" s="17" t="s">
        <v>571</v>
      </c>
      <c r="C2416" s="17" t="s">
        <v>572</v>
      </c>
      <c r="D2416" s="17" t="s">
        <v>22</v>
      </c>
      <c r="E2416" s="17" t="s">
        <v>573</v>
      </c>
      <c r="F2416" s="17" t="s">
        <v>456</v>
      </c>
      <c r="G2416" s="18">
        <v>678.7300</v>
      </c>
      <c r="H2416" s="18">
        <v>0</v>
      </c>
      <c r="I2416" s="18">
        <f ca="1">((I2415 + G2416) - H2416)</f>
        <v>0</v>
      </c>
      <c r="J2416" s="18">
        <v>0</v>
      </c>
      <c r="K2416" s="19">
        <v>0</v>
      </c>
      <c r="L2416" s="17" t="s">
        <v>28</v>
      </c>
    </row>
    <row r="2417" ht="10.95" customHeight="true" customFormat="true" s="9">
      <c r="A2417" s="16">
        <v>45173</v>
      </c>
      <c r="B2417" s="17" t="s">
        <v>571</v>
      </c>
      <c r="C2417" s="17" t="s">
        <v>572</v>
      </c>
      <c r="D2417" s="17" t="s">
        <v>22</v>
      </c>
      <c r="E2417" s="17" t="s">
        <v>573</v>
      </c>
      <c r="F2417" s="17" t="s">
        <v>456</v>
      </c>
      <c r="G2417" s="18">
        <v>63.0000</v>
      </c>
      <c r="H2417" s="18">
        <v>0</v>
      </c>
      <c r="I2417" s="18">
        <f ca="1">((I2416 + G2417) - H2417)</f>
        <v>0</v>
      </c>
      <c r="J2417" s="18">
        <v>0</v>
      </c>
      <c r="K2417" s="19">
        <v>0</v>
      </c>
      <c r="L2417" s="17" t="s">
        <v>28</v>
      </c>
    </row>
    <row r="2418" ht="10.95" customHeight="true" customFormat="true" s="9">
      <c r="A2418" s="16">
        <v>45173</v>
      </c>
      <c r="B2418" s="17" t="s">
        <v>571</v>
      </c>
      <c r="C2418" s="17" t="s">
        <v>572</v>
      </c>
      <c r="D2418" s="17" t="s">
        <v>22</v>
      </c>
      <c r="E2418" s="17" t="s">
        <v>573</v>
      </c>
      <c r="F2418" s="17" t="s">
        <v>456</v>
      </c>
      <c r="G2418" s="18">
        <v>674.5000</v>
      </c>
      <c r="H2418" s="18">
        <v>0</v>
      </c>
      <c r="I2418" s="18">
        <f ca="1">((I2417 + G2418) - H2418)</f>
        <v>0</v>
      </c>
      <c r="J2418" s="18">
        <v>0</v>
      </c>
      <c r="K2418" s="19">
        <v>0</v>
      </c>
      <c r="L2418" s="17" t="s">
        <v>28</v>
      </c>
    </row>
    <row r="2419" ht="10.95" customHeight="true" customFormat="true" s="9">
      <c r="A2419" s="16">
        <v>45173</v>
      </c>
      <c r="B2419" s="17" t="s">
        <v>571</v>
      </c>
      <c r="C2419" s="17" t="s">
        <v>572</v>
      </c>
      <c r="D2419" s="17" t="s">
        <v>22</v>
      </c>
      <c r="E2419" s="17" t="s">
        <v>573</v>
      </c>
      <c r="F2419" s="17" t="s">
        <v>456</v>
      </c>
      <c r="G2419" s="18">
        <v>63.0000</v>
      </c>
      <c r="H2419" s="18">
        <v>0</v>
      </c>
      <c r="I2419" s="18">
        <f ca="1">((I2418 + G2419) - H2419)</f>
        <v>0</v>
      </c>
      <c r="J2419" s="18">
        <v>0</v>
      </c>
      <c r="K2419" s="19">
        <v>0</v>
      </c>
      <c r="L2419" s="17" t="s">
        <v>28</v>
      </c>
    </row>
    <row r="2420" ht="10.95" customHeight="true" customFormat="true" s="9">
      <c r="A2420" s="16">
        <v>45173</v>
      </c>
      <c r="B2420" s="17" t="s">
        <v>571</v>
      </c>
      <c r="C2420" s="17" t="s">
        <v>572</v>
      </c>
      <c r="D2420" s="17" t="s">
        <v>22</v>
      </c>
      <c r="E2420" s="17" t="s">
        <v>573</v>
      </c>
      <c r="F2420" s="17" t="s">
        <v>456</v>
      </c>
      <c r="G2420" s="18">
        <v>2000.0000</v>
      </c>
      <c r="H2420" s="18">
        <v>0</v>
      </c>
      <c r="I2420" s="18">
        <f ca="1">((I2419 + G2420) - H2420)</f>
        <v>0</v>
      </c>
      <c r="J2420" s="18">
        <v>0</v>
      </c>
      <c r="K2420" s="19">
        <v>0</v>
      </c>
      <c r="L2420" s="17" t="s">
        <v>28</v>
      </c>
    </row>
    <row r="2421" ht="10.95" customHeight="true" customFormat="true" s="9">
      <c r="A2421" s="16">
        <v>45180</v>
      </c>
      <c r="B2421" s="17" t="s">
        <v>571</v>
      </c>
      <c r="C2421" s="17" t="s">
        <v>572</v>
      </c>
      <c r="D2421" s="17" t="s">
        <v>333</v>
      </c>
      <c r="E2421" s="17" t="s">
        <v>574</v>
      </c>
      <c r="F2421" s="17" t="s">
        <v>345</v>
      </c>
      <c r="G2421" s="18">
        <v>0</v>
      </c>
      <c r="H2421" s="18">
        <v>4571.6500</v>
      </c>
      <c r="I2421" s="18">
        <f ca="1">((I2420 + G2421) - H2421)</f>
        <v>0</v>
      </c>
      <c r="J2421" s="18">
        <v>0</v>
      </c>
      <c r="K2421" s="19">
        <v>0</v>
      </c>
      <c r="L2421" s="17" t="s">
        <v>28</v>
      </c>
    </row>
    <row r="2422" ht="10.95" customHeight="true" customFormat="true" s="9">
      <c r="A2422" s="16">
        <v>45180</v>
      </c>
      <c r="B2422" s="17" t="s">
        <v>571</v>
      </c>
      <c r="C2422" s="17" t="s">
        <v>572</v>
      </c>
      <c r="D2422" s="17" t="s">
        <v>22</v>
      </c>
      <c r="E2422" s="17" t="s">
        <v>573</v>
      </c>
      <c r="F2422" s="17" t="s">
        <v>457</v>
      </c>
      <c r="G2422" s="18">
        <v>434.7800</v>
      </c>
      <c r="H2422" s="18">
        <v>0</v>
      </c>
      <c r="I2422" s="18">
        <f ca="1">((I2421 + G2422) - H2422)</f>
        <v>0</v>
      </c>
      <c r="J2422" s="18">
        <v>0</v>
      </c>
      <c r="K2422" s="19">
        <v>0</v>
      </c>
      <c r="L2422" s="17" t="s">
        <v>28</v>
      </c>
    </row>
    <row r="2423" ht="10.95" customHeight="true" customFormat="true" s="9">
      <c r="A2423" s="16">
        <v>45180</v>
      </c>
      <c r="B2423" s="17" t="s">
        <v>571</v>
      </c>
      <c r="C2423" s="17" t="s">
        <v>572</v>
      </c>
      <c r="D2423" s="17" t="s">
        <v>22</v>
      </c>
      <c r="E2423" s="17" t="s">
        <v>573</v>
      </c>
      <c r="F2423" s="17" t="s">
        <v>457</v>
      </c>
      <c r="G2423" s="18">
        <v>138.0000</v>
      </c>
      <c r="H2423" s="18">
        <v>0</v>
      </c>
      <c r="I2423" s="18">
        <f ca="1">((I2422 + G2423) - H2423)</f>
        <v>0</v>
      </c>
      <c r="J2423" s="18">
        <v>0</v>
      </c>
      <c r="K2423" s="19">
        <v>0</v>
      </c>
      <c r="L2423" s="17" t="s">
        <v>28</v>
      </c>
    </row>
    <row r="2424" ht="10.95" customHeight="true" customFormat="true" s="9">
      <c r="A2424" s="16">
        <v>45180</v>
      </c>
      <c r="B2424" s="17" t="s">
        <v>571</v>
      </c>
      <c r="C2424" s="17" t="s">
        <v>572</v>
      </c>
      <c r="D2424" s="17" t="s">
        <v>22</v>
      </c>
      <c r="E2424" s="17" t="s">
        <v>573</v>
      </c>
      <c r="F2424" s="17" t="s">
        <v>457</v>
      </c>
      <c r="G2424" s="18">
        <v>841.0000</v>
      </c>
      <c r="H2424" s="18">
        <v>0</v>
      </c>
      <c r="I2424" s="18">
        <f ca="1">((I2423 + G2424) - H2424)</f>
        <v>0</v>
      </c>
      <c r="J2424" s="18">
        <v>0</v>
      </c>
      <c r="K2424" s="19">
        <v>0</v>
      </c>
      <c r="L2424" s="17" t="s">
        <v>28</v>
      </c>
    </row>
    <row r="2425" ht="10.95" customHeight="true" customFormat="true" s="9">
      <c r="A2425" s="16">
        <v>45180</v>
      </c>
      <c r="B2425" s="17" t="s">
        <v>571</v>
      </c>
      <c r="C2425" s="17" t="s">
        <v>572</v>
      </c>
      <c r="D2425" s="17" t="s">
        <v>22</v>
      </c>
      <c r="E2425" s="17" t="s">
        <v>573</v>
      </c>
      <c r="F2425" s="17" t="s">
        <v>457</v>
      </c>
      <c r="G2425" s="18">
        <v>1158.1500</v>
      </c>
      <c r="H2425" s="18">
        <v>0</v>
      </c>
      <c r="I2425" s="18">
        <f ca="1">((I2424 + G2425) - H2425)</f>
        <v>0</v>
      </c>
      <c r="J2425" s="18">
        <v>0</v>
      </c>
      <c r="K2425" s="19">
        <v>0</v>
      </c>
      <c r="L2425" s="17" t="s">
        <v>28</v>
      </c>
    </row>
    <row r="2426" ht="10.95" customHeight="true" customFormat="true" s="9">
      <c r="A2426" s="16">
        <v>45180</v>
      </c>
      <c r="B2426" s="17" t="s">
        <v>571</v>
      </c>
      <c r="C2426" s="17" t="s">
        <v>572</v>
      </c>
      <c r="D2426" s="17" t="s">
        <v>22</v>
      </c>
      <c r="E2426" s="17" t="s">
        <v>573</v>
      </c>
      <c r="F2426" s="17" t="s">
        <v>457</v>
      </c>
      <c r="G2426" s="18">
        <v>2000.0000</v>
      </c>
      <c r="H2426" s="18">
        <v>0</v>
      </c>
      <c r="I2426" s="18">
        <f ca="1">((I2425 + G2426) - H2426)</f>
        <v>0</v>
      </c>
      <c r="J2426" s="18">
        <v>0</v>
      </c>
      <c r="K2426" s="19">
        <v>0</v>
      </c>
      <c r="L2426" s="17" t="s">
        <v>28</v>
      </c>
    </row>
    <row r="2427" ht="10.95" customHeight="true" customFormat="true" s="9">
      <c r="A2427" s="16">
        <v>45187</v>
      </c>
      <c r="B2427" s="17" t="s">
        <v>571</v>
      </c>
      <c r="C2427" s="17" t="s">
        <v>572</v>
      </c>
      <c r="D2427" s="17" t="s">
        <v>333</v>
      </c>
      <c r="E2427" s="17" t="s">
        <v>574</v>
      </c>
      <c r="F2427" s="17" t="s">
        <v>346</v>
      </c>
      <c r="G2427" s="18">
        <v>0</v>
      </c>
      <c r="H2427" s="18">
        <v>4601.6500</v>
      </c>
      <c r="I2427" s="18">
        <f ca="1">((I2426 + G2427) - H2427)</f>
        <v>0</v>
      </c>
      <c r="J2427" s="18">
        <v>0</v>
      </c>
      <c r="K2427" s="19">
        <v>0</v>
      </c>
      <c r="L2427" s="17" t="s">
        <v>28</v>
      </c>
    </row>
    <row r="2428" ht="10.95" customHeight="true" customFormat="true" s="9">
      <c r="A2428" s="16">
        <v>45187</v>
      </c>
      <c r="B2428" s="17" t="s">
        <v>571</v>
      </c>
      <c r="C2428" s="17" t="s">
        <v>572</v>
      </c>
      <c r="D2428" s="17" t="s">
        <v>22</v>
      </c>
      <c r="E2428" s="17" t="s">
        <v>573</v>
      </c>
      <c r="F2428" s="17" t="s">
        <v>460</v>
      </c>
      <c r="G2428" s="18">
        <v>1158.1500</v>
      </c>
      <c r="H2428" s="18">
        <v>0</v>
      </c>
      <c r="I2428" s="18">
        <f ca="1">((I2427 + G2428) - H2428)</f>
        <v>0</v>
      </c>
      <c r="J2428" s="18">
        <v>0</v>
      </c>
      <c r="K2428" s="19">
        <v>0</v>
      </c>
      <c r="L2428" s="17" t="s">
        <v>28</v>
      </c>
    </row>
    <row r="2429" ht="10.95" customHeight="true" customFormat="true" s="9">
      <c r="A2429" s="16">
        <v>45187</v>
      </c>
      <c r="B2429" s="17" t="s">
        <v>571</v>
      </c>
      <c r="C2429" s="17" t="s">
        <v>572</v>
      </c>
      <c r="D2429" s="17" t="s">
        <v>22</v>
      </c>
      <c r="E2429" s="17" t="s">
        <v>573</v>
      </c>
      <c r="F2429" s="17" t="s">
        <v>460</v>
      </c>
      <c r="G2429" s="18">
        <v>674.5000</v>
      </c>
      <c r="H2429" s="18">
        <v>0</v>
      </c>
      <c r="I2429" s="18">
        <f ca="1">((I2428 + G2429) - H2429)</f>
        <v>0</v>
      </c>
      <c r="J2429" s="18">
        <v>0</v>
      </c>
      <c r="K2429" s="19">
        <v>0</v>
      </c>
      <c r="L2429" s="17" t="s">
        <v>28</v>
      </c>
    </row>
    <row r="2430" ht="10.95" customHeight="true" customFormat="true" s="9">
      <c r="A2430" s="16">
        <v>45187</v>
      </c>
      <c r="B2430" s="17" t="s">
        <v>571</v>
      </c>
      <c r="C2430" s="17" t="s">
        <v>572</v>
      </c>
      <c r="D2430" s="17" t="s">
        <v>22</v>
      </c>
      <c r="E2430" s="17" t="s">
        <v>573</v>
      </c>
      <c r="F2430" s="17" t="s">
        <v>460</v>
      </c>
      <c r="G2430" s="18">
        <v>63.0000</v>
      </c>
      <c r="H2430" s="18">
        <v>0</v>
      </c>
      <c r="I2430" s="18">
        <f ca="1">((I2429 + G2430) - H2430)</f>
        <v>0</v>
      </c>
      <c r="J2430" s="18">
        <v>0</v>
      </c>
      <c r="K2430" s="19">
        <v>0</v>
      </c>
      <c r="L2430" s="17" t="s">
        <v>28</v>
      </c>
    </row>
    <row r="2431" ht="10.95" customHeight="true" customFormat="true" s="9">
      <c r="A2431" s="16">
        <v>45187</v>
      </c>
      <c r="B2431" s="17" t="s">
        <v>571</v>
      </c>
      <c r="C2431" s="17" t="s">
        <v>572</v>
      </c>
      <c r="D2431" s="17" t="s">
        <v>22</v>
      </c>
      <c r="E2431" s="17" t="s">
        <v>573</v>
      </c>
      <c r="F2431" s="17" t="s">
        <v>460</v>
      </c>
      <c r="G2431" s="18">
        <v>636.6500</v>
      </c>
      <c r="H2431" s="18">
        <v>0</v>
      </c>
      <c r="I2431" s="18">
        <f ca="1">((I2430 + G2431) - H2431)</f>
        <v>0</v>
      </c>
      <c r="J2431" s="18">
        <v>0</v>
      </c>
      <c r="K2431" s="19">
        <v>0</v>
      </c>
      <c r="L2431" s="17" t="s">
        <v>28</v>
      </c>
    </row>
    <row r="2432" ht="10.95" customHeight="true" customFormat="true" s="9">
      <c r="A2432" s="16">
        <v>45187</v>
      </c>
      <c r="B2432" s="17" t="s">
        <v>571</v>
      </c>
      <c r="C2432" s="17" t="s">
        <v>572</v>
      </c>
      <c r="D2432" s="17" t="s">
        <v>22</v>
      </c>
      <c r="E2432" s="17" t="s">
        <v>573</v>
      </c>
      <c r="F2432" s="17" t="s">
        <v>460</v>
      </c>
      <c r="G2432" s="18">
        <v>2000.0000</v>
      </c>
      <c r="H2432" s="18">
        <v>0</v>
      </c>
      <c r="I2432" s="18">
        <f ca="1">((I2431 + G2432) - H2432)</f>
        <v>0</v>
      </c>
      <c r="J2432" s="18">
        <v>0</v>
      </c>
      <c r="K2432" s="19">
        <v>0</v>
      </c>
      <c r="L2432" s="17" t="s">
        <v>28</v>
      </c>
    </row>
    <row r="2433" ht="10.95" customHeight="true" customFormat="true" s="9">
      <c r="A2433" s="16">
        <v>45187</v>
      </c>
      <c r="B2433" s="17" t="s">
        <v>571</v>
      </c>
      <c r="C2433" s="17" t="s">
        <v>572</v>
      </c>
      <c r="D2433" s="17" t="s">
        <v>22</v>
      </c>
      <c r="E2433" s="17" t="s">
        <v>573</v>
      </c>
      <c r="F2433" s="17" t="s">
        <v>460</v>
      </c>
      <c r="G2433" s="18">
        <v>69.0000</v>
      </c>
      <c r="H2433" s="18">
        <v>0</v>
      </c>
      <c r="I2433" s="18">
        <f ca="1">((I2432 + G2433) - H2433)</f>
        <v>0</v>
      </c>
      <c r="J2433" s="18">
        <v>0</v>
      </c>
      <c r="K2433" s="19">
        <v>0</v>
      </c>
      <c r="L2433" s="17" t="s">
        <v>28</v>
      </c>
    </row>
    <row r="2434" ht="10.95" customHeight="true" customFormat="true" s="9">
      <c r="A2434" s="16">
        <v>45194</v>
      </c>
      <c r="B2434" s="17" t="s">
        <v>571</v>
      </c>
      <c r="C2434" s="17" t="s">
        <v>572</v>
      </c>
      <c r="D2434" s="17" t="s">
        <v>22</v>
      </c>
      <c r="E2434" s="17" t="s">
        <v>573</v>
      </c>
      <c r="F2434" s="17" t="s">
        <v>462</v>
      </c>
      <c r="G2434" s="18">
        <v>594.5800</v>
      </c>
      <c r="H2434" s="18">
        <v>0</v>
      </c>
      <c r="I2434" s="18">
        <f ca="1">((I2433 + G2434) - H2434)</f>
        <v>0</v>
      </c>
      <c r="J2434" s="18">
        <v>0</v>
      </c>
      <c r="K2434" s="19">
        <v>0</v>
      </c>
      <c r="L2434" s="17" t="s">
        <v>28</v>
      </c>
    </row>
    <row r="2435" ht="10.95" customHeight="true" customFormat="true" s="9">
      <c r="A2435" s="16">
        <v>45194</v>
      </c>
      <c r="B2435" s="17" t="s">
        <v>571</v>
      </c>
      <c r="C2435" s="17" t="s">
        <v>572</v>
      </c>
      <c r="D2435" s="17" t="s">
        <v>22</v>
      </c>
      <c r="E2435" s="17" t="s">
        <v>573</v>
      </c>
      <c r="F2435" s="17" t="s">
        <v>462</v>
      </c>
      <c r="G2435" s="18">
        <v>1158.1500</v>
      </c>
      <c r="H2435" s="18">
        <v>0</v>
      </c>
      <c r="I2435" s="18">
        <f ca="1">((I2434 + G2435) - H2435)</f>
        <v>0</v>
      </c>
      <c r="J2435" s="18">
        <v>0</v>
      </c>
      <c r="K2435" s="19">
        <v>0</v>
      </c>
      <c r="L2435" s="17" t="s">
        <v>28</v>
      </c>
    </row>
    <row r="2436" ht="10.95" customHeight="true" customFormat="true" s="9">
      <c r="A2436" s="16">
        <v>45194</v>
      </c>
      <c r="B2436" s="17" t="s">
        <v>571</v>
      </c>
      <c r="C2436" s="17" t="s">
        <v>572</v>
      </c>
      <c r="D2436" s="17" t="s">
        <v>22</v>
      </c>
      <c r="E2436" s="17" t="s">
        <v>573</v>
      </c>
      <c r="F2436" s="17" t="s">
        <v>462</v>
      </c>
      <c r="G2436" s="18">
        <v>2000.0000</v>
      </c>
      <c r="H2436" s="18">
        <v>0</v>
      </c>
      <c r="I2436" s="18">
        <f ca="1">((I2435 + G2436) - H2436)</f>
        <v>0</v>
      </c>
      <c r="J2436" s="18">
        <v>0</v>
      </c>
      <c r="K2436" s="19">
        <v>0</v>
      </c>
      <c r="L2436" s="17" t="s">
        <v>28</v>
      </c>
    </row>
    <row r="2437" ht="10.95" customHeight="true" customFormat="true" s="9">
      <c r="A2437" s="16">
        <v>45194</v>
      </c>
      <c r="B2437" s="17" t="s">
        <v>571</v>
      </c>
      <c r="C2437" s="17" t="s">
        <v>572</v>
      </c>
      <c r="D2437" s="17" t="s">
        <v>22</v>
      </c>
      <c r="E2437" s="17" t="s">
        <v>573</v>
      </c>
      <c r="F2437" s="17" t="s">
        <v>463</v>
      </c>
      <c r="G2437" s="18">
        <v>138.0000</v>
      </c>
      <c r="H2437" s="18">
        <v>0</v>
      </c>
      <c r="I2437" s="18">
        <f ca="1">((I2436 + G2437) - H2437)</f>
        <v>0</v>
      </c>
      <c r="J2437" s="18">
        <v>0</v>
      </c>
      <c r="K2437" s="19">
        <v>0</v>
      </c>
      <c r="L2437" s="17" t="s">
        <v>28</v>
      </c>
    </row>
    <row r="2438" ht="10.95" customHeight="true" customFormat="true" s="9">
      <c r="A2438" s="16">
        <v>45194</v>
      </c>
      <c r="B2438" s="17" t="s">
        <v>571</v>
      </c>
      <c r="C2438" s="17" t="s">
        <v>572</v>
      </c>
      <c r="D2438" s="17" t="s">
        <v>22</v>
      </c>
      <c r="E2438" s="17" t="s">
        <v>573</v>
      </c>
      <c r="F2438" s="17" t="s">
        <v>462</v>
      </c>
      <c r="G2438" s="18">
        <v>63.0000</v>
      </c>
      <c r="H2438" s="18">
        <v>0</v>
      </c>
      <c r="I2438" s="18">
        <f ca="1">((I2437 + G2438) - H2438)</f>
        <v>0</v>
      </c>
      <c r="J2438" s="18">
        <v>0</v>
      </c>
      <c r="K2438" s="19">
        <v>0</v>
      </c>
      <c r="L2438" s="17" t="s">
        <v>28</v>
      </c>
    </row>
    <row r="2439" ht="10.95" customHeight="true" customFormat="true" s="9">
      <c r="A2439" s="16">
        <v>45194</v>
      </c>
      <c r="B2439" s="17" t="s">
        <v>571</v>
      </c>
      <c r="C2439" s="17" t="s">
        <v>572</v>
      </c>
      <c r="D2439" s="17" t="s">
        <v>22</v>
      </c>
      <c r="E2439" s="17" t="s">
        <v>573</v>
      </c>
      <c r="F2439" s="17" t="s">
        <v>462</v>
      </c>
      <c r="G2439" s="18">
        <v>674.5000</v>
      </c>
      <c r="H2439" s="18">
        <v>0</v>
      </c>
      <c r="I2439" s="18">
        <f ca="1">((I2438 + G2439) - H2439)</f>
        <v>0</v>
      </c>
      <c r="J2439" s="18">
        <v>0</v>
      </c>
      <c r="K2439" s="19">
        <v>0</v>
      </c>
      <c r="L2439" s="17" t="s">
        <v>28</v>
      </c>
    </row>
    <row r="2440" ht="10.95" customHeight="true" customFormat="true" s="9">
      <c r="A2440" s="16">
        <v>45194</v>
      </c>
      <c r="B2440" s="17" t="s">
        <v>571</v>
      </c>
      <c r="C2440" s="17" t="s">
        <v>572</v>
      </c>
      <c r="D2440" s="17" t="s">
        <v>333</v>
      </c>
      <c r="E2440" s="17" t="s">
        <v>574</v>
      </c>
      <c r="F2440" s="17" t="s">
        <v>347</v>
      </c>
      <c r="G2440" s="18">
        <v>0</v>
      </c>
      <c r="H2440" s="18">
        <v>4628.1500</v>
      </c>
      <c r="I2440" s="18">
        <f ca="1">((I2439 + G2440) - H2440)</f>
        <v>0</v>
      </c>
      <c r="J2440" s="18">
        <v>0</v>
      </c>
      <c r="K2440" s="19">
        <v>0</v>
      </c>
      <c r="L2440" s="17" t="s">
        <v>28</v>
      </c>
    </row>
    <row r="2441" ht="10.95" customHeight="true" customFormat="true" s="9">
      <c r="A2441" s="16">
        <v>45201</v>
      </c>
      <c r="B2441" s="17" t="s">
        <v>571</v>
      </c>
      <c r="C2441" s="17" t="s">
        <v>572</v>
      </c>
      <c r="D2441" s="17" t="s">
        <v>22</v>
      </c>
      <c r="E2441" s="17" t="s">
        <v>573</v>
      </c>
      <c r="F2441" s="17" t="s">
        <v>464</v>
      </c>
      <c r="G2441" s="18">
        <v>664.7000</v>
      </c>
      <c r="H2441" s="18">
        <v>0</v>
      </c>
      <c r="I2441" s="18">
        <f ca="1">((I2440 + G2441) - H2441)</f>
        <v>0</v>
      </c>
      <c r="J2441" s="18">
        <v>0</v>
      </c>
      <c r="K2441" s="19">
        <v>0</v>
      </c>
      <c r="L2441" s="17" t="s">
        <v>28</v>
      </c>
    </row>
    <row r="2442" ht="10.95" customHeight="true" customFormat="true" s="9">
      <c r="A2442" s="16">
        <v>45201</v>
      </c>
      <c r="B2442" s="17" t="s">
        <v>571</v>
      </c>
      <c r="C2442" s="17" t="s">
        <v>572</v>
      </c>
      <c r="D2442" s="17" t="s">
        <v>333</v>
      </c>
      <c r="E2442" s="17" t="s">
        <v>574</v>
      </c>
      <c r="F2442" s="17" t="s">
        <v>348</v>
      </c>
      <c r="G2442" s="18">
        <v>0</v>
      </c>
      <c r="H2442" s="18">
        <v>4629.6500</v>
      </c>
      <c r="I2442" s="18">
        <f ca="1">((I2441 + G2442) - H2442)</f>
        <v>0</v>
      </c>
      <c r="J2442" s="18">
        <v>0</v>
      </c>
      <c r="K2442" s="19">
        <v>0</v>
      </c>
      <c r="L2442" s="17" t="s">
        <v>28</v>
      </c>
    </row>
    <row r="2443" ht="10.95" customHeight="true" customFormat="true" s="9">
      <c r="A2443" s="16">
        <v>45201</v>
      </c>
      <c r="B2443" s="17" t="s">
        <v>571</v>
      </c>
      <c r="C2443" s="17" t="s">
        <v>572</v>
      </c>
      <c r="D2443" s="17" t="s">
        <v>22</v>
      </c>
      <c r="E2443" s="17" t="s">
        <v>573</v>
      </c>
      <c r="F2443" s="17" t="s">
        <v>464</v>
      </c>
      <c r="G2443" s="18">
        <v>1158.1500</v>
      </c>
      <c r="H2443" s="18">
        <v>0</v>
      </c>
      <c r="I2443" s="18">
        <f ca="1">((I2442 + G2443) - H2443)</f>
        <v>0</v>
      </c>
      <c r="J2443" s="18">
        <v>0</v>
      </c>
      <c r="K2443" s="19">
        <v>0</v>
      </c>
      <c r="L2443" s="17" t="s">
        <v>28</v>
      </c>
    </row>
    <row r="2444" ht="10.95" customHeight="true" customFormat="true" s="9">
      <c r="A2444" s="16">
        <v>45201</v>
      </c>
      <c r="B2444" s="17" t="s">
        <v>571</v>
      </c>
      <c r="C2444" s="17" t="s">
        <v>572</v>
      </c>
      <c r="D2444" s="17" t="s">
        <v>22</v>
      </c>
      <c r="E2444" s="17" t="s">
        <v>573</v>
      </c>
      <c r="F2444" s="17" t="s">
        <v>464</v>
      </c>
      <c r="G2444" s="18">
        <v>674.5000</v>
      </c>
      <c r="H2444" s="18">
        <v>0</v>
      </c>
      <c r="I2444" s="18">
        <f ca="1">((I2443 + G2444) - H2444)</f>
        <v>0</v>
      </c>
      <c r="J2444" s="18">
        <v>0</v>
      </c>
      <c r="K2444" s="19">
        <v>0</v>
      </c>
      <c r="L2444" s="17" t="s">
        <v>28</v>
      </c>
    </row>
    <row r="2445" ht="10.95" customHeight="true" customFormat="true" s="9">
      <c r="A2445" s="16">
        <v>45201</v>
      </c>
      <c r="B2445" s="17" t="s">
        <v>571</v>
      </c>
      <c r="C2445" s="17" t="s">
        <v>572</v>
      </c>
      <c r="D2445" s="17" t="s">
        <v>22</v>
      </c>
      <c r="E2445" s="17" t="s">
        <v>573</v>
      </c>
      <c r="F2445" s="17" t="s">
        <v>464</v>
      </c>
      <c r="G2445" s="18">
        <v>63.0000</v>
      </c>
      <c r="H2445" s="18">
        <v>0</v>
      </c>
      <c r="I2445" s="18">
        <f ca="1">((I2444 + G2445) - H2445)</f>
        <v>0</v>
      </c>
      <c r="J2445" s="18">
        <v>0</v>
      </c>
      <c r="K2445" s="19">
        <v>0</v>
      </c>
      <c r="L2445" s="17" t="s">
        <v>28</v>
      </c>
    </row>
    <row r="2446" ht="10.95" customHeight="true" customFormat="true" s="9">
      <c r="A2446" s="16">
        <v>45201</v>
      </c>
      <c r="B2446" s="17" t="s">
        <v>571</v>
      </c>
      <c r="C2446" s="17" t="s">
        <v>572</v>
      </c>
      <c r="D2446" s="17" t="s">
        <v>22</v>
      </c>
      <c r="E2446" s="17" t="s">
        <v>573</v>
      </c>
      <c r="F2446" s="17" t="s">
        <v>464</v>
      </c>
      <c r="G2446" s="18">
        <v>2000.0000</v>
      </c>
      <c r="H2446" s="18">
        <v>0</v>
      </c>
      <c r="I2446" s="18">
        <f ca="1">((I2445 + G2446) - H2446)</f>
        <v>0</v>
      </c>
      <c r="J2446" s="18">
        <v>0</v>
      </c>
      <c r="K2446" s="19">
        <v>0</v>
      </c>
      <c r="L2446" s="17" t="s">
        <v>28</v>
      </c>
    </row>
    <row r="2447" ht="10.95" customHeight="true" customFormat="true" s="9">
      <c r="A2447" s="16">
        <v>45201</v>
      </c>
      <c r="B2447" s="17" t="s">
        <v>571</v>
      </c>
      <c r="C2447" s="17" t="s">
        <v>572</v>
      </c>
      <c r="D2447" s="17" t="s">
        <v>22</v>
      </c>
      <c r="E2447" s="17" t="s">
        <v>573</v>
      </c>
      <c r="F2447" s="17" t="s">
        <v>464</v>
      </c>
      <c r="G2447" s="18">
        <v>69.0000</v>
      </c>
      <c r="H2447" s="18">
        <v>0</v>
      </c>
      <c r="I2447" s="18">
        <f ca="1">((I2446 + G2447) - H2447)</f>
        <v>0</v>
      </c>
      <c r="J2447" s="18">
        <v>0</v>
      </c>
      <c r="K2447" s="19">
        <v>0</v>
      </c>
      <c r="L2447" s="17" t="s">
        <v>28</v>
      </c>
    </row>
    <row r="2448" ht="10.95" customHeight="true" customFormat="true" s="9">
      <c r="A2448" s="16">
        <v>45208</v>
      </c>
      <c r="B2448" s="17" t="s">
        <v>571</v>
      </c>
      <c r="C2448" s="17" t="s">
        <v>572</v>
      </c>
      <c r="D2448" s="17" t="s">
        <v>333</v>
      </c>
      <c r="E2448" s="17" t="s">
        <v>574</v>
      </c>
      <c r="F2448" s="17" t="s">
        <v>349</v>
      </c>
      <c r="G2448" s="18">
        <v>0</v>
      </c>
      <c r="H2448" s="18">
        <v>4855.4000</v>
      </c>
      <c r="I2448" s="18">
        <f ca="1">((I2447 + G2448) - H2448)</f>
        <v>0</v>
      </c>
      <c r="J2448" s="18">
        <v>0</v>
      </c>
      <c r="K2448" s="19">
        <v>0</v>
      </c>
      <c r="L2448" s="17" t="s">
        <v>28</v>
      </c>
    </row>
    <row r="2449" ht="10.95" customHeight="true" customFormat="true" s="9">
      <c r="A2449" s="16">
        <v>45208</v>
      </c>
      <c r="B2449" s="17" t="s">
        <v>571</v>
      </c>
      <c r="C2449" s="17" t="s">
        <v>572</v>
      </c>
      <c r="D2449" s="17" t="s">
        <v>22</v>
      </c>
      <c r="E2449" s="17" t="s">
        <v>573</v>
      </c>
      <c r="F2449" s="17" t="s">
        <v>467</v>
      </c>
      <c r="G2449" s="18">
        <v>2000.0000</v>
      </c>
      <c r="H2449" s="18">
        <v>0</v>
      </c>
      <c r="I2449" s="18">
        <f ca="1">((I2448 + G2449) - H2449)</f>
        <v>0</v>
      </c>
      <c r="J2449" s="18">
        <v>0</v>
      </c>
      <c r="K2449" s="19">
        <v>0</v>
      </c>
      <c r="L2449" s="17" t="s">
        <v>28</v>
      </c>
    </row>
    <row r="2450" ht="10.95" customHeight="true" customFormat="true" s="9">
      <c r="A2450" s="16">
        <v>45208</v>
      </c>
      <c r="B2450" s="17" t="s">
        <v>571</v>
      </c>
      <c r="C2450" s="17" t="s">
        <v>572</v>
      </c>
      <c r="D2450" s="17" t="s">
        <v>22</v>
      </c>
      <c r="E2450" s="17" t="s">
        <v>573</v>
      </c>
      <c r="F2450" s="17" t="s">
        <v>467</v>
      </c>
      <c r="G2450" s="18">
        <v>674.5000</v>
      </c>
      <c r="H2450" s="18">
        <v>0</v>
      </c>
      <c r="I2450" s="18">
        <f ca="1">((I2449 + G2450) - H2450)</f>
        <v>0</v>
      </c>
      <c r="J2450" s="18">
        <v>0</v>
      </c>
      <c r="K2450" s="19">
        <v>0</v>
      </c>
      <c r="L2450" s="17" t="s">
        <v>28</v>
      </c>
    </row>
    <row r="2451" ht="10.95" customHeight="true" customFormat="true" s="9">
      <c r="A2451" s="16">
        <v>45208</v>
      </c>
      <c r="B2451" s="17" t="s">
        <v>571</v>
      </c>
      <c r="C2451" s="17" t="s">
        <v>572</v>
      </c>
      <c r="D2451" s="17" t="s">
        <v>22</v>
      </c>
      <c r="E2451" s="17" t="s">
        <v>573</v>
      </c>
      <c r="F2451" s="17" t="s">
        <v>467</v>
      </c>
      <c r="G2451" s="18">
        <v>636.6500</v>
      </c>
      <c r="H2451" s="18">
        <v>0</v>
      </c>
      <c r="I2451" s="18">
        <f ca="1">((I2450 + G2451) - H2451)</f>
        <v>0</v>
      </c>
      <c r="J2451" s="18">
        <v>0</v>
      </c>
      <c r="K2451" s="19">
        <v>0</v>
      </c>
      <c r="L2451" s="17" t="s">
        <v>28</v>
      </c>
    </row>
    <row r="2452" ht="10.95" customHeight="true" customFormat="true" s="9">
      <c r="A2452" s="16">
        <v>45208</v>
      </c>
      <c r="B2452" s="17" t="s">
        <v>571</v>
      </c>
      <c r="C2452" s="17" t="s">
        <v>572</v>
      </c>
      <c r="D2452" s="17" t="s">
        <v>22</v>
      </c>
      <c r="E2452" s="17" t="s">
        <v>573</v>
      </c>
      <c r="F2452" s="17" t="s">
        <v>467</v>
      </c>
      <c r="G2452" s="18">
        <v>1342.9000</v>
      </c>
      <c r="H2452" s="18">
        <v>0</v>
      </c>
      <c r="I2452" s="18">
        <f ca="1">((I2451 + G2452) - H2452)</f>
        <v>0</v>
      </c>
      <c r="J2452" s="18">
        <v>0</v>
      </c>
      <c r="K2452" s="19">
        <v>0</v>
      </c>
      <c r="L2452" s="17" t="s">
        <v>28</v>
      </c>
    </row>
    <row r="2453" ht="10.95" customHeight="true" customFormat="true" s="9">
      <c r="A2453" s="16">
        <v>45208</v>
      </c>
      <c r="B2453" s="17" t="s">
        <v>571</v>
      </c>
      <c r="C2453" s="17" t="s">
        <v>572</v>
      </c>
      <c r="D2453" s="17" t="s">
        <v>22</v>
      </c>
      <c r="E2453" s="17" t="s">
        <v>573</v>
      </c>
      <c r="F2453" s="17" t="s">
        <v>467</v>
      </c>
      <c r="G2453" s="18">
        <v>138.0000</v>
      </c>
      <c r="H2453" s="18">
        <v>0</v>
      </c>
      <c r="I2453" s="18">
        <f ca="1">((I2452 + G2453) - H2453)</f>
        <v>0</v>
      </c>
      <c r="J2453" s="18">
        <v>0</v>
      </c>
      <c r="K2453" s="19">
        <v>0</v>
      </c>
      <c r="L2453" s="17" t="s">
        <v>28</v>
      </c>
    </row>
    <row r="2454" ht="10.95" customHeight="true" customFormat="true" s="9">
      <c r="A2454" s="16">
        <v>45208</v>
      </c>
      <c r="B2454" s="17" t="s">
        <v>571</v>
      </c>
      <c r="C2454" s="17" t="s">
        <v>572</v>
      </c>
      <c r="D2454" s="17" t="s">
        <v>22</v>
      </c>
      <c r="E2454" s="17" t="s">
        <v>573</v>
      </c>
      <c r="F2454" s="17" t="s">
        <v>467</v>
      </c>
      <c r="G2454" s="18">
        <v>63.0000</v>
      </c>
      <c r="H2454" s="18">
        <v>0</v>
      </c>
      <c r="I2454" s="18">
        <f ca="1">((I2453 + G2454) - H2454)</f>
        <v>0</v>
      </c>
      <c r="J2454" s="18">
        <v>0</v>
      </c>
      <c r="K2454" s="19">
        <v>0</v>
      </c>
      <c r="L2454" s="17" t="s">
        <v>28</v>
      </c>
    </row>
    <row r="2455" ht="10.95" customHeight="true" customFormat="true" s="9">
      <c r="A2455" s="16">
        <v>45215</v>
      </c>
      <c r="B2455" s="17" t="s">
        <v>571</v>
      </c>
      <c r="C2455" s="17" t="s">
        <v>572</v>
      </c>
      <c r="D2455" s="17" t="s">
        <v>22</v>
      </c>
      <c r="E2455" s="17" t="s">
        <v>573</v>
      </c>
      <c r="F2455" s="17" t="s">
        <v>471</v>
      </c>
      <c r="G2455" s="18">
        <v>678.7300</v>
      </c>
      <c r="H2455" s="18">
        <v>0</v>
      </c>
      <c r="I2455" s="18">
        <f ca="1">((I2454 + G2455) - H2455)</f>
        <v>0</v>
      </c>
      <c r="J2455" s="18">
        <v>0</v>
      </c>
      <c r="K2455" s="19">
        <v>0</v>
      </c>
      <c r="L2455" s="17" t="s">
        <v>28</v>
      </c>
    </row>
    <row r="2456" ht="10.95" customHeight="true" customFormat="true" s="9">
      <c r="A2456" s="16">
        <v>45215</v>
      </c>
      <c r="B2456" s="17" t="s">
        <v>571</v>
      </c>
      <c r="C2456" s="17" t="s">
        <v>572</v>
      </c>
      <c r="D2456" s="17" t="s">
        <v>22</v>
      </c>
      <c r="E2456" s="17" t="s">
        <v>573</v>
      </c>
      <c r="F2456" s="17" t="s">
        <v>471</v>
      </c>
      <c r="G2456" s="18">
        <v>2000.0000</v>
      </c>
      <c r="H2456" s="18">
        <v>0</v>
      </c>
      <c r="I2456" s="18">
        <f ca="1">((I2455 + G2456) - H2456)</f>
        <v>0</v>
      </c>
      <c r="J2456" s="18">
        <v>0</v>
      </c>
      <c r="K2456" s="19">
        <v>0</v>
      </c>
      <c r="L2456" s="17" t="s">
        <v>28</v>
      </c>
    </row>
    <row r="2457" ht="10.95" customHeight="true" customFormat="true" s="9">
      <c r="A2457" s="16">
        <v>45215</v>
      </c>
      <c r="B2457" s="17" t="s">
        <v>571</v>
      </c>
      <c r="C2457" s="17" t="s">
        <v>572</v>
      </c>
      <c r="D2457" s="17" t="s">
        <v>22</v>
      </c>
      <c r="E2457" s="17" t="s">
        <v>573</v>
      </c>
      <c r="F2457" s="17" t="s">
        <v>471</v>
      </c>
      <c r="G2457" s="18">
        <v>487.0000</v>
      </c>
      <c r="H2457" s="18">
        <v>0</v>
      </c>
      <c r="I2457" s="18">
        <f ca="1">((I2456 + G2457) - H2457)</f>
        <v>0</v>
      </c>
      <c r="J2457" s="18">
        <v>0</v>
      </c>
      <c r="K2457" s="19">
        <v>0</v>
      </c>
      <c r="L2457" s="17" t="s">
        <v>28</v>
      </c>
    </row>
    <row r="2458" ht="10.95" customHeight="true" customFormat="true" s="9">
      <c r="A2458" s="16">
        <v>45215</v>
      </c>
      <c r="B2458" s="17" t="s">
        <v>571</v>
      </c>
      <c r="C2458" s="17" t="s">
        <v>572</v>
      </c>
      <c r="D2458" s="17" t="s">
        <v>22</v>
      </c>
      <c r="E2458" s="17" t="s">
        <v>573</v>
      </c>
      <c r="F2458" s="17" t="s">
        <v>471</v>
      </c>
      <c r="G2458" s="18">
        <v>63.0000</v>
      </c>
      <c r="H2458" s="18">
        <v>0</v>
      </c>
      <c r="I2458" s="18">
        <f ca="1">((I2457 + G2458) - H2458)</f>
        <v>0</v>
      </c>
      <c r="J2458" s="18">
        <v>0</v>
      </c>
      <c r="K2458" s="19">
        <v>0</v>
      </c>
      <c r="L2458" s="17" t="s">
        <v>28</v>
      </c>
    </row>
    <row r="2459" ht="10.95" customHeight="true" customFormat="true" s="9">
      <c r="A2459" s="16">
        <v>45215</v>
      </c>
      <c r="B2459" s="17" t="s">
        <v>571</v>
      </c>
      <c r="C2459" s="17" t="s">
        <v>572</v>
      </c>
      <c r="D2459" s="17" t="s">
        <v>22</v>
      </c>
      <c r="E2459" s="17" t="s">
        <v>573</v>
      </c>
      <c r="F2459" s="17" t="s">
        <v>471</v>
      </c>
      <c r="G2459" s="18">
        <v>1342.9000</v>
      </c>
      <c r="H2459" s="18">
        <v>0</v>
      </c>
      <c r="I2459" s="18">
        <f ca="1">((I2458 + G2459) - H2459)</f>
        <v>0</v>
      </c>
      <c r="J2459" s="18">
        <v>0</v>
      </c>
      <c r="K2459" s="19">
        <v>0</v>
      </c>
      <c r="L2459" s="17" t="s">
        <v>28</v>
      </c>
    </row>
    <row r="2460" ht="10.95" customHeight="true" customFormat="true" s="9">
      <c r="A2460" s="16">
        <v>45215</v>
      </c>
      <c r="B2460" s="17" t="s">
        <v>571</v>
      </c>
      <c r="C2460" s="17" t="s">
        <v>572</v>
      </c>
      <c r="D2460" s="17" t="s">
        <v>22</v>
      </c>
      <c r="E2460" s="17" t="s">
        <v>573</v>
      </c>
      <c r="F2460" s="17" t="s">
        <v>471</v>
      </c>
      <c r="G2460" s="18">
        <v>674.5000</v>
      </c>
      <c r="H2460" s="18">
        <v>0</v>
      </c>
      <c r="I2460" s="18">
        <f ca="1">((I2459 + G2460) - H2460)</f>
        <v>0</v>
      </c>
      <c r="J2460" s="18">
        <v>0</v>
      </c>
      <c r="K2460" s="19">
        <v>0</v>
      </c>
      <c r="L2460" s="17" t="s">
        <v>28</v>
      </c>
    </row>
    <row r="2461" ht="10.95" customHeight="true" customFormat="true" s="9">
      <c r="A2461" s="16">
        <v>45215</v>
      </c>
      <c r="B2461" s="17" t="s">
        <v>571</v>
      </c>
      <c r="C2461" s="17" t="s">
        <v>572</v>
      </c>
      <c r="D2461" s="17" t="s">
        <v>22</v>
      </c>
      <c r="E2461" s="17" t="s">
        <v>573</v>
      </c>
      <c r="F2461" s="17" t="s">
        <v>471</v>
      </c>
      <c r="G2461" s="18">
        <v>69.0000</v>
      </c>
      <c r="H2461" s="18">
        <v>0</v>
      </c>
      <c r="I2461" s="18">
        <f ca="1">((I2460 + G2461) - H2461)</f>
        <v>0</v>
      </c>
      <c r="J2461" s="18">
        <v>0</v>
      </c>
      <c r="K2461" s="19">
        <v>0</v>
      </c>
      <c r="L2461" s="17" t="s">
        <v>28</v>
      </c>
    </row>
    <row r="2462" ht="10.95" customHeight="true" customFormat="true" s="9">
      <c r="A2462" s="16">
        <v>45215</v>
      </c>
      <c r="B2462" s="17" t="s">
        <v>571</v>
      </c>
      <c r="C2462" s="17" t="s">
        <v>572</v>
      </c>
      <c r="D2462" s="17" t="s">
        <v>333</v>
      </c>
      <c r="E2462" s="17" t="s">
        <v>574</v>
      </c>
      <c r="F2462" s="17" t="s">
        <v>350</v>
      </c>
      <c r="G2462" s="18">
        <v>0</v>
      </c>
      <c r="H2462" s="18">
        <v>5314.9000</v>
      </c>
      <c r="I2462" s="18">
        <f ca="1">((I2461 + G2462) - H2462)</f>
        <v>0</v>
      </c>
      <c r="J2462" s="18">
        <v>0</v>
      </c>
      <c r="K2462" s="19">
        <v>0</v>
      </c>
      <c r="L2462" s="17" t="s">
        <v>28</v>
      </c>
    </row>
    <row r="2463" ht="10.95" customHeight="true" customFormat="true" s="9">
      <c r="A2463" s="16">
        <v>45222</v>
      </c>
      <c r="B2463" s="17" t="s">
        <v>571</v>
      </c>
      <c r="C2463" s="17" t="s">
        <v>572</v>
      </c>
      <c r="D2463" s="17" t="s">
        <v>333</v>
      </c>
      <c r="E2463" s="17" t="s">
        <v>574</v>
      </c>
      <c r="F2463" s="17" t="s">
        <v>351</v>
      </c>
      <c r="G2463" s="18">
        <v>0</v>
      </c>
      <c r="H2463" s="18">
        <v>4855.4000</v>
      </c>
      <c r="I2463" s="18">
        <f ca="1">((I2462 + G2463) - H2463)</f>
        <v>0</v>
      </c>
      <c r="J2463" s="18">
        <v>0</v>
      </c>
      <c r="K2463" s="19">
        <v>0</v>
      </c>
      <c r="L2463" s="17" t="s">
        <v>28</v>
      </c>
    </row>
    <row r="2464" ht="10.95" customHeight="true" customFormat="true" s="9">
      <c r="A2464" s="16">
        <v>45222</v>
      </c>
      <c r="B2464" s="17" t="s">
        <v>571</v>
      </c>
      <c r="C2464" s="17" t="s">
        <v>572</v>
      </c>
      <c r="D2464" s="17" t="s">
        <v>22</v>
      </c>
      <c r="E2464" s="17" t="s">
        <v>573</v>
      </c>
      <c r="F2464" s="17" t="s">
        <v>473</v>
      </c>
      <c r="G2464" s="18">
        <v>674.5000</v>
      </c>
      <c r="H2464" s="18">
        <v>0</v>
      </c>
      <c r="I2464" s="18">
        <f ca="1">((I2463 + G2464) - H2464)</f>
        <v>0</v>
      </c>
      <c r="J2464" s="18">
        <v>0</v>
      </c>
      <c r="K2464" s="19">
        <v>0</v>
      </c>
      <c r="L2464" s="17" t="s">
        <v>28</v>
      </c>
    </row>
    <row r="2465" ht="10.95" customHeight="true" customFormat="true" s="9">
      <c r="A2465" s="16">
        <v>45222</v>
      </c>
      <c r="B2465" s="17" t="s">
        <v>571</v>
      </c>
      <c r="C2465" s="17" t="s">
        <v>572</v>
      </c>
      <c r="D2465" s="17" t="s">
        <v>22</v>
      </c>
      <c r="E2465" s="17" t="s">
        <v>573</v>
      </c>
      <c r="F2465" s="17" t="s">
        <v>473</v>
      </c>
      <c r="G2465" s="18">
        <v>138.0000</v>
      </c>
      <c r="H2465" s="18">
        <v>0</v>
      </c>
      <c r="I2465" s="18">
        <f ca="1">((I2464 + G2465) - H2465)</f>
        <v>0</v>
      </c>
      <c r="J2465" s="18">
        <v>0</v>
      </c>
      <c r="K2465" s="19">
        <v>0</v>
      </c>
      <c r="L2465" s="17" t="s">
        <v>28</v>
      </c>
    </row>
    <row r="2466" ht="10.95" customHeight="true" customFormat="true" s="9">
      <c r="A2466" s="16">
        <v>45222</v>
      </c>
      <c r="B2466" s="17" t="s">
        <v>571</v>
      </c>
      <c r="C2466" s="17" t="s">
        <v>572</v>
      </c>
      <c r="D2466" s="17" t="s">
        <v>22</v>
      </c>
      <c r="E2466" s="17" t="s">
        <v>573</v>
      </c>
      <c r="F2466" s="17" t="s">
        <v>473</v>
      </c>
      <c r="G2466" s="18">
        <v>63.0000</v>
      </c>
      <c r="H2466" s="18">
        <v>0</v>
      </c>
      <c r="I2466" s="18">
        <f ca="1">((I2465 + G2466) - H2466)</f>
        <v>0</v>
      </c>
      <c r="J2466" s="18">
        <v>0</v>
      </c>
      <c r="K2466" s="19">
        <v>0</v>
      </c>
      <c r="L2466" s="17" t="s">
        <v>28</v>
      </c>
    </row>
    <row r="2467" ht="10.95" customHeight="true" customFormat="true" s="9">
      <c r="A2467" s="16">
        <v>45222</v>
      </c>
      <c r="B2467" s="17" t="s">
        <v>571</v>
      </c>
      <c r="C2467" s="17" t="s">
        <v>572</v>
      </c>
      <c r="D2467" s="17" t="s">
        <v>22</v>
      </c>
      <c r="E2467" s="17" t="s">
        <v>573</v>
      </c>
      <c r="F2467" s="17" t="s">
        <v>473</v>
      </c>
      <c r="G2467" s="18">
        <v>1342.9000</v>
      </c>
      <c r="H2467" s="18">
        <v>0</v>
      </c>
      <c r="I2467" s="18">
        <f ca="1">((I2466 + G2467) - H2467)</f>
        <v>0</v>
      </c>
      <c r="J2467" s="18">
        <v>0</v>
      </c>
      <c r="K2467" s="19">
        <v>0</v>
      </c>
      <c r="L2467" s="17" t="s">
        <v>28</v>
      </c>
    </row>
    <row r="2468" ht="10.95" customHeight="true" customFormat="true" s="9">
      <c r="A2468" s="16">
        <v>45222</v>
      </c>
      <c r="B2468" s="17" t="s">
        <v>571</v>
      </c>
      <c r="C2468" s="17" t="s">
        <v>572</v>
      </c>
      <c r="D2468" s="17" t="s">
        <v>22</v>
      </c>
      <c r="E2468" s="17" t="s">
        <v>573</v>
      </c>
      <c r="F2468" s="17" t="s">
        <v>473</v>
      </c>
      <c r="G2468" s="18">
        <v>636.6500</v>
      </c>
      <c r="H2468" s="18">
        <v>0</v>
      </c>
      <c r="I2468" s="18">
        <f ca="1">((I2467 + G2468) - H2468)</f>
        <v>0</v>
      </c>
      <c r="J2468" s="18">
        <v>0</v>
      </c>
      <c r="K2468" s="19">
        <v>0</v>
      </c>
      <c r="L2468" s="17" t="s">
        <v>28</v>
      </c>
    </row>
    <row r="2469" ht="10.95" customHeight="true" customFormat="true" s="9">
      <c r="A2469" s="16">
        <v>45222</v>
      </c>
      <c r="B2469" s="17" t="s">
        <v>571</v>
      </c>
      <c r="C2469" s="17" t="s">
        <v>572</v>
      </c>
      <c r="D2469" s="17" t="s">
        <v>22</v>
      </c>
      <c r="E2469" s="17" t="s">
        <v>573</v>
      </c>
      <c r="F2469" s="17" t="s">
        <v>473</v>
      </c>
      <c r="G2469" s="18">
        <v>2000.0000</v>
      </c>
      <c r="H2469" s="18">
        <v>0</v>
      </c>
      <c r="I2469" s="18">
        <f ca="1">((I2468 + G2469) - H2469)</f>
        <v>0</v>
      </c>
      <c r="J2469" s="18">
        <v>0</v>
      </c>
      <c r="K2469" s="19">
        <v>0</v>
      </c>
      <c r="L2469" s="17" t="s">
        <v>28</v>
      </c>
    </row>
    <row r="2470" ht="10.95" customHeight="true" customFormat="true" s="9">
      <c r="A2470" s="16">
        <v>45229</v>
      </c>
      <c r="B2470" s="17" t="s">
        <v>571</v>
      </c>
      <c r="C2470" s="17" t="s">
        <v>572</v>
      </c>
      <c r="D2470" s="17" t="s">
        <v>22</v>
      </c>
      <c r="E2470" s="17" t="s">
        <v>573</v>
      </c>
      <c r="F2470" s="17" t="s">
        <v>475</v>
      </c>
      <c r="G2470" s="18">
        <v>1342.9000</v>
      </c>
      <c r="H2470" s="18">
        <v>0</v>
      </c>
      <c r="I2470" s="18">
        <f ca="1">((I2469 + G2470) - H2470)</f>
        <v>0</v>
      </c>
      <c r="J2470" s="18">
        <v>0</v>
      </c>
      <c r="K2470" s="19">
        <v>0</v>
      </c>
      <c r="L2470" s="17" t="s">
        <v>28</v>
      </c>
    </row>
    <row r="2471" ht="10.95" customHeight="true" customFormat="true" s="9">
      <c r="A2471" s="16">
        <v>45229</v>
      </c>
      <c r="B2471" s="17" t="s">
        <v>571</v>
      </c>
      <c r="C2471" s="17" t="s">
        <v>572</v>
      </c>
      <c r="D2471" s="17" t="s">
        <v>22</v>
      </c>
      <c r="E2471" s="17" t="s">
        <v>573</v>
      </c>
      <c r="F2471" s="17" t="s">
        <v>475</v>
      </c>
      <c r="G2471" s="18">
        <v>63.0000</v>
      </c>
      <c r="H2471" s="18">
        <v>0</v>
      </c>
      <c r="I2471" s="18">
        <f ca="1">((I2470 + G2471) - H2471)</f>
        <v>0</v>
      </c>
      <c r="J2471" s="18">
        <v>0</v>
      </c>
      <c r="K2471" s="19">
        <v>0</v>
      </c>
      <c r="L2471" s="17" t="s">
        <v>28</v>
      </c>
    </row>
    <row r="2472" ht="10.95" customHeight="true" customFormat="true" s="9">
      <c r="A2472" s="16">
        <v>45229</v>
      </c>
      <c r="B2472" s="17" t="s">
        <v>571</v>
      </c>
      <c r="C2472" s="17" t="s">
        <v>572</v>
      </c>
      <c r="D2472" s="17" t="s">
        <v>22</v>
      </c>
      <c r="E2472" s="17" t="s">
        <v>573</v>
      </c>
      <c r="F2472" s="17" t="s">
        <v>475</v>
      </c>
      <c r="G2472" s="18">
        <v>2000.0000</v>
      </c>
      <c r="H2472" s="18">
        <v>0</v>
      </c>
      <c r="I2472" s="18">
        <f ca="1">((I2471 + G2472) - H2472)</f>
        <v>0</v>
      </c>
      <c r="J2472" s="18">
        <v>0</v>
      </c>
      <c r="K2472" s="19">
        <v>0</v>
      </c>
      <c r="L2472" s="17" t="s">
        <v>28</v>
      </c>
    </row>
    <row r="2473" ht="10.95" customHeight="true" customFormat="true" s="9">
      <c r="A2473" s="16">
        <v>45229</v>
      </c>
      <c r="B2473" s="17" t="s">
        <v>571</v>
      </c>
      <c r="C2473" s="17" t="s">
        <v>572</v>
      </c>
      <c r="D2473" s="17" t="s">
        <v>22</v>
      </c>
      <c r="E2473" s="17" t="s">
        <v>573</v>
      </c>
      <c r="F2473" s="17" t="s">
        <v>475</v>
      </c>
      <c r="G2473" s="18">
        <v>674.5000</v>
      </c>
      <c r="H2473" s="18">
        <v>0</v>
      </c>
      <c r="I2473" s="18">
        <f ca="1">((I2472 + G2473) - H2473)</f>
        <v>0</v>
      </c>
      <c r="J2473" s="18">
        <v>0</v>
      </c>
      <c r="K2473" s="19">
        <v>0</v>
      </c>
      <c r="L2473" s="17" t="s">
        <v>28</v>
      </c>
    </row>
    <row r="2474" ht="10.95" customHeight="true" customFormat="true" s="9">
      <c r="A2474" s="16">
        <v>45229</v>
      </c>
      <c r="B2474" s="17" t="s">
        <v>571</v>
      </c>
      <c r="C2474" s="17" t="s">
        <v>572</v>
      </c>
      <c r="D2474" s="17" t="s">
        <v>22</v>
      </c>
      <c r="E2474" s="17" t="s">
        <v>573</v>
      </c>
      <c r="F2474" s="17" t="s">
        <v>475</v>
      </c>
      <c r="G2474" s="18">
        <v>678.7300</v>
      </c>
      <c r="H2474" s="18">
        <v>0</v>
      </c>
      <c r="I2474" s="18">
        <f ca="1">((I2473 + G2474) - H2474)</f>
        <v>0</v>
      </c>
      <c r="J2474" s="18">
        <v>0</v>
      </c>
      <c r="K2474" s="19">
        <v>0</v>
      </c>
      <c r="L2474" s="17" t="s">
        <v>28</v>
      </c>
    </row>
    <row r="2475" ht="10.95" customHeight="true" customFormat="true" s="9">
      <c r="A2475" s="16">
        <v>45229</v>
      </c>
      <c r="B2475" s="17" t="s">
        <v>571</v>
      </c>
      <c r="C2475" s="17" t="s">
        <v>572</v>
      </c>
      <c r="D2475" s="17" t="s">
        <v>22</v>
      </c>
      <c r="E2475" s="17" t="s">
        <v>573</v>
      </c>
      <c r="F2475" s="17" t="s">
        <v>475</v>
      </c>
      <c r="G2475" s="18">
        <v>69.0000</v>
      </c>
      <c r="H2475" s="18">
        <v>0</v>
      </c>
      <c r="I2475" s="18">
        <f ca="1">((I2474 + G2475) - H2475)</f>
        <v>0</v>
      </c>
      <c r="J2475" s="18">
        <v>0</v>
      </c>
      <c r="K2475" s="19">
        <v>0</v>
      </c>
      <c r="L2475" s="17" t="s">
        <v>28</v>
      </c>
    </row>
    <row r="2476" ht="10.95" customHeight="true" customFormat="true" s="9">
      <c r="A2476" s="16">
        <v>45229</v>
      </c>
      <c r="B2476" s="17" t="s">
        <v>571</v>
      </c>
      <c r="C2476" s="17" t="s">
        <v>572</v>
      </c>
      <c r="D2476" s="17" t="s">
        <v>333</v>
      </c>
      <c r="E2476" s="17" t="s">
        <v>574</v>
      </c>
      <c r="F2476" s="17" t="s">
        <v>352</v>
      </c>
      <c r="G2476" s="18">
        <v>0</v>
      </c>
      <c r="H2476" s="18">
        <v>4827.9000</v>
      </c>
      <c r="I2476" s="18">
        <f ca="1">((I2475 + G2476) - H2476)</f>
        <v>0</v>
      </c>
      <c r="J2476" s="18">
        <v>0</v>
      </c>
      <c r="K2476" s="19">
        <v>0</v>
      </c>
      <c r="L2476" s="17" t="s">
        <v>28</v>
      </c>
    </row>
    <row r="2477" ht="10.95" customHeight="true" customFormat="true" s="9">
      <c r="A2477" s="16">
        <v>45236</v>
      </c>
      <c r="B2477" s="17" t="s">
        <v>571</v>
      </c>
      <c r="C2477" s="17" t="s">
        <v>572</v>
      </c>
      <c r="D2477" s="17" t="s">
        <v>22</v>
      </c>
      <c r="E2477" s="17" t="s">
        <v>573</v>
      </c>
      <c r="F2477" s="17" t="s">
        <v>476</v>
      </c>
      <c r="G2477" s="18">
        <v>63.0000</v>
      </c>
      <c r="H2477" s="18">
        <v>0</v>
      </c>
      <c r="I2477" s="18">
        <f ca="1">((I2476 + G2477) - H2477)</f>
        <v>0</v>
      </c>
      <c r="J2477" s="18">
        <v>0</v>
      </c>
      <c r="K2477" s="19">
        <v>0</v>
      </c>
      <c r="L2477" s="17" t="s">
        <v>28</v>
      </c>
    </row>
    <row r="2478" ht="10.95" customHeight="true" customFormat="true" s="9">
      <c r="A2478" s="16">
        <v>45236</v>
      </c>
      <c r="B2478" s="17" t="s">
        <v>571</v>
      </c>
      <c r="C2478" s="17" t="s">
        <v>572</v>
      </c>
      <c r="D2478" s="17" t="s">
        <v>22</v>
      </c>
      <c r="E2478" s="17" t="s">
        <v>573</v>
      </c>
      <c r="F2478" s="17" t="s">
        <v>476</v>
      </c>
      <c r="G2478" s="18">
        <v>1342.9000</v>
      </c>
      <c r="H2478" s="18">
        <v>0</v>
      </c>
      <c r="I2478" s="18">
        <f ca="1">((I2477 + G2478) - H2478)</f>
        <v>0</v>
      </c>
      <c r="J2478" s="18">
        <v>0</v>
      </c>
      <c r="K2478" s="19">
        <v>0</v>
      </c>
      <c r="L2478" s="17" t="s">
        <v>28</v>
      </c>
    </row>
    <row r="2479" ht="10.95" customHeight="true" customFormat="true" s="9">
      <c r="A2479" s="16">
        <v>45236</v>
      </c>
      <c r="B2479" s="17" t="s">
        <v>571</v>
      </c>
      <c r="C2479" s="17" t="s">
        <v>572</v>
      </c>
      <c r="D2479" s="17" t="s">
        <v>22</v>
      </c>
      <c r="E2479" s="17" t="s">
        <v>573</v>
      </c>
      <c r="F2479" s="17" t="s">
        <v>476</v>
      </c>
      <c r="G2479" s="18">
        <v>487.0000</v>
      </c>
      <c r="H2479" s="18">
        <v>0</v>
      </c>
      <c r="I2479" s="18">
        <f ca="1">((I2478 + G2479) - H2479)</f>
        <v>0</v>
      </c>
      <c r="J2479" s="18">
        <v>0</v>
      </c>
      <c r="K2479" s="19">
        <v>0</v>
      </c>
      <c r="L2479" s="17" t="s">
        <v>28</v>
      </c>
    </row>
    <row r="2480" ht="10.95" customHeight="true" customFormat="true" s="9">
      <c r="A2480" s="16">
        <v>45236</v>
      </c>
      <c r="B2480" s="17" t="s">
        <v>571</v>
      </c>
      <c r="C2480" s="17" t="s">
        <v>572</v>
      </c>
      <c r="D2480" s="17" t="s">
        <v>22</v>
      </c>
      <c r="E2480" s="17" t="s">
        <v>573</v>
      </c>
      <c r="F2480" s="17" t="s">
        <v>476</v>
      </c>
      <c r="G2480" s="18">
        <v>636.6500</v>
      </c>
      <c r="H2480" s="18">
        <v>0</v>
      </c>
      <c r="I2480" s="18">
        <f ca="1">((I2479 + G2480) - H2480)</f>
        <v>0</v>
      </c>
      <c r="J2480" s="18">
        <v>0</v>
      </c>
      <c r="K2480" s="19">
        <v>0</v>
      </c>
      <c r="L2480" s="17" t="s">
        <v>28</v>
      </c>
    </row>
    <row r="2481" ht="10.95" customHeight="true" customFormat="true" s="9">
      <c r="A2481" s="16">
        <v>45236</v>
      </c>
      <c r="B2481" s="17" t="s">
        <v>571</v>
      </c>
      <c r="C2481" s="17" t="s">
        <v>572</v>
      </c>
      <c r="D2481" s="17" t="s">
        <v>22</v>
      </c>
      <c r="E2481" s="17" t="s">
        <v>573</v>
      </c>
      <c r="F2481" s="17" t="s">
        <v>476</v>
      </c>
      <c r="G2481" s="18">
        <v>138.0000</v>
      </c>
      <c r="H2481" s="18">
        <v>0</v>
      </c>
      <c r="I2481" s="18">
        <f ca="1">((I2480 + G2481) - H2481)</f>
        <v>0</v>
      </c>
      <c r="J2481" s="18">
        <v>0</v>
      </c>
      <c r="K2481" s="19">
        <v>0</v>
      </c>
      <c r="L2481" s="17" t="s">
        <v>28</v>
      </c>
    </row>
    <row r="2482" ht="10.95" customHeight="true" customFormat="true" s="9">
      <c r="A2482" s="16">
        <v>45236</v>
      </c>
      <c r="B2482" s="17" t="s">
        <v>571</v>
      </c>
      <c r="C2482" s="17" t="s">
        <v>572</v>
      </c>
      <c r="D2482" s="17" t="s">
        <v>22</v>
      </c>
      <c r="E2482" s="17" t="s">
        <v>573</v>
      </c>
      <c r="F2482" s="17" t="s">
        <v>476</v>
      </c>
      <c r="G2482" s="18">
        <v>674.5000</v>
      </c>
      <c r="H2482" s="18">
        <v>0</v>
      </c>
      <c r="I2482" s="18">
        <f ca="1">((I2481 + G2482) - H2482)</f>
        <v>0</v>
      </c>
      <c r="J2482" s="18">
        <v>0</v>
      </c>
      <c r="K2482" s="19">
        <v>0</v>
      </c>
      <c r="L2482" s="17" t="s">
        <v>28</v>
      </c>
    </row>
    <row r="2483" ht="10.95" customHeight="true" customFormat="true" s="9">
      <c r="A2483" s="16">
        <v>45236</v>
      </c>
      <c r="B2483" s="17" t="s">
        <v>571</v>
      </c>
      <c r="C2483" s="17" t="s">
        <v>572</v>
      </c>
      <c r="D2483" s="17" t="s">
        <v>22</v>
      </c>
      <c r="E2483" s="17" t="s">
        <v>573</v>
      </c>
      <c r="F2483" s="17" t="s">
        <v>476</v>
      </c>
      <c r="G2483" s="18">
        <v>2000.0000</v>
      </c>
      <c r="H2483" s="18">
        <v>0</v>
      </c>
      <c r="I2483" s="18">
        <f ca="1">((I2482 + G2483) - H2483)</f>
        <v>0</v>
      </c>
      <c r="J2483" s="18">
        <v>0</v>
      </c>
      <c r="K2483" s="19">
        <v>0</v>
      </c>
      <c r="L2483" s="17" t="s">
        <v>28</v>
      </c>
    </row>
    <row r="2484" ht="10.95" customHeight="true" customFormat="true" s="9">
      <c r="A2484" s="16">
        <v>45236</v>
      </c>
      <c r="B2484" s="17" t="s">
        <v>571</v>
      </c>
      <c r="C2484" s="17" t="s">
        <v>572</v>
      </c>
      <c r="D2484" s="17" t="s">
        <v>333</v>
      </c>
      <c r="E2484" s="17" t="s">
        <v>574</v>
      </c>
      <c r="F2484" s="17" t="s">
        <v>353</v>
      </c>
      <c r="G2484" s="18">
        <v>0</v>
      </c>
      <c r="H2484" s="18">
        <v>5342.4000</v>
      </c>
      <c r="I2484" s="18">
        <f ca="1">((I2483 + G2484) - H2484)</f>
        <v>0</v>
      </c>
      <c r="J2484" s="18">
        <v>0</v>
      </c>
      <c r="K2484" s="19">
        <v>0</v>
      </c>
      <c r="L2484" s="17" t="s">
        <v>28</v>
      </c>
    </row>
    <row r="2485" ht="10.95" customHeight="true" customFormat="true" s="9">
      <c r="A2485" s="16">
        <v>45243</v>
      </c>
      <c r="B2485" s="17" t="s">
        <v>571</v>
      </c>
      <c r="C2485" s="17" t="s">
        <v>572</v>
      </c>
      <c r="D2485" s="17" t="s">
        <v>333</v>
      </c>
      <c r="E2485" s="17" t="s">
        <v>574</v>
      </c>
      <c r="F2485" s="17" t="s">
        <v>354</v>
      </c>
      <c r="G2485" s="18">
        <v>0</v>
      </c>
      <c r="H2485" s="18">
        <v>5370.9000</v>
      </c>
      <c r="I2485" s="18">
        <f ca="1">((I2484 + G2485) - H2485)</f>
        <v>0</v>
      </c>
      <c r="J2485" s="18">
        <v>0</v>
      </c>
      <c r="K2485" s="19">
        <v>0</v>
      </c>
      <c r="L2485" s="17" t="s">
        <v>28</v>
      </c>
    </row>
    <row r="2486" ht="10.95" customHeight="true" customFormat="true" s="9">
      <c r="A2486" s="16">
        <v>45243</v>
      </c>
      <c r="B2486" s="17" t="s">
        <v>571</v>
      </c>
      <c r="C2486" s="17" t="s">
        <v>572</v>
      </c>
      <c r="D2486" s="17" t="s">
        <v>22</v>
      </c>
      <c r="E2486" s="17" t="s">
        <v>573</v>
      </c>
      <c r="F2486" s="17" t="s">
        <v>477</v>
      </c>
      <c r="G2486" s="18">
        <v>734.8300</v>
      </c>
      <c r="H2486" s="18">
        <v>0</v>
      </c>
      <c r="I2486" s="18">
        <f ca="1">((I2485 + G2486) - H2486)</f>
        <v>0</v>
      </c>
      <c r="J2486" s="18">
        <v>0</v>
      </c>
      <c r="K2486" s="19">
        <v>0</v>
      </c>
      <c r="L2486" s="17" t="s">
        <v>28</v>
      </c>
    </row>
    <row r="2487" ht="10.95" customHeight="true" customFormat="true" s="9">
      <c r="A2487" s="16">
        <v>45243</v>
      </c>
      <c r="B2487" s="17" t="s">
        <v>571</v>
      </c>
      <c r="C2487" s="17" t="s">
        <v>572</v>
      </c>
      <c r="D2487" s="17" t="s">
        <v>22</v>
      </c>
      <c r="E2487" s="17" t="s">
        <v>573</v>
      </c>
      <c r="F2487" s="17" t="s">
        <v>477</v>
      </c>
      <c r="G2487" s="18">
        <v>674.5000</v>
      </c>
      <c r="H2487" s="18">
        <v>0</v>
      </c>
      <c r="I2487" s="18">
        <f ca="1">((I2486 + G2487) - H2487)</f>
        <v>0</v>
      </c>
      <c r="J2487" s="18">
        <v>0</v>
      </c>
      <c r="K2487" s="19">
        <v>0</v>
      </c>
      <c r="L2487" s="17" t="s">
        <v>28</v>
      </c>
    </row>
    <row r="2488" ht="10.95" customHeight="true" customFormat="true" s="9">
      <c r="A2488" s="16">
        <v>45243</v>
      </c>
      <c r="B2488" s="17" t="s">
        <v>571</v>
      </c>
      <c r="C2488" s="17" t="s">
        <v>572</v>
      </c>
      <c r="D2488" s="17" t="s">
        <v>22</v>
      </c>
      <c r="E2488" s="17" t="s">
        <v>573</v>
      </c>
      <c r="F2488" s="17" t="s">
        <v>477</v>
      </c>
      <c r="G2488" s="18">
        <v>2000.0000</v>
      </c>
      <c r="H2488" s="18">
        <v>0</v>
      </c>
      <c r="I2488" s="18">
        <f ca="1">((I2487 + G2488) - H2488)</f>
        <v>0</v>
      </c>
      <c r="J2488" s="18">
        <v>0</v>
      </c>
      <c r="K2488" s="19">
        <v>0</v>
      </c>
      <c r="L2488" s="17" t="s">
        <v>28</v>
      </c>
    </row>
    <row r="2489" ht="10.95" customHeight="true" customFormat="true" s="9">
      <c r="A2489" s="16">
        <v>45243</v>
      </c>
      <c r="B2489" s="17" t="s">
        <v>571</v>
      </c>
      <c r="C2489" s="17" t="s">
        <v>572</v>
      </c>
      <c r="D2489" s="17" t="s">
        <v>22</v>
      </c>
      <c r="E2489" s="17" t="s">
        <v>573</v>
      </c>
      <c r="F2489" s="17" t="s">
        <v>477</v>
      </c>
      <c r="G2489" s="18">
        <v>1342.9000</v>
      </c>
      <c r="H2489" s="18">
        <v>0</v>
      </c>
      <c r="I2489" s="18">
        <f ca="1">((I2488 + G2489) - H2489)</f>
        <v>0</v>
      </c>
      <c r="J2489" s="18">
        <v>0</v>
      </c>
      <c r="K2489" s="19">
        <v>0</v>
      </c>
      <c r="L2489" s="17" t="s">
        <v>28</v>
      </c>
    </row>
    <row r="2490" ht="10.95" customHeight="true" customFormat="true" s="9">
      <c r="A2490" s="16">
        <v>45243</v>
      </c>
      <c r="B2490" s="17" t="s">
        <v>571</v>
      </c>
      <c r="C2490" s="17" t="s">
        <v>572</v>
      </c>
      <c r="D2490" s="17" t="s">
        <v>22</v>
      </c>
      <c r="E2490" s="17" t="s">
        <v>573</v>
      </c>
      <c r="F2490" s="17" t="s">
        <v>477</v>
      </c>
      <c r="G2490" s="18">
        <v>69.0000</v>
      </c>
      <c r="H2490" s="18">
        <v>0</v>
      </c>
      <c r="I2490" s="18">
        <f ca="1">((I2489 + G2490) - H2490)</f>
        <v>0</v>
      </c>
      <c r="J2490" s="18">
        <v>0</v>
      </c>
      <c r="K2490" s="19">
        <v>0</v>
      </c>
      <c r="L2490" s="17" t="s">
        <v>28</v>
      </c>
    </row>
    <row r="2491" ht="10.95" customHeight="true" customFormat="true" s="9">
      <c r="A2491" s="16">
        <v>45243</v>
      </c>
      <c r="B2491" s="17" t="s">
        <v>571</v>
      </c>
      <c r="C2491" s="17" t="s">
        <v>572</v>
      </c>
      <c r="D2491" s="17" t="s">
        <v>22</v>
      </c>
      <c r="E2491" s="17" t="s">
        <v>573</v>
      </c>
      <c r="F2491" s="17" t="s">
        <v>477</v>
      </c>
      <c r="G2491" s="18">
        <v>63.0000</v>
      </c>
      <c r="H2491" s="18">
        <v>0</v>
      </c>
      <c r="I2491" s="18">
        <f ca="1">((I2490 + G2491) - H2491)</f>
        <v>0</v>
      </c>
      <c r="J2491" s="18">
        <v>0</v>
      </c>
      <c r="K2491" s="19">
        <v>0</v>
      </c>
      <c r="L2491" s="17" t="s">
        <v>28</v>
      </c>
    </row>
    <row r="2492" ht="10.95" customHeight="true" customFormat="true" s="9">
      <c r="A2492" s="16">
        <v>45243</v>
      </c>
      <c r="B2492" s="17" t="s">
        <v>571</v>
      </c>
      <c r="C2492" s="17" t="s">
        <v>572</v>
      </c>
      <c r="D2492" s="17" t="s">
        <v>22</v>
      </c>
      <c r="E2492" s="17" t="s">
        <v>573</v>
      </c>
      <c r="F2492" s="17" t="s">
        <v>477</v>
      </c>
      <c r="G2492" s="18">
        <v>487.0000</v>
      </c>
      <c r="H2492" s="18">
        <v>0</v>
      </c>
      <c r="I2492" s="18">
        <f ca="1">((I2491 + G2492) - H2492)</f>
        <v>0</v>
      </c>
      <c r="J2492" s="18">
        <v>0</v>
      </c>
      <c r="K2492" s="19">
        <v>0</v>
      </c>
      <c r="L2492" s="17" t="s">
        <v>28</v>
      </c>
    </row>
    <row r="2493" ht="10.95" customHeight="true" customFormat="true" s="9">
      <c r="A2493" s="16">
        <v>45250</v>
      </c>
      <c r="B2493" s="17" t="s">
        <v>571</v>
      </c>
      <c r="C2493" s="17" t="s">
        <v>572</v>
      </c>
      <c r="D2493" s="17" t="s">
        <v>333</v>
      </c>
      <c r="E2493" s="17" t="s">
        <v>574</v>
      </c>
      <c r="F2493" s="17" t="s">
        <v>355</v>
      </c>
      <c r="G2493" s="18">
        <v>0</v>
      </c>
      <c r="H2493" s="18">
        <v>4855.4000</v>
      </c>
      <c r="I2493" s="18">
        <f ca="1">((I2492 + G2493) - H2493)</f>
        <v>0</v>
      </c>
      <c r="J2493" s="18">
        <v>0</v>
      </c>
      <c r="K2493" s="19">
        <v>0</v>
      </c>
      <c r="L2493" s="17" t="s">
        <v>28</v>
      </c>
    </row>
    <row r="2494" ht="10.95" customHeight="true" customFormat="true" s="9">
      <c r="A2494" s="16">
        <v>45250</v>
      </c>
      <c r="B2494" s="17" t="s">
        <v>571</v>
      </c>
      <c r="C2494" s="17" t="s">
        <v>572</v>
      </c>
      <c r="D2494" s="17" t="s">
        <v>22</v>
      </c>
      <c r="E2494" s="17" t="s">
        <v>573</v>
      </c>
      <c r="F2494" s="17" t="s">
        <v>480</v>
      </c>
      <c r="G2494" s="18">
        <v>1342.9000</v>
      </c>
      <c r="H2494" s="18">
        <v>0</v>
      </c>
      <c r="I2494" s="18">
        <f ca="1">((I2493 + G2494) - H2494)</f>
        <v>0</v>
      </c>
      <c r="J2494" s="18">
        <v>0</v>
      </c>
      <c r="K2494" s="19">
        <v>0</v>
      </c>
      <c r="L2494" s="17" t="s">
        <v>28</v>
      </c>
    </row>
    <row r="2495" ht="10.95" customHeight="true" customFormat="true" s="9">
      <c r="A2495" s="16">
        <v>45250</v>
      </c>
      <c r="B2495" s="17" t="s">
        <v>571</v>
      </c>
      <c r="C2495" s="17" t="s">
        <v>572</v>
      </c>
      <c r="D2495" s="17" t="s">
        <v>22</v>
      </c>
      <c r="E2495" s="17" t="s">
        <v>573</v>
      </c>
      <c r="F2495" s="17" t="s">
        <v>480</v>
      </c>
      <c r="G2495" s="18">
        <v>674.5000</v>
      </c>
      <c r="H2495" s="18">
        <v>0</v>
      </c>
      <c r="I2495" s="18">
        <f ca="1">((I2494 + G2495) - H2495)</f>
        <v>0</v>
      </c>
      <c r="J2495" s="18">
        <v>0</v>
      </c>
      <c r="K2495" s="19">
        <v>0</v>
      </c>
      <c r="L2495" s="17" t="s">
        <v>28</v>
      </c>
    </row>
    <row r="2496" ht="10.95" customHeight="true" customFormat="true" s="9">
      <c r="A2496" s="16">
        <v>45250</v>
      </c>
      <c r="B2496" s="17" t="s">
        <v>571</v>
      </c>
      <c r="C2496" s="17" t="s">
        <v>572</v>
      </c>
      <c r="D2496" s="17" t="s">
        <v>22</v>
      </c>
      <c r="E2496" s="17" t="s">
        <v>573</v>
      </c>
      <c r="F2496" s="17" t="s">
        <v>480</v>
      </c>
      <c r="G2496" s="18">
        <v>63.0000</v>
      </c>
      <c r="H2496" s="18">
        <v>0</v>
      </c>
      <c r="I2496" s="18">
        <f ca="1">((I2495 + G2496) - H2496)</f>
        <v>0</v>
      </c>
      <c r="J2496" s="18">
        <v>0</v>
      </c>
      <c r="K2496" s="19">
        <v>0</v>
      </c>
      <c r="L2496" s="17" t="s">
        <v>28</v>
      </c>
    </row>
    <row r="2497" ht="10.95" customHeight="true" customFormat="true" s="9">
      <c r="A2497" s="16">
        <v>45250</v>
      </c>
      <c r="B2497" s="17" t="s">
        <v>571</v>
      </c>
      <c r="C2497" s="17" t="s">
        <v>572</v>
      </c>
      <c r="D2497" s="17" t="s">
        <v>22</v>
      </c>
      <c r="E2497" s="17" t="s">
        <v>573</v>
      </c>
      <c r="F2497" s="17" t="s">
        <v>480</v>
      </c>
      <c r="G2497" s="18">
        <v>636.6500</v>
      </c>
      <c r="H2497" s="18">
        <v>0</v>
      </c>
      <c r="I2497" s="18">
        <f ca="1">((I2496 + G2497) - H2497)</f>
        <v>0</v>
      </c>
      <c r="J2497" s="18">
        <v>0</v>
      </c>
      <c r="K2497" s="19">
        <v>0</v>
      </c>
      <c r="L2497" s="17" t="s">
        <v>28</v>
      </c>
    </row>
    <row r="2498" ht="10.95" customHeight="true" customFormat="true" s="9">
      <c r="A2498" s="16">
        <v>45250</v>
      </c>
      <c r="B2498" s="17" t="s">
        <v>571</v>
      </c>
      <c r="C2498" s="17" t="s">
        <v>572</v>
      </c>
      <c r="D2498" s="17" t="s">
        <v>22</v>
      </c>
      <c r="E2498" s="17" t="s">
        <v>573</v>
      </c>
      <c r="F2498" s="17" t="s">
        <v>480</v>
      </c>
      <c r="G2498" s="18">
        <v>138.0000</v>
      </c>
      <c r="H2498" s="18">
        <v>0</v>
      </c>
      <c r="I2498" s="18">
        <f ca="1">((I2497 + G2498) - H2498)</f>
        <v>0</v>
      </c>
      <c r="J2498" s="18">
        <v>0</v>
      </c>
      <c r="K2498" s="19">
        <v>0</v>
      </c>
      <c r="L2498" s="17" t="s">
        <v>28</v>
      </c>
    </row>
    <row r="2499" ht="10.95" customHeight="true" customFormat="true" s="9">
      <c r="A2499" s="16">
        <v>45250</v>
      </c>
      <c r="B2499" s="17" t="s">
        <v>571</v>
      </c>
      <c r="C2499" s="17" t="s">
        <v>572</v>
      </c>
      <c r="D2499" s="17" t="s">
        <v>22</v>
      </c>
      <c r="E2499" s="17" t="s">
        <v>573</v>
      </c>
      <c r="F2499" s="17" t="s">
        <v>480</v>
      </c>
      <c r="G2499" s="18">
        <v>2000.0000</v>
      </c>
      <c r="H2499" s="18">
        <v>0</v>
      </c>
      <c r="I2499" s="18">
        <f ca="1">((I2498 + G2499) - H2499)</f>
        <v>0</v>
      </c>
      <c r="J2499" s="18">
        <v>0</v>
      </c>
      <c r="K2499" s="19">
        <v>0</v>
      </c>
      <c r="L2499" s="17" t="s">
        <v>28</v>
      </c>
    </row>
    <row r="2500" ht="10.95" customHeight="true" customFormat="true" s="9">
      <c r="A2500" s="16">
        <v>45257</v>
      </c>
      <c r="B2500" s="17" t="s">
        <v>571</v>
      </c>
      <c r="C2500" s="17" t="s">
        <v>572</v>
      </c>
      <c r="D2500" s="17" t="s">
        <v>333</v>
      </c>
      <c r="E2500" s="17" t="s">
        <v>574</v>
      </c>
      <c r="F2500" s="17" t="s">
        <v>356</v>
      </c>
      <c r="G2500" s="18">
        <v>0</v>
      </c>
      <c r="H2500" s="18">
        <v>5022.9000</v>
      </c>
      <c r="I2500" s="18">
        <f ca="1">((I2499 + G2500) - H2500)</f>
        <v>0</v>
      </c>
      <c r="J2500" s="18">
        <v>0</v>
      </c>
      <c r="K2500" s="19">
        <v>0</v>
      </c>
      <c r="L2500" s="17" t="s">
        <v>28</v>
      </c>
    </row>
    <row r="2501" ht="10.95" customHeight="true" customFormat="true" s="9">
      <c r="A2501" s="16">
        <v>45257</v>
      </c>
      <c r="B2501" s="17" t="s">
        <v>571</v>
      </c>
      <c r="C2501" s="17" t="s">
        <v>572</v>
      </c>
      <c r="D2501" s="17" t="s">
        <v>22</v>
      </c>
      <c r="E2501" s="17" t="s">
        <v>573</v>
      </c>
      <c r="F2501" s="17" t="s">
        <v>481</v>
      </c>
      <c r="G2501" s="18">
        <v>1342.9000</v>
      </c>
      <c r="H2501" s="18">
        <v>0</v>
      </c>
      <c r="I2501" s="18">
        <f ca="1">((I2500 + G2501) - H2501)</f>
        <v>0</v>
      </c>
      <c r="J2501" s="18">
        <v>0</v>
      </c>
      <c r="K2501" s="19">
        <v>0</v>
      </c>
      <c r="L2501" s="17" t="s">
        <v>28</v>
      </c>
    </row>
    <row r="2502" ht="10.95" customHeight="true" customFormat="true" s="9">
      <c r="A2502" s="16">
        <v>45257</v>
      </c>
      <c r="B2502" s="17" t="s">
        <v>571</v>
      </c>
      <c r="C2502" s="17" t="s">
        <v>572</v>
      </c>
      <c r="D2502" s="17" t="s">
        <v>22</v>
      </c>
      <c r="E2502" s="17" t="s">
        <v>573</v>
      </c>
      <c r="F2502" s="17" t="s">
        <v>481</v>
      </c>
      <c r="G2502" s="18">
        <v>264.0000</v>
      </c>
      <c r="H2502" s="18">
        <v>0</v>
      </c>
      <c r="I2502" s="18">
        <f ca="1">((I2501 + G2502) - H2502)</f>
        <v>0</v>
      </c>
      <c r="J2502" s="18">
        <v>0</v>
      </c>
      <c r="K2502" s="19">
        <v>0</v>
      </c>
      <c r="L2502" s="17" t="s">
        <v>28</v>
      </c>
    </row>
    <row r="2503" ht="10.95" customHeight="true" customFormat="true" s="9">
      <c r="A2503" s="16">
        <v>45257</v>
      </c>
      <c r="B2503" s="17" t="s">
        <v>571</v>
      </c>
      <c r="C2503" s="17" t="s">
        <v>572</v>
      </c>
      <c r="D2503" s="17" t="s">
        <v>22</v>
      </c>
      <c r="E2503" s="17" t="s">
        <v>573</v>
      </c>
      <c r="F2503" s="17" t="s">
        <v>481</v>
      </c>
      <c r="G2503" s="18">
        <v>63.0000</v>
      </c>
      <c r="H2503" s="18">
        <v>0</v>
      </c>
      <c r="I2503" s="18">
        <f ca="1">((I2502 + G2503) - H2503)</f>
        <v>0</v>
      </c>
      <c r="J2503" s="18">
        <v>0</v>
      </c>
      <c r="K2503" s="19">
        <v>0</v>
      </c>
      <c r="L2503" s="17" t="s">
        <v>28</v>
      </c>
    </row>
    <row r="2504" ht="10.95" customHeight="true" customFormat="true" s="9">
      <c r="A2504" s="16">
        <v>45257</v>
      </c>
      <c r="B2504" s="17" t="s">
        <v>571</v>
      </c>
      <c r="C2504" s="17" t="s">
        <v>572</v>
      </c>
      <c r="D2504" s="17" t="s">
        <v>22</v>
      </c>
      <c r="E2504" s="17" t="s">
        <v>573</v>
      </c>
      <c r="F2504" s="17" t="s">
        <v>481</v>
      </c>
      <c r="G2504" s="18">
        <v>2000.0000</v>
      </c>
      <c r="H2504" s="18">
        <v>0</v>
      </c>
      <c r="I2504" s="18">
        <f ca="1">((I2503 + G2504) - H2504)</f>
        <v>0</v>
      </c>
      <c r="J2504" s="18">
        <v>0</v>
      </c>
      <c r="K2504" s="19">
        <v>0</v>
      </c>
      <c r="L2504" s="17" t="s">
        <v>28</v>
      </c>
    </row>
    <row r="2505" ht="10.95" customHeight="true" customFormat="true" s="9">
      <c r="A2505" s="16">
        <v>45257</v>
      </c>
      <c r="B2505" s="17" t="s">
        <v>571</v>
      </c>
      <c r="C2505" s="17" t="s">
        <v>572</v>
      </c>
      <c r="D2505" s="17" t="s">
        <v>22</v>
      </c>
      <c r="E2505" s="17" t="s">
        <v>573</v>
      </c>
      <c r="F2505" s="17" t="s">
        <v>481</v>
      </c>
      <c r="G2505" s="18">
        <v>674.5000</v>
      </c>
      <c r="H2505" s="18">
        <v>0</v>
      </c>
      <c r="I2505" s="18">
        <f ca="1">((I2504 + G2505) - H2505)</f>
        <v>0</v>
      </c>
      <c r="J2505" s="18">
        <v>0</v>
      </c>
      <c r="K2505" s="19">
        <v>0</v>
      </c>
      <c r="L2505" s="17" t="s">
        <v>28</v>
      </c>
    </row>
    <row r="2506" ht="10.95" customHeight="true" customFormat="true" s="9">
      <c r="A2506" s="16">
        <v>45257</v>
      </c>
      <c r="B2506" s="17" t="s">
        <v>571</v>
      </c>
      <c r="C2506" s="17" t="s">
        <v>572</v>
      </c>
      <c r="D2506" s="17" t="s">
        <v>22</v>
      </c>
      <c r="E2506" s="17" t="s">
        <v>573</v>
      </c>
      <c r="F2506" s="17" t="s">
        <v>481</v>
      </c>
      <c r="G2506" s="18">
        <v>678.7300</v>
      </c>
      <c r="H2506" s="18">
        <v>0</v>
      </c>
      <c r="I2506" s="18">
        <f ca="1">((I2505 + G2506) - H2506)</f>
        <v>0</v>
      </c>
      <c r="J2506" s="18">
        <v>0</v>
      </c>
      <c r="K2506" s="19">
        <v>0</v>
      </c>
      <c r="L2506" s="17" t="s">
        <v>28</v>
      </c>
    </row>
    <row r="2507" ht="10.95" customHeight="true" customFormat="true" s="9">
      <c r="A2507" s="16">
        <v>45264</v>
      </c>
      <c r="B2507" s="17" t="s">
        <v>571</v>
      </c>
      <c r="C2507" s="17" t="s">
        <v>572</v>
      </c>
      <c r="D2507" s="17" t="s">
        <v>333</v>
      </c>
      <c r="E2507" s="17" t="s">
        <v>574</v>
      </c>
      <c r="F2507" s="17" t="s">
        <v>357</v>
      </c>
      <c r="G2507" s="18">
        <v>0</v>
      </c>
      <c r="H2507" s="18">
        <v>5343.4000</v>
      </c>
      <c r="I2507" s="18">
        <f ca="1">((I2506 + G2507) - H2507)</f>
        <v>0</v>
      </c>
      <c r="J2507" s="18">
        <v>0</v>
      </c>
      <c r="K2507" s="19">
        <v>0</v>
      </c>
      <c r="L2507" s="17" t="s">
        <v>28</v>
      </c>
    </row>
    <row r="2508" ht="10.95" customHeight="true" customFormat="true" s="9">
      <c r="A2508" s="16">
        <v>45264</v>
      </c>
      <c r="B2508" s="17" t="s">
        <v>571</v>
      </c>
      <c r="C2508" s="17" t="s">
        <v>572</v>
      </c>
      <c r="D2508" s="17" t="s">
        <v>22</v>
      </c>
      <c r="E2508" s="17" t="s">
        <v>573</v>
      </c>
      <c r="F2508" s="17" t="s">
        <v>483</v>
      </c>
      <c r="G2508" s="18">
        <v>138.0000</v>
      </c>
      <c r="H2508" s="18">
        <v>0</v>
      </c>
      <c r="I2508" s="18">
        <f ca="1">((I2507 + G2508) - H2508)</f>
        <v>0</v>
      </c>
      <c r="J2508" s="18">
        <v>0</v>
      </c>
      <c r="K2508" s="19">
        <v>0</v>
      </c>
      <c r="L2508" s="17" t="s">
        <v>28</v>
      </c>
    </row>
    <row r="2509" ht="10.95" customHeight="true" customFormat="true" s="9">
      <c r="A2509" s="16">
        <v>45264</v>
      </c>
      <c r="B2509" s="17" t="s">
        <v>571</v>
      </c>
      <c r="C2509" s="17" t="s">
        <v>572</v>
      </c>
      <c r="D2509" s="17" t="s">
        <v>22</v>
      </c>
      <c r="E2509" s="17" t="s">
        <v>573</v>
      </c>
      <c r="F2509" s="17" t="s">
        <v>483</v>
      </c>
      <c r="G2509" s="18">
        <v>654.5000</v>
      </c>
      <c r="H2509" s="18">
        <v>0</v>
      </c>
      <c r="I2509" s="18">
        <f ca="1">((I2508 + G2509) - H2509)</f>
        <v>0</v>
      </c>
      <c r="J2509" s="18">
        <v>0</v>
      </c>
      <c r="K2509" s="19">
        <v>0</v>
      </c>
      <c r="L2509" s="17" t="s">
        <v>28</v>
      </c>
    </row>
    <row r="2510" ht="10.95" customHeight="true" customFormat="true" s="9">
      <c r="A2510" s="16">
        <v>45264</v>
      </c>
      <c r="B2510" s="17" t="s">
        <v>571</v>
      </c>
      <c r="C2510" s="17" t="s">
        <v>572</v>
      </c>
      <c r="D2510" s="17" t="s">
        <v>22</v>
      </c>
      <c r="E2510" s="17" t="s">
        <v>573</v>
      </c>
      <c r="F2510" s="17" t="s">
        <v>483</v>
      </c>
      <c r="G2510" s="18">
        <v>2000.0000</v>
      </c>
      <c r="H2510" s="18">
        <v>0</v>
      </c>
      <c r="I2510" s="18">
        <f ca="1">((I2509 + G2510) - H2510)</f>
        <v>0</v>
      </c>
      <c r="J2510" s="18">
        <v>0</v>
      </c>
      <c r="K2510" s="19">
        <v>0</v>
      </c>
      <c r="L2510" s="17" t="s">
        <v>28</v>
      </c>
    </row>
    <row r="2511" ht="10.95" customHeight="true" customFormat="true" s="9">
      <c r="A2511" s="16">
        <v>45264</v>
      </c>
      <c r="B2511" s="17" t="s">
        <v>571</v>
      </c>
      <c r="C2511" s="17" t="s">
        <v>572</v>
      </c>
      <c r="D2511" s="17" t="s">
        <v>22</v>
      </c>
      <c r="E2511" s="17" t="s">
        <v>573</v>
      </c>
      <c r="F2511" s="17" t="s">
        <v>483</v>
      </c>
      <c r="G2511" s="18">
        <v>1342.9000</v>
      </c>
      <c r="H2511" s="18">
        <v>0</v>
      </c>
      <c r="I2511" s="18">
        <f ca="1">((I2510 + G2511) - H2511)</f>
        <v>0</v>
      </c>
      <c r="J2511" s="18">
        <v>0</v>
      </c>
      <c r="K2511" s="19">
        <v>0</v>
      </c>
      <c r="L2511" s="17" t="s">
        <v>28</v>
      </c>
    </row>
    <row r="2512" ht="10.95" customHeight="true" customFormat="true" s="9">
      <c r="A2512" s="16">
        <v>45264</v>
      </c>
      <c r="B2512" s="17" t="s">
        <v>571</v>
      </c>
      <c r="C2512" s="17" t="s">
        <v>572</v>
      </c>
      <c r="D2512" s="17" t="s">
        <v>22</v>
      </c>
      <c r="E2512" s="17" t="s">
        <v>573</v>
      </c>
      <c r="F2512" s="17" t="s">
        <v>483</v>
      </c>
      <c r="G2512" s="18">
        <v>720.8000</v>
      </c>
      <c r="H2512" s="18">
        <v>0</v>
      </c>
      <c r="I2512" s="18">
        <f ca="1">((I2511 + G2512) - H2512)</f>
        <v>0</v>
      </c>
      <c r="J2512" s="18">
        <v>0</v>
      </c>
      <c r="K2512" s="19">
        <v>0</v>
      </c>
      <c r="L2512" s="17" t="s">
        <v>28</v>
      </c>
    </row>
    <row r="2513" ht="10.95" customHeight="true" customFormat="true" s="9">
      <c r="A2513" s="16">
        <v>45264</v>
      </c>
      <c r="B2513" s="17" t="s">
        <v>571</v>
      </c>
      <c r="C2513" s="17" t="s">
        <v>572</v>
      </c>
      <c r="D2513" s="17" t="s">
        <v>22</v>
      </c>
      <c r="E2513" s="17" t="s">
        <v>573</v>
      </c>
      <c r="F2513" s="17" t="s">
        <v>483</v>
      </c>
      <c r="G2513" s="18">
        <v>487.0000</v>
      </c>
      <c r="H2513" s="18">
        <v>0</v>
      </c>
      <c r="I2513" s="18">
        <f ca="1">((I2512 + G2513) - H2513)</f>
        <v>0</v>
      </c>
      <c r="J2513" s="18">
        <v>0</v>
      </c>
      <c r="K2513" s="19">
        <v>0</v>
      </c>
      <c r="L2513" s="17" t="s">
        <v>28</v>
      </c>
    </row>
    <row r="2514" ht="10.95" customHeight="true" customFormat="true" s="9">
      <c r="A2514" s="16">
        <v>45264</v>
      </c>
      <c r="B2514" s="17" t="s">
        <v>571</v>
      </c>
      <c r="C2514" s="17" t="s">
        <v>572</v>
      </c>
      <c r="D2514" s="17" t="s">
        <v>22</v>
      </c>
      <c r="E2514" s="17" t="s">
        <v>573</v>
      </c>
      <c r="F2514" s="17" t="s">
        <v>483</v>
      </c>
      <c r="G2514" s="18">
        <v>487.0000</v>
      </c>
      <c r="H2514" s="18">
        <v>0</v>
      </c>
      <c r="I2514" s="18">
        <f ca="1">((I2513 + G2514) - H2514)</f>
        <v>0</v>
      </c>
      <c r="J2514" s="18">
        <v>0</v>
      </c>
      <c r="K2514" s="19">
        <v>0</v>
      </c>
      <c r="L2514" s="17" t="s">
        <v>28</v>
      </c>
    </row>
    <row r="2515" ht="10.95" customHeight="true" customFormat="true" s="9">
      <c r="A2515" s="16">
        <v>45271</v>
      </c>
      <c r="B2515" s="17" t="s">
        <v>571</v>
      </c>
      <c r="C2515" s="17" t="s">
        <v>572</v>
      </c>
      <c r="D2515" s="17" t="s">
        <v>333</v>
      </c>
      <c r="E2515" s="17" t="s">
        <v>574</v>
      </c>
      <c r="F2515" s="17" t="s">
        <v>358</v>
      </c>
      <c r="G2515" s="18">
        <v>0</v>
      </c>
      <c r="H2515" s="18">
        <v>5228.9000</v>
      </c>
      <c r="I2515" s="18">
        <f ca="1">((I2514 + G2515) - H2515)</f>
        <v>0</v>
      </c>
      <c r="J2515" s="18">
        <v>0</v>
      </c>
      <c r="K2515" s="19">
        <v>0</v>
      </c>
      <c r="L2515" s="17" t="s">
        <v>28</v>
      </c>
    </row>
    <row r="2516" ht="10.95" customHeight="true" customFormat="true" s="9">
      <c r="A2516" s="16">
        <v>45271</v>
      </c>
      <c r="B2516" s="17" t="s">
        <v>571</v>
      </c>
      <c r="C2516" s="17" t="s">
        <v>572</v>
      </c>
      <c r="D2516" s="17" t="s">
        <v>22</v>
      </c>
      <c r="E2516" s="17" t="s">
        <v>573</v>
      </c>
      <c r="F2516" s="17" t="s">
        <v>485</v>
      </c>
      <c r="G2516" s="18">
        <v>2000.0000</v>
      </c>
      <c r="H2516" s="18">
        <v>0</v>
      </c>
      <c r="I2516" s="18">
        <f ca="1">((I2515 + G2516) - H2516)</f>
        <v>0</v>
      </c>
      <c r="J2516" s="18">
        <v>0</v>
      </c>
      <c r="K2516" s="19">
        <v>0</v>
      </c>
      <c r="L2516" s="17" t="s">
        <v>28</v>
      </c>
    </row>
    <row r="2517" ht="10.95" customHeight="true" customFormat="true" s="9">
      <c r="A2517" s="16">
        <v>45271</v>
      </c>
      <c r="B2517" s="17" t="s">
        <v>571</v>
      </c>
      <c r="C2517" s="17" t="s">
        <v>572</v>
      </c>
      <c r="D2517" s="17" t="s">
        <v>22</v>
      </c>
      <c r="E2517" s="17" t="s">
        <v>573</v>
      </c>
      <c r="F2517" s="17" t="s">
        <v>485</v>
      </c>
      <c r="G2517" s="18">
        <v>69.0000</v>
      </c>
      <c r="H2517" s="18">
        <v>0</v>
      </c>
      <c r="I2517" s="18">
        <f ca="1">((I2516 + G2517) - H2517)</f>
        <v>0</v>
      </c>
      <c r="J2517" s="18">
        <v>0</v>
      </c>
      <c r="K2517" s="19">
        <v>0</v>
      </c>
      <c r="L2517" s="17" t="s">
        <v>28</v>
      </c>
    </row>
    <row r="2518" ht="10.95" customHeight="true" customFormat="true" s="9">
      <c r="A2518" s="16">
        <v>45271</v>
      </c>
      <c r="B2518" s="17" t="s">
        <v>571</v>
      </c>
      <c r="C2518" s="17" t="s">
        <v>572</v>
      </c>
      <c r="D2518" s="17" t="s">
        <v>22</v>
      </c>
      <c r="E2518" s="17" t="s">
        <v>573</v>
      </c>
      <c r="F2518" s="17" t="s">
        <v>485</v>
      </c>
      <c r="G2518" s="18">
        <v>855.9000</v>
      </c>
      <c r="H2518" s="18">
        <v>0</v>
      </c>
      <c r="I2518" s="18">
        <f ca="1">((I2517 + G2518) - H2518)</f>
        <v>0</v>
      </c>
      <c r="J2518" s="18">
        <v>0</v>
      </c>
      <c r="K2518" s="19">
        <v>0</v>
      </c>
      <c r="L2518" s="17" t="s">
        <v>28</v>
      </c>
    </row>
    <row r="2519" ht="10.95" customHeight="true" customFormat="true" s="9">
      <c r="A2519" s="16">
        <v>45271</v>
      </c>
      <c r="B2519" s="17" t="s">
        <v>571</v>
      </c>
      <c r="C2519" s="17" t="s">
        <v>572</v>
      </c>
      <c r="D2519" s="17" t="s">
        <v>22</v>
      </c>
      <c r="E2519" s="17" t="s">
        <v>573</v>
      </c>
      <c r="F2519" s="17" t="s">
        <v>485</v>
      </c>
      <c r="G2519" s="18">
        <v>520.2000</v>
      </c>
      <c r="H2519" s="18">
        <v>0</v>
      </c>
      <c r="I2519" s="18">
        <f ca="1">((I2518 + G2519) - H2519)</f>
        <v>0</v>
      </c>
      <c r="J2519" s="18">
        <v>0</v>
      </c>
      <c r="K2519" s="19">
        <v>0</v>
      </c>
      <c r="L2519" s="17" t="s">
        <v>28</v>
      </c>
    </row>
    <row r="2520" ht="10.95" customHeight="true" customFormat="true" s="9">
      <c r="A2520" s="16">
        <v>45271</v>
      </c>
      <c r="B2520" s="17" t="s">
        <v>571</v>
      </c>
      <c r="C2520" s="17" t="s">
        <v>572</v>
      </c>
      <c r="D2520" s="17" t="s">
        <v>22</v>
      </c>
      <c r="E2520" s="17" t="s">
        <v>573</v>
      </c>
      <c r="F2520" s="17" t="s">
        <v>485</v>
      </c>
      <c r="G2520" s="18">
        <v>63.0000</v>
      </c>
      <c r="H2520" s="18">
        <v>0</v>
      </c>
      <c r="I2520" s="18">
        <f ca="1">((I2519 + G2520) - H2520)</f>
        <v>0</v>
      </c>
      <c r="J2520" s="18">
        <v>0</v>
      </c>
      <c r="K2520" s="19">
        <v>0</v>
      </c>
      <c r="L2520" s="17" t="s">
        <v>28</v>
      </c>
    </row>
    <row r="2521" ht="10.95" customHeight="true" customFormat="true" s="9">
      <c r="A2521" s="16">
        <v>45271</v>
      </c>
      <c r="B2521" s="17" t="s">
        <v>571</v>
      </c>
      <c r="C2521" s="17" t="s">
        <v>572</v>
      </c>
      <c r="D2521" s="17" t="s">
        <v>22</v>
      </c>
      <c r="E2521" s="17" t="s">
        <v>573</v>
      </c>
      <c r="F2521" s="17" t="s">
        <v>485</v>
      </c>
      <c r="G2521" s="18">
        <v>392.7000</v>
      </c>
      <c r="H2521" s="18">
        <v>0</v>
      </c>
      <c r="I2521" s="18">
        <f ca="1">((I2520 + G2521) - H2521)</f>
        <v>0</v>
      </c>
      <c r="J2521" s="18">
        <v>0</v>
      </c>
      <c r="K2521" s="19">
        <v>0</v>
      </c>
      <c r="L2521" s="17" t="s">
        <v>28</v>
      </c>
    </row>
    <row r="2522" ht="10.95" customHeight="true" customFormat="true" s="9">
      <c r="A2522" s="16">
        <v>45271</v>
      </c>
      <c r="B2522" s="17" t="s">
        <v>571</v>
      </c>
      <c r="C2522" s="17" t="s">
        <v>572</v>
      </c>
      <c r="D2522" s="17" t="s">
        <v>22</v>
      </c>
      <c r="E2522" s="17" t="s">
        <v>573</v>
      </c>
      <c r="F2522" s="17" t="s">
        <v>485</v>
      </c>
      <c r="G2522" s="18">
        <v>841.0000</v>
      </c>
      <c r="H2522" s="18">
        <v>0</v>
      </c>
      <c r="I2522" s="18">
        <f ca="1">((I2521 + G2522) - H2522)</f>
        <v>0</v>
      </c>
      <c r="J2522" s="18">
        <v>0</v>
      </c>
      <c r="K2522" s="19">
        <v>0</v>
      </c>
      <c r="L2522" s="17" t="s">
        <v>28</v>
      </c>
    </row>
    <row r="2523" ht="10.95" customHeight="true" customFormat="true" s="9">
      <c r="A2523" s="16">
        <v>45278</v>
      </c>
      <c r="B2523" s="17" t="s">
        <v>571</v>
      </c>
      <c r="C2523" s="17" t="s">
        <v>572</v>
      </c>
      <c r="D2523" s="17" t="s">
        <v>333</v>
      </c>
      <c r="E2523" s="17" t="s">
        <v>574</v>
      </c>
      <c r="F2523" s="17" t="s">
        <v>359</v>
      </c>
      <c r="G2523" s="18">
        <v>0</v>
      </c>
      <c r="H2523" s="18">
        <v>5502.9000</v>
      </c>
      <c r="I2523" s="18">
        <f ca="1">((I2522 + G2523) - H2523)</f>
        <v>0</v>
      </c>
      <c r="J2523" s="18">
        <v>0</v>
      </c>
      <c r="K2523" s="19">
        <v>0</v>
      </c>
      <c r="L2523" s="17" t="s">
        <v>28</v>
      </c>
    </row>
    <row r="2524" ht="10.95" customHeight="true" customFormat="true" s="9">
      <c r="A2524" s="16">
        <v>45278</v>
      </c>
      <c r="B2524" s="17" t="s">
        <v>571</v>
      </c>
      <c r="C2524" s="17" t="s">
        <v>572</v>
      </c>
      <c r="D2524" s="17" t="s">
        <v>22</v>
      </c>
      <c r="E2524" s="17" t="s">
        <v>573</v>
      </c>
      <c r="F2524" s="17" t="s">
        <v>488</v>
      </c>
      <c r="G2524" s="18">
        <v>650.6800</v>
      </c>
      <c r="H2524" s="18">
        <v>0</v>
      </c>
      <c r="I2524" s="18">
        <f ca="1">((I2523 + G2524) - H2524)</f>
        <v>0</v>
      </c>
      <c r="J2524" s="18">
        <v>0</v>
      </c>
      <c r="K2524" s="19">
        <v>0</v>
      </c>
      <c r="L2524" s="17" t="s">
        <v>28</v>
      </c>
    </row>
    <row r="2525" ht="10.95" customHeight="true" customFormat="true" s="9">
      <c r="A2525" s="16">
        <v>45278</v>
      </c>
      <c r="B2525" s="17" t="s">
        <v>571</v>
      </c>
      <c r="C2525" s="17" t="s">
        <v>572</v>
      </c>
      <c r="D2525" s="17" t="s">
        <v>22</v>
      </c>
      <c r="E2525" s="17" t="s">
        <v>573</v>
      </c>
      <c r="F2525" s="17" t="s">
        <v>488</v>
      </c>
      <c r="G2525" s="18">
        <v>2000.0000</v>
      </c>
      <c r="H2525" s="18">
        <v>0</v>
      </c>
      <c r="I2525" s="18">
        <f ca="1">((I2524 + G2525) - H2525)</f>
        <v>0</v>
      </c>
      <c r="J2525" s="18">
        <v>0</v>
      </c>
      <c r="K2525" s="19">
        <v>0</v>
      </c>
      <c r="L2525" s="17" t="s">
        <v>28</v>
      </c>
    </row>
    <row r="2526" ht="10.95" customHeight="true" customFormat="true" s="9">
      <c r="A2526" s="16">
        <v>45278</v>
      </c>
      <c r="B2526" s="17" t="s">
        <v>571</v>
      </c>
      <c r="C2526" s="17" t="s">
        <v>572</v>
      </c>
      <c r="D2526" s="17" t="s">
        <v>22</v>
      </c>
      <c r="E2526" s="17" t="s">
        <v>573</v>
      </c>
      <c r="F2526" s="17" t="s">
        <v>488</v>
      </c>
      <c r="G2526" s="18">
        <v>1342.9000</v>
      </c>
      <c r="H2526" s="18">
        <v>0</v>
      </c>
      <c r="I2526" s="18">
        <f ca="1">((I2525 + G2526) - H2526)</f>
        <v>0</v>
      </c>
      <c r="J2526" s="18">
        <v>0</v>
      </c>
      <c r="K2526" s="19">
        <v>0</v>
      </c>
      <c r="L2526" s="17" t="s">
        <v>28</v>
      </c>
    </row>
    <row r="2527" ht="10.95" customHeight="true" customFormat="true" s="9">
      <c r="A2527" s="16">
        <v>45278</v>
      </c>
      <c r="B2527" s="17" t="s">
        <v>571</v>
      </c>
      <c r="C2527" s="17" t="s">
        <v>572</v>
      </c>
      <c r="D2527" s="17" t="s">
        <v>22</v>
      </c>
      <c r="E2527" s="17" t="s">
        <v>573</v>
      </c>
      <c r="F2527" s="17" t="s">
        <v>488</v>
      </c>
      <c r="G2527" s="18">
        <v>697.0000</v>
      </c>
      <c r="H2527" s="18">
        <v>0</v>
      </c>
      <c r="I2527" s="18">
        <f ca="1">((I2526 + G2527) - H2527)</f>
        <v>0</v>
      </c>
      <c r="J2527" s="18">
        <v>0</v>
      </c>
      <c r="K2527" s="19">
        <v>0</v>
      </c>
      <c r="L2527" s="17" t="s">
        <v>28</v>
      </c>
    </row>
    <row r="2528" ht="10.95" customHeight="true" customFormat="true" s="9">
      <c r="A2528" s="16">
        <v>45278</v>
      </c>
      <c r="B2528" s="17" t="s">
        <v>571</v>
      </c>
      <c r="C2528" s="17" t="s">
        <v>572</v>
      </c>
      <c r="D2528" s="17" t="s">
        <v>22</v>
      </c>
      <c r="E2528" s="17" t="s">
        <v>573</v>
      </c>
      <c r="F2528" s="17" t="s">
        <v>488</v>
      </c>
      <c r="G2528" s="18">
        <v>138.0000</v>
      </c>
      <c r="H2528" s="18">
        <v>0</v>
      </c>
      <c r="I2528" s="18">
        <f ca="1">((I2527 + G2528) - H2528)</f>
        <v>0</v>
      </c>
      <c r="J2528" s="18">
        <v>0</v>
      </c>
      <c r="K2528" s="19">
        <v>0</v>
      </c>
      <c r="L2528" s="17" t="s">
        <v>28</v>
      </c>
    </row>
    <row r="2529" ht="10.95" customHeight="true" customFormat="true" s="9">
      <c r="A2529" s="16">
        <v>45278</v>
      </c>
      <c r="B2529" s="17" t="s">
        <v>571</v>
      </c>
      <c r="C2529" s="17" t="s">
        <v>572</v>
      </c>
      <c r="D2529" s="17" t="s">
        <v>22</v>
      </c>
      <c r="E2529" s="17" t="s">
        <v>573</v>
      </c>
      <c r="F2529" s="17" t="s">
        <v>488</v>
      </c>
      <c r="G2529" s="18">
        <v>674.5000</v>
      </c>
      <c r="H2529" s="18">
        <v>0</v>
      </c>
      <c r="I2529" s="18">
        <f ca="1">((I2528 + G2529) - H2529)</f>
        <v>0</v>
      </c>
      <c r="J2529" s="18">
        <v>0</v>
      </c>
      <c r="K2529" s="19">
        <v>0</v>
      </c>
      <c r="L2529" s="17" t="s">
        <v>28</v>
      </c>
    </row>
    <row r="2530" ht="10.95" customHeight="true" customFormat="true" s="9">
      <c r="A2530" s="16">
        <v>45285</v>
      </c>
      <c r="B2530" s="17" t="s">
        <v>571</v>
      </c>
      <c r="C2530" s="17" t="s">
        <v>572</v>
      </c>
      <c r="D2530" s="17" t="s">
        <v>333</v>
      </c>
      <c r="E2530" s="17" t="s">
        <v>574</v>
      </c>
      <c r="F2530" s="17" t="s">
        <v>360</v>
      </c>
      <c r="G2530" s="18">
        <v>0</v>
      </c>
      <c r="H2530" s="18">
        <v>6109.4000</v>
      </c>
      <c r="I2530" s="18">
        <f ca="1">((I2529 + G2530) - H2530)</f>
        <v>0</v>
      </c>
      <c r="J2530" s="18">
        <v>0</v>
      </c>
      <c r="K2530" s="19">
        <v>0</v>
      </c>
      <c r="L2530" s="17" t="s">
        <v>28</v>
      </c>
    </row>
    <row r="2531" ht="10.95" customHeight="true" customFormat="true" s="9">
      <c r="A2531" s="16">
        <v>45287</v>
      </c>
      <c r="B2531" s="17" t="s">
        <v>571</v>
      </c>
      <c r="C2531" s="17" t="s">
        <v>572</v>
      </c>
      <c r="D2531" s="17" t="s">
        <v>22</v>
      </c>
      <c r="E2531" s="17" t="s">
        <v>573</v>
      </c>
      <c r="F2531" s="17" t="s">
        <v>490</v>
      </c>
      <c r="G2531" s="18">
        <v>286.0300</v>
      </c>
      <c r="H2531" s="18">
        <v>0</v>
      </c>
      <c r="I2531" s="18">
        <f ca="1">((I2530 + G2531) - H2531)</f>
        <v>0</v>
      </c>
      <c r="J2531" s="18">
        <v>0</v>
      </c>
      <c r="K2531" s="19">
        <v>0</v>
      </c>
      <c r="L2531" s="17" t="s">
        <v>28</v>
      </c>
    </row>
    <row r="2532" ht="10.95" customHeight="true" customFormat="true" s="9">
      <c r="A2532" s="16">
        <v>45287</v>
      </c>
      <c r="B2532" s="17" t="s">
        <v>571</v>
      </c>
      <c r="C2532" s="17" t="s">
        <v>572</v>
      </c>
      <c r="D2532" s="17" t="s">
        <v>22</v>
      </c>
      <c r="E2532" s="17" t="s">
        <v>573</v>
      </c>
      <c r="F2532" s="17" t="s">
        <v>490</v>
      </c>
      <c r="G2532" s="18">
        <v>1342.9000</v>
      </c>
      <c r="H2532" s="18">
        <v>0</v>
      </c>
      <c r="I2532" s="18">
        <f ca="1">((I2531 + G2532) - H2532)</f>
        <v>0</v>
      </c>
      <c r="J2532" s="18">
        <v>0</v>
      </c>
      <c r="K2532" s="19">
        <v>0</v>
      </c>
      <c r="L2532" s="17" t="s">
        <v>28</v>
      </c>
    </row>
    <row r="2533" ht="10.95" customHeight="true" customFormat="true" s="9">
      <c r="A2533" s="16">
        <v>45287</v>
      </c>
      <c r="B2533" s="17" t="s">
        <v>571</v>
      </c>
      <c r="C2533" s="17" t="s">
        <v>572</v>
      </c>
      <c r="D2533" s="17" t="s">
        <v>22</v>
      </c>
      <c r="E2533" s="17" t="s">
        <v>573</v>
      </c>
      <c r="F2533" s="17" t="s">
        <v>490</v>
      </c>
      <c r="G2533" s="18">
        <v>858.5000</v>
      </c>
      <c r="H2533" s="18">
        <v>0</v>
      </c>
      <c r="I2533" s="18">
        <f ca="1">((I2532 + G2533) - H2533)</f>
        <v>0</v>
      </c>
      <c r="J2533" s="18">
        <v>0</v>
      </c>
      <c r="K2533" s="19">
        <v>0</v>
      </c>
      <c r="L2533" s="17" t="s">
        <v>28</v>
      </c>
    </row>
    <row r="2534" ht="10.95" customHeight="true" customFormat="true" s="9">
      <c r="A2534" s="16">
        <v>45287</v>
      </c>
      <c r="B2534" s="17" t="s">
        <v>571</v>
      </c>
      <c r="C2534" s="17" t="s">
        <v>572</v>
      </c>
      <c r="D2534" s="17" t="s">
        <v>22</v>
      </c>
      <c r="E2534" s="17" t="s">
        <v>573</v>
      </c>
      <c r="F2534" s="17" t="s">
        <v>490</v>
      </c>
      <c r="G2534" s="18">
        <v>2000.0000</v>
      </c>
      <c r="H2534" s="18">
        <v>0</v>
      </c>
      <c r="I2534" s="18">
        <f ca="1">((I2533 + G2534) - H2534)</f>
        <v>0</v>
      </c>
      <c r="J2534" s="18">
        <v>0</v>
      </c>
      <c r="K2534" s="19">
        <v>0</v>
      </c>
      <c r="L2534" s="17" t="s">
        <v>28</v>
      </c>
    </row>
    <row r="2535" ht="10.95" customHeight="true" customFormat="true" s="9">
      <c r="A2535" s="16">
        <v>45287</v>
      </c>
      <c r="B2535" s="17" t="s">
        <v>571</v>
      </c>
      <c r="C2535" s="17" t="s">
        <v>572</v>
      </c>
      <c r="D2535" s="17" t="s">
        <v>22</v>
      </c>
      <c r="E2535" s="17" t="s">
        <v>573</v>
      </c>
      <c r="F2535" s="17" t="s">
        <v>490</v>
      </c>
      <c r="G2535" s="18">
        <v>594.5800</v>
      </c>
      <c r="H2535" s="18">
        <v>0</v>
      </c>
      <c r="I2535" s="18">
        <f ca="1">((I2534 + G2535) - H2535)</f>
        <v>0</v>
      </c>
      <c r="J2535" s="18">
        <v>0</v>
      </c>
      <c r="K2535" s="19">
        <v>0</v>
      </c>
      <c r="L2535" s="17" t="s">
        <v>28</v>
      </c>
    </row>
    <row r="2536" ht="10.95" customHeight="true" customFormat="true" s="9">
      <c r="A2536" s="16">
        <v>45287</v>
      </c>
      <c r="B2536" s="17" t="s">
        <v>571</v>
      </c>
      <c r="C2536" s="17" t="s">
        <v>572</v>
      </c>
      <c r="D2536" s="17" t="s">
        <v>22</v>
      </c>
      <c r="E2536" s="17" t="s">
        <v>573</v>
      </c>
      <c r="F2536" s="17" t="s">
        <v>490</v>
      </c>
      <c r="G2536" s="18">
        <v>827.0500</v>
      </c>
      <c r="H2536" s="18">
        <v>0</v>
      </c>
      <c r="I2536" s="18">
        <f ca="1">((I2535 + G2536) - H2536)</f>
        <v>0</v>
      </c>
      <c r="J2536" s="18">
        <v>0</v>
      </c>
      <c r="K2536" s="19">
        <v>0</v>
      </c>
      <c r="L2536" s="17" t="s">
        <v>28</v>
      </c>
    </row>
    <row r="2537" ht="10.95" customHeight="true" customFormat="true" s="9">
      <c r="A2537" s="16">
        <v>45292</v>
      </c>
      <c r="B2537" s="17" t="s">
        <v>571</v>
      </c>
      <c r="C2537" s="17" t="s">
        <v>572</v>
      </c>
      <c r="D2537" s="17" t="s">
        <v>333</v>
      </c>
      <c r="E2537" s="17" t="s">
        <v>574</v>
      </c>
      <c r="F2537" s="17" t="s">
        <v>361</v>
      </c>
      <c r="G2537" s="18">
        <v>0</v>
      </c>
      <c r="H2537" s="18">
        <v>3342.9000</v>
      </c>
      <c r="I2537" s="18">
        <f ca="1">((I2536 + G2537) - H2537)</f>
        <v>0</v>
      </c>
      <c r="J2537" s="18">
        <v>0</v>
      </c>
      <c r="K2537" s="19">
        <v>0</v>
      </c>
      <c r="L2537" s="17" t="s">
        <v>28</v>
      </c>
    </row>
    <row r="2538" ht="10.95" customHeight="true" customFormat="true" s="9">
      <c r="A2538" s="16">
        <v>45296</v>
      </c>
      <c r="B2538" s="17" t="s">
        <v>571</v>
      </c>
      <c r="C2538" s="17" t="s">
        <v>572</v>
      </c>
      <c r="D2538" s="17" t="s">
        <v>22</v>
      </c>
      <c r="E2538" s="17" t="s">
        <v>573</v>
      </c>
      <c r="F2538" s="17" t="s">
        <v>491</v>
      </c>
      <c r="G2538" s="18">
        <v>2000.0000</v>
      </c>
      <c r="H2538" s="18">
        <v>0</v>
      </c>
      <c r="I2538" s="18">
        <f ca="1">((I2537 + G2538) - H2538)</f>
        <v>0</v>
      </c>
      <c r="J2538" s="18">
        <v>0</v>
      </c>
      <c r="K2538" s="19">
        <v>0</v>
      </c>
      <c r="L2538" s="17" t="s">
        <v>28</v>
      </c>
    </row>
    <row r="2539" ht="10.95" customHeight="true" customFormat="true" s="9">
      <c r="A2539" s="16">
        <v>45296</v>
      </c>
      <c r="B2539" s="17" t="s">
        <v>571</v>
      </c>
      <c r="C2539" s="17" t="s">
        <v>572</v>
      </c>
      <c r="D2539" s="17" t="s">
        <v>22</v>
      </c>
      <c r="E2539" s="17" t="s">
        <v>573</v>
      </c>
      <c r="F2539" s="17" t="s">
        <v>491</v>
      </c>
      <c r="G2539" s="18">
        <v>1342.9000</v>
      </c>
      <c r="H2539" s="18">
        <v>0</v>
      </c>
      <c r="I2539" s="18">
        <f ca="1">((I2538 + G2539) - H2539)</f>
        <v>0</v>
      </c>
      <c r="J2539" s="18">
        <v>0</v>
      </c>
      <c r="K2539" s="19">
        <v>0</v>
      </c>
      <c r="L2539" s="17" t="s">
        <v>28</v>
      </c>
    </row>
    <row r="2540" ht="10.95" customHeight="true" customFormat="true" s="9">
      <c r="A2540" s="16">
        <v>45299</v>
      </c>
      <c r="B2540" s="17" t="s">
        <v>571</v>
      </c>
      <c r="C2540" s="17" t="s">
        <v>572</v>
      </c>
      <c r="D2540" s="17" t="s">
        <v>22</v>
      </c>
      <c r="E2540" s="17" t="s">
        <v>573</v>
      </c>
      <c r="F2540" s="17" t="s">
        <v>492</v>
      </c>
      <c r="G2540" s="18">
        <v>2000.0000</v>
      </c>
      <c r="H2540" s="18">
        <v>0</v>
      </c>
      <c r="I2540" s="18">
        <f ca="1">((I2539 + G2540) - H2540)</f>
        <v>0</v>
      </c>
      <c r="J2540" s="18">
        <v>0</v>
      </c>
      <c r="K2540" s="19">
        <v>0</v>
      </c>
      <c r="L2540" s="17" t="s">
        <v>28</v>
      </c>
    </row>
    <row r="2541" ht="10.95" customHeight="true" customFormat="true" s="9">
      <c r="A2541" s="16">
        <v>45299</v>
      </c>
      <c r="B2541" s="17" t="s">
        <v>571</v>
      </c>
      <c r="C2541" s="17" t="s">
        <v>572</v>
      </c>
      <c r="D2541" s="17" t="s">
        <v>22</v>
      </c>
      <c r="E2541" s="17" t="s">
        <v>573</v>
      </c>
      <c r="F2541" s="17" t="s">
        <v>492</v>
      </c>
      <c r="G2541" s="18">
        <v>1342.9000</v>
      </c>
      <c r="H2541" s="18">
        <v>0</v>
      </c>
      <c r="I2541" s="18">
        <f ca="1">((I2540 + G2541) - H2541)</f>
        <v>0</v>
      </c>
      <c r="J2541" s="18">
        <v>0</v>
      </c>
      <c r="K2541" s="19">
        <v>0</v>
      </c>
      <c r="L2541" s="17" t="s">
        <v>28</v>
      </c>
    </row>
    <row r="2542" ht="10.95" customHeight="true" customFormat="true" s="9">
      <c r="A2542" s="16">
        <v>45299</v>
      </c>
      <c r="B2542" s="17" t="s">
        <v>571</v>
      </c>
      <c r="C2542" s="17" t="s">
        <v>572</v>
      </c>
      <c r="D2542" s="17" t="s">
        <v>333</v>
      </c>
      <c r="E2542" s="17" t="s">
        <v>574</v>
      </c>
      <c r="F2542" s="17" t="s">
        <v>362</v>
      </c>
      <c r="G2542" s="18">
        <v>0</v>
      </c>
      <c r="H2542" s="18">
        <v>3342.9000</v>
      </c>
      <c r="I2542" s="18">
        <f ca="1">((I2541 + G2542) - H2542)</f>
        <v>0</v>
      </c>
      <c r="J2542" s="18">
        <v>0</v>
      </c>
      <c r="K2542" s="19">
        <v>0</v>
      </c>
      <c r="L2542" s="17" t="s">
        <v>28</v>
      </c>
    </row>
    <row r="2543" ht="10.95" customHeight="true" customFormat="true" s="9">
      <c r="A2543" s="16">
        <v>45306</v>
      </c>
      <c r="B2543" s="17" t="s">
        <v>571</v>
      </c>
      <c r="C2543" s="17" t="s">
        <v>572</v>
      </c>
      <c r="D2543" s="17" t="s">
        <v>22</v>
      </c>
      <c r="E2543" s="17" t="s">
        <v>573</v>
      </c>
      <c r="F2543" s="17" t="s">
        <v>493</v>
      </c>
      <c r="G2543" s="18">
        <v>2000.0000</v>
      </c>
      <c r="H2543" s="18">
        <v>0</v>
      </c>
      <c r="I2543" s="18">
        <f ca="1">((I2542 + G2543) - H2543)</f>
        <v>0</v>
      </c>
      <c r="J2543" s="18">
        <v>0</v>
      </c>
      <c r="K2543" s="19">
        <v>0</v>
      </c>
      <c r="L2543" s="17" t="s">
        <v>28</v>
      </c>
    </row>
    <row r="2544" ht="10.95" customHeight="true" customFormat="true" s="9">
      <c r="A2544" s="16">
        <v>45306</v>
      </c>
      <c r="B2544" s="17" t="s">
        <v>571</v>
      </c>
      <c r="C2544" s="17" t="s">
        <v>572</v>
      </c>
      <c r="D2544" s="17" t="s">
        <v>22</v>
      </c>
      <c r="E2544" s="17" t="s">
        <v>573</v>
      </c>
      <c r="F2544" s="17" t="s">
        <v>493</v>
      </c>
      <c r="G2544" s="18">
        <v>1342.9000</v>
      </c>
      <c r="H2544" s="18">
        <v>0</v>
      </c>
      <c r="I2544" s="18">
        <f ca="1">((I2543 + G2544) - H2544)</f>
        <v>0</v>
      </c>
      <c r="J2544" s="18">
        <v>0</v>
      </c>
      <c r="K2544" s="19">
        <v>0</v>
      </c>
      <c r="L2544" s="17" t="s">
        <v>28</v>
      </c>
    </row>
    <row r="2545" ht="10.95" customHeight="true" customFormat="true" s="9">
      <c r="A2545" s="16">
        <v>45306</v>
      </c>
      <c r="B2545" s="17" t="s">
        <v>571</v>
      </c>
      <c r="C2545" s="17" t="s">
        <v>572</v>
      </c>
      <c r="D2545" s="17" t="s">
        <v>333</v>
      </c>
      <c r="E2545" s="17" t="s">
        <v>574</v>
      </c>
      <c r="F2545" s="17" t="s">
        <v>363</v>
      </c>
      <c r="G2545" s="18">
        <v>0</v>
      </c>
      <c r="H2545" s="18">
        <v>3342.9000</v>
      </c>
      <c r="I2545" s="18">
        <f ca="1">((I2544 + G2545) - H2545)</f>
        <v>0</v>
      </c>
      <c r="J2545" s="18">
        <v>0</v>
      </c>
      <c r="K2545" s="19">
        <v>0</v>
      </c>
      <c r="L2545" s="17" t="s">
        <v>28</v>
      </c>
    </row>
    <row r="2546" ht="10.95" customHeight="true" customFormat="true" s="9">
      <c r="A2546" s="16">
        <v>45313</v>
      </c>
      <c r="B2546" s="17" t="s">
        <v>571</v>
      </c>
      <c r="C2546" s="17" t="s">
        <v>572</v>
      </c>
      <c r="D2546" s="17" t="s">
        <v>333</v>
      </c>
      <c r="E2546" s="17" t="s">
        <v>574</v>
      </c>
      <c r="F2546" s="17" t="s">
        <v>364</v>
      </c>
      <c r="G2546" s="18">
        <v>0</v>
      </c>
      <c r="H2546" s="18">
        <v>5699.4000</v>
      </c>
      <c r="I2546" s="18">
        <f ca="1">((I2545 + G2546) - H2546)</f>
        <v>0</v>
      </c>
      <c r="J2546" s="18">
        <v>0</v>
      </c>
      <c r="K2546" s="19">
        <v>0</v>
      </c>
      <c r="L2546" s="17" t="s">
        <v>28</v>
      </c>
    </row>
    <row r="2547" ht="10.95" customHeight="true" customFormat="true" s="9">
      <c r="A2547" s="16">
        <v>45313</v>
      </c>
      <c r="B2547" s="17" t="s">
        <v>571</v>
      </c>
      <c r="C2547" s="17" t="s">
        <v>572</v>
      </c>
      <c r="D2547" s="17" t="s">
        <v>22</v>
      </c>
      <c r="E2547" s="17" t="s">
        <v>573</v>
      </c>
      <c r="F2547" s="17" t="s">
        <v>494</v>
      </c>
      <c r="G2547" s="18">
        <v>811.0000</v>
      </c>
      <c r="H2547" s="18">
        <v>0</v>
      </c>
      <c r="I2547" s="18">
        <f ca="1">((I2546 + G2547) - H2547)</f>
        <v>0</v>
      </c>
      <c r="J2547" s="18">
        <v>0</v>
      </c>
      <c r="K2547" s="19">
        <v>0</v>
      </c>
      <c r="L2547" s="17" t="s">
        <v>28</v>
      </c>
    </row>
    <row r="2548" ht="10.95" customHeight="true" customFormat="true" s="9">
      <c r="A2548" s="16">
        <v>45313</v>
      </c>
      <c r="B2548" s="17" t="s">
        <v>571</v>
      </c>
      <c r="C2548" s="17" t="s">
        <v>572</v>
      </c>
      <c r="D2548" s="17" t="s">
        <v>22</v>
      </c>
      <c r="E2548" s="17" t="s">
        <v>573</v>
      </c>
      <c r="F2548" s="17" t="s">
        <v>495</v>
      </c>
      <c r="G2548" s="18">
        <v>2000.0000</v>
      </c>
      <c r="H2548" s="18">
        <v>0</v>
      </c>
      <c r="I2548" s="18">
        <f ca="1">((I2547 + G2548) - H2548)</f>
        <v>0</v>
      </c>
      <c r="J2548" s="18">
        <v>0</v>
      </c>
      <c r="K2548" s="19">
        <v>0</v>
      </c>
      <c r="L2548" s="17" t="s">
        <v>28</v>
      </c>
    </row>
    <row r="2549" ht="10.95" customHeight="true" customFormat="true" s="9">
      <c r="A2549" s="16">
        <v>45313</v>
      </c>
      <c r="B2549" s="17" t="s">
        <v>571</v>
      </c>
      <c r="C2549" s="17" t="s">
        <v>572</v>
      </c>
      <c r="D2549" s="17" t="s">
        <v>22</v>
      </c>
      <c r="E2549" s="17" t="s">
        <v>573</v>
      </c>
      <c r="F2549" s="17" t="s">
        <v>497</v>
      </c>
      <c r="G2549" s="18">
        <v>799.8500</v>
      </c>
      <c r="H2549" s="18">
        <v>0</v>
      </c>
      <c r="I2549" s="18">
        <f ca="1">((I2548 + G2549) - H2549)</f>
        <v>0</v>
      </c>
      <c r="J2549" s="18">
        <v>0</v>
      </c>
      <c r="K2549" s="19">
        <v>0</v>
      </c>
      <c r="L2549" s="17" t="s">
        <v>28</v>
      </c>
    </row>
    <row r="2550" ht="10.95" customHeight="true" customFormat="true" s="9">
      <c r="A2550" s="16">
        <v>45313</v>
      </c>
      <c r="B2550" s="17" t="s">
        <v>571</v>
      </c>
      <c r="C2550" s="17" t="s">
        <v>572</v>
      </c>
      <c r="D2550" s="17" t="s">
        <v>22</v>
      </c>
      <c r="E2550" s="17" t="s">
        <v>573</v>
      </c>
      <c r="F2550" s="17" t="s">
        <v>498</v>
      </c>
      <c r="G2550" s="18">
        <v>144.0000</v>
      </c>
      <c r="H2550" s="18">
        <v>0</v>
      </c>
      <c r="I2550" s="18">
        <f ca="1">((I2549 + G2550) - H2550)</f>
        <v>0</v>
      </c>
      <c r="J2550" s="18">
        <v>0</v>
      </c>
      <c r="K2550" s="19">
        <v>0</v>
      </c>
      <c r="L2550" s="17" t="s">
        <v>28</v>
      </c>
    </row>
    <row r="2551" ht="10.95" customHeight="true" customFormat="true" s="9">
      <c r="A2551" s="16">
        <v>45313</v>
      </c>
      <c r="B2551" s="17" t="s">
        <v>571</v>
      </c>
      <c r="C2551" s="17" t="s">
        <v>572</v>
      </c>
      <c r="D2551" s="17" t="s">
        <v>22</v>
      </c>
      <c r="E2551" s="17" t="s">
        <v>573</v>
      </c>
      <c r="F2551" s="17" t="s">
        <v>499</v>
      </c>
      <c r="G2551" s="18">
        <v>1342.9000</v>
      </c>
      <c r="H2551" s="18">
        <v>0</v>
      </c>
      <c r="I2551" s="18">
        <f ca="1">((I2550 + G2551) - H2551)</f>
        <v>0</v>
      </c>
      <c r="J2551" s="18">
        <v>0</v>
      </c>
      <c r="K2551" s="19">
        <v>0</v>
      </c>
      <c r="L2551" s="17" t="s">
        <v>28</v>
      </c>
    </row>
    <row r="2552" ht="10.95" customHeight="true" customFormat="true" s="9">
      <c r="A2552" s="16">
        <v>45313</v>
      </c>
      <c r="B2552" s="17" t="s">
        <v>571</v>
      </c>
      <c r="C2552" s="17" t="s">
        <v>572</v>
      </c>
      <c r="D2552" s="17" t="s">
        <v>22</v>
      </c>
      <c r="E2552" s="17" t="s">
        <v>573</v>
      </c>
      <c r="F2552" s="17" t="s">
        <v>500</v>
      </c>
      <c r="G2552" s="18">
        <v>601.3800</v>
      </c>
      <c r="H2552" s="18">
        <v>0</v>
      </c>
      <c r="I2552" s="18">
        <f ca="1">((I2551 + G2552) - H2552)</f>
        <v>0</v>
      </c>
      <c r="J2552" s="18">
        <v>0</v>
      </c>
      <c r="K2552" s="19">
        <v>0</v>
      </c>
      <c r="L2552" s="17" t="s">
        <v>28</v>
      </c>
    </row>
    <row r="2553" ht="10.95" customHeight="true" customFormat="true" s="9">
      <c r="A2553" s="16">
        <v>45320</v>
      </c>
      <c r="B2553" s="17" t="s">
        <v>571</v>
      </c>
      <c r="C2553" s="17" t="s">
        <v>572</v>
      </c>
      <c r="D2553" s="17" t="s">
        <v>22</v>
      </c>
      <c r="E2553" s="17" t="s">
        <v>573</v>
      </c>
      <c r="F2553" s="17" t="s">
        <v>501</v>
      </c>
      <c r="G2553" s="18">
        <v>1220.1800</v>
      </c>
      <c r="H2553" s="18">
        <v>0</v>
      </c>
      <c r="I2553" s="18">
        <f ca="1">((I2552 + G2553) - H2553)</f>
        <v>0</v>
      </c>
      <c r="J2553" s="18">
        <v>0</v>
      </c>
      <c r="K2553" s="19">
        <v>0</v>
      </c>
      <c r="L2553" s="17" t="s">
        <v>28</v>
      </c>
    </row>
    <row r="2554" ht="10.95" customHeight="true" customFormat="true" s="9">
      <c r="A2554" s="16">
        <v>45320</v>
      </c>
      <c r="B2554" s="17" t="s">
        <v>571</v>
      </c>
      <c r="C2554" s="17" t="s">
        <v>572</v>
      </c>
      <c r="D2554" s="17" t="s">
        <v>22</v>
      </c>
      <c r="E2554" s="17" t="s">
        <v>573</v>
      </c>
      <c r="F2554" s="17" t="s">
        <v>501</v>
      </c>
      <c r="G2554" s="18">
        <v>2000.0000</v>
      </c>
      <c r="H2554" s="18">
        <v>0</v>
      </c>
      <c r="I2554" s="18">
        <f ca="1">((I2553 + G2554) - H2554)</f>
        <v>0</v>
      </c>
      <c r="J2554" s="18">
        <v>0</v>
      </c>
      <c r="K2554" s="19">
        <v>0</v>
      </c>
      <c r="L2554" s="17" t="s">
        <v>28</v>
      </c>
    </row>
    <row r="2555" ht="10.95" customHeight="true" customFormat="true" s="9">
      <c r="A2555" s="16">
        <v>45320</v>
      </c>
      <c r="B2555" s="17" t="s">
        <v>571</v>
      </c>
      <c r="C2555" s="17" t="s">
        <v>572</v>
      </c>
      <c r="D2555" s="17" t="s">
        <v>22</v>
      </c>
      <c r="E2555" s="17" t="s">
        <v>573</v>
      </c>
      <c r="F2555" s="17" t="s">
        <v>501</v>
      </c>
      <c r="G2555" s="18">
        <v>1342.9000</v>
      </c>
      <c r="H2555" s="18">
        <v>0</v>
      </c>
      <c r="I2555" s="18">
        <f ca="1">((I2554 + G2555) - H2555)</f>
        <v>0</v>
      </c>
      <c r="J2555" s="18">
        <v>0</v>
      </c>
      <c r="K2555" s="19">
        <v>0</v>
      </c>
      <c r="L2555" s="17" t="s">
        <v>28</v>
      </c>
    </row>
    <row r="2556" ht="10.95" customHeight="true" customFormat="true" s="9">
      <c r="A2556" s="16">
        <v>45320</v>
      </c>
      <c r="B2556" s="17" t="s">
        <v>571</v>
      </c>
      <c r="C2556" s="17" t="s">
        <v>572</v>
      </c>
      <c r="D2556" s="17" t="s">
        <v>22</v>
      </c>
      <c r="E2556" s="17" t="s">
        <v>573</v>
      </c>
      <c r="F2556" s="17" t="s">
        <v>501</v>
      </c>
      <c r="G2556" s="18">
        <v>216.0000</v>
      </c>
      <c r="H2556" s="18">
        <v>0</v>
      </c>
      <c r="I2556" s="18">
        <f ca="1">((I2555 + G2556) - H2556)</f>
        <v>0</v>
      </c>
      <c r="J2556" s="18">
        <v>0</v>
      </c>
      <c r="K2556" s="19">
        <v>0</v>
      </c>
      <c r="L2556" s="17" t="s">
        <v>28</v>
      </c>
    </row>
    <row r="2557" ht="10.95" customHeight="true" customFormat="true" s="9">
      <c r="A2557" s="16">
        <v>45320</v>
      </c>
      <c r="B2557" s="17" t="s">
        <v>571</v>
      </c>
      <c r="C2557" s="17" t="s">
        <v>572</v>
      </c>
      <c r="D2557" s="17" t="s">
        <v>22</v>
      </c>
      <c r="E2557" s="17" t="s">
        <v>573</v>
      </c>
      <c r="F2557" s="17" t="s">
        <v>501</v>
      </c>
      <c r="G2557" s="18">
        <v>816.0000</v>
      </c>
      <c r="H2557" s="18">
        <v>0</v>
      </c>
      <c r="I2557" s="18">
        <f ca="1">((I2556 + G2557) - H2557)</f>
        <v>0</v>
      </c>
      <c r="J2557" s="18">
        <v>0</v>
      </c>
      <c r="K2557" s="19">
        <v>0</v>
      </c>
      <c r="L2557" s="17" t="s">
        <v>28</v>
      </c>
    </row>
    <row r="2558" ht="10.95" customHeight="true" customFormat="true" s="9">
      <c r="A2558" s="16">
        <v>45320</v>
      </c>
      <c r="B2558" s="17" t="s">
        <v>571</v>
      </c>
      <c r="C2558" s="17" t="s">
        <v>572</v>
      </c>
      <c r="D2558" s="17" t="s">
        <v>333</v>
      </c>
      <c r="E2558" s="17" t="s">
        <v>574</v>
      </c>
      <c r="F2558" s="17" t="s">
        <v>365</v>
      </c>
      <c r="G2558" s="18">
        <v>0</v>
      </c>
      <c r="H2558" s="18">
        <v>5595.4000</v>
      </c>
      <c r="I2558" s="18">
        <f ca="1">((I2557 + G2558) - H2558)</f>
        <v>0</v>
      </c>
      <c r="J2558" s="18">
        <v>0</v>
      </c>
      <c r="K2558" s="19">
        <v>0</v>
      </c>
      <c r="L2558" s="17" t="s">
        <v>28</v>
      </c>
    </row>
    <row r="2559" ht="10.95" customHeight="true" customFormat="true" s="9">
      <c r="A2559" s="16">
        <v>45327</v>
      </c>
      <c r="B2559" s="17" t="s">
        <v>571</v>
      </c>
      <c r="C2559" s="17" t="s">
        <v>572</v>
      </c>
      <c r="D2559" s="17" t="s">
        <v>333</v>
      </c>
      <c r="E2559" s="17" t="s">
        <v>574</v>
      </c>
      <c r="F2559" s="17" t="s">
        <v>366</v>
      </c>
      <c r="G2559" s="18">
        <v>0</v>
      </c>
      <c r="H2559" s="18">
        <v>5398.9000</v>
      </c>
      <c r="I2559" s="18">
        <f ca="1">((I2558 + G2559) - H2559)</f>
        <v>0</v>
      </c>
      <c r="J2559" s="18">
        <v>0</v>
      </c>
      <c r="K2559" s="19">
        <v>0</v>
      </c>
      <c r="L2559" s="17" t="s">
        <v>28</v>
      </c>
    </row>
    <row r="2560" ht="10.95" customHeight="true" customFormat="true" s="9">
      <c r="A2560" s="16">
        <v>45327</v>
      </c>
      <c r="B2560" s="17" t="s">
        <v>571</v>
      </c>
      <c r="C2560" s="17" t="s">
        <v>572</v>
      </c>
      <c r="D2560" s="17" t="s">
        <v>22</v>
      </c>
      <c r="E2560" s="17" t="s">
        <v>573</v>
      </c>
      <c r="F2560" s="17" t="s">
        <v>502</v>
      </c>
      <c r="G2560" s="18">
        <v>1225.7000</v>
      </c>
      <c r="H2560" s="18">
        <v>0</v>
      </c>
      <c r="I2560" s="18">
        <f ca="1">((I2559 + G2560) - H2560)</f>
        <v>0</v>
      </c>
      <c r="J2560" s="18">
        <v>0</v>
      </c>
      <c r="K2560" s="19">
        <v>0</v>
      </c>
      <c r="L2560" s="17" t="s">
        <v>28</v>
      </c>
    </row>
    <row r="2561" ht="10.95" customHeight="true" customFormat="true" s="9">
      <c r="A2561" s="16">
        <v>45327</v>
      </c>
      <c r="B2561" s="17" t="s">
        <v>571</v>
      </c>
      <c r="C2561" s="17" t="s">
        <v>572</v>
      </c>
      <c r="D2561" s="17" t="s">
        <v>22</v>
      </c>
      <c r="E2561" s="17" t="s">
        <v>573</v>
      </c>
      <c r="F2561" s="17" t="s">
        <v>502</v>
      </c>
      <c r="G2561" s="18">
        <v>2000.0000</v>
      </c>
      <c r="H2561" s="18">
        <v>0</v>
      </c>
      <c r="I2561" s="18">
        <f ca="1">((I2560 + G2561) - H2561)</f>
        <v>0</v>
      </c>
      <c r="J2561" s="18">
        <v>0</v>
      </c>
      <c r="K2561" s="19">
        <v>0</v>
      </c>
      <c r="L2561" s="17" t="s">
        <v>28</v>
      </c>
    </row>
    <row r="2562" ht="10.95" customHeight="true" customFormat="true" s="9">
      <c r="A2562" s="16">
        <v>45327</v>
      </c>
      <c r="B2562" s="17" t="s">
        <v>571</v>
      </c>
      <c r="C2562" s="17" t="s">
        <v>572</v>
      </c>
      <c r="D2562" s="17" t="s">
        <v>22</v>
      </c>
      <c r="E2562" s="17" t="s">
        <v>573</v>
      </c>
      <c r="F2562" s="17" t="s">
        <v>502</v>
      </c>
      <c r="G2562" s="18">
        <v>144.0000</v>
      </c>
      <c r="H2562" s="18">
        <v>0</v>
      </c>
      <c r="I2562" s="18">
        <f ca="1">((I2561 + G2562) - H2562)</f>
        <v>0</v>
      </c>
      <c r="J2562" s="18">
        <v>0</v>
      </c>
      <c r="K2562" s="19">
        <v>0</v>
      </c>
      <c r="L2562" s="17" t="s">
        <v>28</v>
      </c>
    </row>
    <row r="2563" ht="10.95" customHeight="true" customFormat="true" s="9">
      <c r="A2563" s="16">
        <v>45327</v>
      </c>
      <c r="B2563" s="17" t="s">
        <v>571</v>
      </c>
      <c r="C2563" s="17" t="s">
        <v>572</v>
      </c>
      <c r="D2563" s="17" t="s">
        <v>22</v>
      </c>
      <c r="E2563" s="17" t="s">
        <v>573</v>
      </c>
      <c r="F2563" s="17" t="s">
        <v>502</v>
      </c>
      <c r="G2563" s="18">
        <v>685.9500</v>
      </c>
      <c r="H2563" s="18">
        <v>0</v>
      </c>
      <c r="I2563" s="18">
        <f ca="1">((I2562 + G2563) - H2563)</f>
        <v>0</v>
      </c>
      <c r="J2563" s="18">
        <v>0</v>
      </c>
      <c r="K2563" s="19">
        <v>0</v>
      </c>
      <c r="L2563" s="17" t="s">
        <v>28</v>
      </c>
    </row>
    <row r="2564" ht="10.95" customHeight="true" customFormat="true" s="9">
      <c r="A2564" s="16">
        <v>45327</v>
      </c>
      <c r="B2564" s="17" t="s">
        <v>571</v>
      </c>
      <c r="C2564" s="17" t="s">
        <v>572</v>
      </c>
      <c r="D2564" s="17" t="s">
        <v>22</v>
      </c>
      <c r="E2564" s="17" t="s">
        <v>573</v>
      </c>
      <c r="F2564" s="17" t="s">
        <v>502</v>
      </c>
      <c r="G2564" s="18">
        <v>1342.9000</v>
      </c>
      <c r="H2564" s="18">
        <v>0</v>
      </c>
      <c r="I2564" s="18">
        <f ca="1">((I2563 + G2564) - H2564)</f>
        <v>0</v>
      </c>
      <c r="J2564" s="18">
        <v>0</v>
      </c>
      <c r="K2564" s="19">
        <v>0</v>
      </c>
      <c r="L2564" s="17" t="s">
        <v>28</v>
      </c>
    </row>
    <row r="2565" ht="10.95" customHeight="true" customFormat="true" s="9">
      <c r="A2565" s="16">
        <v>45334</v>
      </c>
      <c r="B2565" s="17" t="s">
        <v>571</v>
      </c>
      <c r="C2565" s="17" t="s">
        <v>572</v>
      </c>
      <c r="D2565" s="17" t="s">
        <v>22</v>
      </c>
      <c r="E2565" s="17" t="s">
        <v>573</v>
      </c>
      <c r="F2565" s="17" t="s">
        <v>504</v>
      </c>
      <c r="G2565" s="18">
        <v>1342.9000</v>
      </c>
      <c r="H2565" s="18">
        <v>0</v>
      </c>
      <c r="I2565" s="18">
        <f ca="1">((I2564 + G2565) - H2565)</f>
        <v>0</v>
      </c>
      <c r="J2565" s="18">
        <v>0</v>
      </c>
      <c r="K2565" s="19">
        <v>0</v>
      </c>
      <c r="L2565" s="17" t="s">
        <v>28</v>
      </c>
    </row>
    <row r="2566" ht="10.95" customHeight="true" customFormat="true" s="9">
      <c r="A2566" s="16">
        <v>45334</v>
      </c>
      <c r="B2566" s="17" t="s">
        <v>571</v>
      </c>
      <c r="C2566" s="17" t="s">
        <v>572</v>
      </c>
      <c r="D2566" s="17" t="s">
        <v>22</v>
      </c>
      <c r="E2566" s="17" t="s">
        <v>573</v>
      </c>
      <c r="F2566" s="17" t="s">
        <v>505</v>
      </c>
      <c r="G2566" s="18">
        <v>1225.7000</v>
      </c>
      <c r="H2566" s="18">
        <v>0</v>
      </c>
      <c r="I2566" s="18">
        <f ca="1">((I2565 + G2566) - H2566)</f>
        <v>0</v>
      </c>
      <c r="J2566" s="18">
        <v>0</v>
      </c>
      <c r="K2566" s="19">
        <v>0</v>
      </c>
      <c r="L2566" s="17" t="s">
        <v>28</v>
      </c>
    </row>
    <row r="2567" ht="10.95" customHeight="true" customFormat="true" s="9">
      <c r="A2567" s="16">
        <v>45334</v>
      </c>
      <c r="B2567" s="17" t="s">
        <v>571</v>
      </c>
      <c r="C2567" s="17" t="s">
        <v>572</v>
      </c>
      <c r="D2567" s="17" t="s">
        <v>22</v>
      </c>
      <c r="E2567" s="17" t="s">
        <v>573</v>
      </c>
      <c r="F2567" s="17" t="s">
        <v>505</v>
      </c>
      <c r="G2567" s="18">
        <v>78.0000</v>
      </c>
      <c r="H2567" s="18">
        <v>0</v>
      </c>
      <c r="I2567" s="18">
        <f ca="1">((I2566 + G2567) - H2567)</f>
        <v>0</v>
      </c>
      <c r="J2567" s="18">
        <v>0</v>
      </c>
      <c r="K2567" s="19">
        <v>0</v>
      </c>
      <c r="L2567" s="17" t="s">
        <v>28</v>
      </c>
    </row>
    <row r="2568" ht="10.95" customHeight="true" customFormat="true" s="9">
      <c r="A2568" s="16">
        <v>45334</v>
      </c>
      <c r="B2568" s="17" t="s">
        <v>571</v>
      </c>
      <c r="C2568" s="17" t="s">
        <v>572</v>
      </c>
      <c r="D2568" s="17" t="s">
        <v>22</v>
      </c>
      <c r="E2568" s="17" t="s">
        <v>573</v>
      </c>
      <c r="F2568" s="17" t="s">
        <v>506</v>
      </c>
      <c r="G2568" s="18">
        <v>144.0000</v>
      </c>
      <c r="H2568" s="18">
        <v>0</v>
      </c>
      <c r="I2568" s="18">
        <f ca="1">((I2567 + G2568) - H2568)</f>
        <v>0</v>
      </c>
      <c r="J2568" s="18">
        <v>0</v>
      </c>
      <c r="K2568" s="19">
        <v>0</v>
      </c>
      <c r="L2568" s="17" t="s">
        <v>28</v>
      </c>
    </row>
    <row r="2569" ht="10.95" customHeight="true" customFormat="true" s="9">
      <c r="A2569" s="16">
        <v>45334</v>
      </c>
      <c r="B2569" s="17" t="s">
        <v>571</v>
      </c>
      <c r="C2569" s="17" t="s">
        <v>572</v>
      </c>
      <c r="D2569" s="17" t="s">
        <v>22</v>
      </c>
      <c r="E2569" s="17" t="s">
        <v>573</v>
      </c>
      <c r="F2569" s="17" t="s">
        <v>507</v>
      </c>
      <c r="G2569" s="18">
        <v>2000.0000</v>
      </c>
      <c r="H2569" s="18">
        <v>0</v>
      </c>
      <c r="I2569" s="18">
        <f ca="1">((I2568 + G2569) - H2569)</f>
        <v>0</v>
      </c>
      <c r="J2569" s="18">
        <v>0</v>
      </c>
      <c r="K2569" s="19">
        <v>0</v>
      </c>
      <c r="L2569" s="17" t="s">
        <v>28</v>
      </c>
    </row>
    <row r="2570" ht="10.95" customHeight="true" customFormat="true" s="9">
      <c r="A2570" s="16">
        <v>45334</v>
      </c>
      <c r="B2570" s="17" t="s">
        <v>571</v>
      </c>
      <c r="C2570" s="17" t="s">
        <v>572</v>
      </c>
      <c r="D2570" s="17" t="s">
        <v>333</v>
      </c>
      <c r="E2570" s="17" t="s">
        <v>574</v>
      </c>
      <c r="F2570" s="17" t="s">
        <v>367</v>
      </c>
      <c r="G2570" s="18">
        <v>0</v>
      </c>
      <c r="H2570" s="18">
        <v>4790.9000</v>
      </c>
      <c r="I2570" s="18">
        <f ca="1">((I2569 + G2570) - H2570)</f>
        <v>0</v>
      </c>
      <c r="J2570" s="18">
        <v>0</v>
      </c>
      <c r="K2570" s="19">
        <v>0</v>
      </c>
      <c r="L2570" s="17" t="s">
        <v>28</v>
      </c>
    </row>
    <row r="2571" ht="10.95" customHeight="true" customFormat="true" s="9">
      <c r="A2571" s="16">
        <v>45341</v>
      </c>
      <c r="B2571" s="17" t="s">
        <v>571</v>
      </c>
      <c r="C2571" s="17" t="s">
        <v>572</v>
      </c>
      <c r="D2571" s="17" t="s">
        <v>333</v>
      </c>
      <c r="E2571" s="17" t="s">
        <v>574</v>
      </c>
      <c r="F2571" s="17" t="s">
        <v>368</v>
      </c>
      <c r="G2571" s="18">
        <v>0</v>
      </c>
      <c r="H2571" s="18">
        <v>4790.9000</v>
      </c>
      <c r="I2571" s="18">
        <f ca="1">((I2570 + G2571) - H2571)</f>
        <v>0</v>
      </c>
      <c r="J2571" s="18">
        <v>0</v>
      </c>
      <c r="K2571" s="19">
        <v>0</v>
      </c>
      <c r="L2571" s="17" t="s">
        <v>28</v>
      </c>
    </row>
    <row r="2572" ht="10.95" customHeight="true" customFormat="true" s="9">
      <c r="A2572" s="16">
        <v>45341</v>
      </c>
      <c r="B2572" s="17" t="s">
        <v>571</v>
      </c>
      <c r="C2572" s="17" t="s">
        <v>572</v>
      </c>
      <c r="D2572" s="17" t="s">
        <v>22</v>
      </c>
      <c r="E2572" s="17" t="s">
        <v>573</v>
      </c>
      <c r="F2572" s="17" t="s">
        <v>508</v>
      </c>
      <c r="G2572" s="18">
        <v>144.0000</v>
      </c>
      <c r="H2572" s="18">
        <v>0</v>
      </c>
      <c r="I2572" s="18">
        <f ca="1">((I2571 + G2572) - H2572)</f>
        <v>0</v>
      </c>
      <c r="J2572" s="18">
        <v>0</v>
      </c>
      <c r="K2572" s="19">
        <v>0</v>
      </c>
      <c r="L2572" s="17" t="s">
        <v>28</v>
      </c>
    </row>
    <row r="2573" ht="10.95" customHeight="true" customFormat="true" s="9">
      <c r="A2573" s="16">
        <v>45341</v>
      </c>
      <c r="B2573" s="17" t="s">
        <v>571</v>
      </c>
      <c r="C2573" s="17" t="s">
        <v>572</v>
      </c>
      <c r="D2573" s="17" t="s">
        <v>22</v>
      </c>
      <c r="E2573" s="17" t="s">
        <v>573</v>
      </c>
      <c r="F2573" s="17" t="s">
        <v>508</v>
      </c>
      <c r="G2573" s="18">
        <v>1225.7000</v>
      </c>
      <c r="H2573" s="18">
        <v>0</v>
      </c>
      <c r="I2573" s="18">
        <f ca="1">((I2572 + G2573) - H2573)</f>
        <v>0</v>
      </c>
      <c r="J2573" s="18">
        <v>0</v>
      </c>
      <c r="K2573" s="19">
        <v>0</v>
      </c>
      <c r="L2573" s="17" t="s">
        <v>28</v>
      </c>
    </row>
    <row r="2574" ht="10.95" customHeight="true" customFormat="true" s="9">
      <c r="A2574" s="16">
        <v>45341</v>
      </c>
      <c r="B2574" s="17" t="s">
        <v>571</v>
      </c>
      <c r="C2574" s="17" t="s">
        <v>572</v>
      </c>
      <c r="D2574" s="17" t="s">
        <v>22</v>
      </c>
      <c r="E2574" s="17" t="s">
        <v>573</v>
      </c>
      <c r="F2574" s="17" t="s">
        <v>508</v>
      </c>
      <c r="G2574" s="18">
        <v>1342.9000</v>
      </c>
      <c r="H2574" s="18">
        <v>0</v>
      </c>
      <c r="I2574" s="18">
        <f ca="1">((I2573 + G2574) - H2574)</f>
        <v>0</v>
      </c>
      <c r="J2574" s="18">
        <v>0</v>
      </c>
      <c r="K2574" s="19">
        <v>0</v>
      </c>
      <c r="L2574" s="17" t="s">
        <v>28</v>
      </c>
    </row>
    <row r="2575" ht="10.95" customHeight="true" customFormat="true" s="9">
      <c r="A2575" s="16">
        <v>45341</v>
      </c>
      <c r="B2575" s="17" t="s">
        <v>571</v>
      </c>
      <c r="C2575" s="17" t="s">
        <v>572</v>
      </c>
      <c r="D2575" s="17" t="s">
        <v>22</v>
      </c>
      <c r="E2575" s="17" t="s">
        <v>573</v>
      </c>
      <c r="F2575" s="17" t="s">
        <v>508</v>
      </c>
      <c r="G2575" s="18">
        <v>78.0000</v>
      </c>
      <c r="H2575" s="18">
        <v>0</v>
      </c>
      <c r="I2575" s="18">
        <f ca="1">((I2574 + G2575) - H2575)</f>
        <v>0</v>
      </c>
      <c r="J2575" s="18">
        <v>0</v>
      </c>
      <c r="K2575" s="19">
        <v>0</v>
      </c>
      <c r="L2575" s="17" t="s">
        <v>28</v>
      </c>
    </row>
    <row r="2576" ht="10.95" customHeight="true" customFormat="true" s="9">
      <c r="A2576" s="16">
        <v>45341</v>
      </c>
      <c r="B2576" s="17" t="s">
        <v>571</v>
      </c>
      <c r="C2576" s="17" t="s">
        <v>572</v>
      </c>
      <c r="D2576" s="17" t="s">
        <v>22</v>
      </c>
      <c r="E2576" s="17" t="s">
        <v>573</v>
      </c>
      <c r="F2576" s="17" t="s">
        <v>508</v>
      </c>
      <c r="G2576" s="18">
        <v>2000.0000</v>
      </c>
      <c r="H2576" s="18">
        <v>0</v>
      </c>
      <c r="I2576" s="18">
        <f ca="1">((I2575 + G2576) - H2576)</f>
        <v>0</v>
      </c>
      <c r="J2576" s="18">
        <v>0</v>
      </c>
      <c r="K2576" s="19">
        <v>0</v>
      </c>
      <c r="L2576" s="17" t="s">
        <v>28</v>
      </c>
    </row>
    <row r="2577" ht="10.95" customHeight="true" customFormat="true" s="9">
      <c r="A2577" s="16">
        <v>45348</v>
      </c>
      <c r="B2577" s="17" t="s">
        <v>571</v>
      </c>
      <c r="C2577" s="17" t="s">
        <v>572</v>
      </c>
      <c r="D2577" s="17" t="s">
        <v>333</v>
      </c>
      <c r="E2577" s="17" t="s">
        <v>574</v>
      </c>
      <c r="F2577" s="17" t="s">
        <v>369</v>
      </c>
      <c r="G2577" s="18">
        <v>0</v>
      </c>
      <c r="H2577" s="18">
        <v>4992.4000</v>
      </c>
      <c r="I2577" s="18">
        <f ca="1">((I2576 + G2577) - H2577)</f>
        <v>0</v>
      </c>
      <c r="J2577" s="18">
        <v>0</v>
      </c>
      <c r="K2577" s="19">
        <v>0</v>
      </c>
      <c r="L2577" s="17" t="s">
        <v>28</v>
      </c>
    </row>
    <row r="2578" ht="10.95" customHeight="true" customFormat="true" s="9">
      <c r="A2578" s="16">
        <v>45348</v>
      </c>
      <c r="B2578" s="17" t="s">
        <v>571</v>
      </c>
      <c r="C2578" s="17" t="s">
        <v>572</v>
      </c>
      <c r="D2578" s="17" t="s">
        <v>22</v>
      </c>
      <c r="E2578" s="17" t="s">
        <v>573</v>
      </c>
      <c r="F2578" s="17" t="s">
        <v>510</v>
      </c>
      <c r="G2578" s="18">
        <v>2000.0000</v>
      </c>
      <c r="H2578" s="18">
        <v>0</v>
      </c>
      <c r="I2578" s="18">
        <f ca="1">((I2577 + G2578) - H2578)</f>
        <v>0</v>
      </c>
      <c r="J2578" s="18">
        <v>0</v>
      </c>
      <c r="K2578" s="19">
        <v>0</v>
      </c>
      <c r="L2578" s="17" t="s">
        <v>28</v>
      </c>
    </row>
    <row r="2579" ht="10.95" customHeight="true" customFormat="true" s="9">
      <c r="A2579" s="16">
        <v>45348</v>
      </c>
      <c r="B2579" s="17" t="s">
        <v>571</v>
      </c>
      <c r="C2579" s="17" t="s">
        <v>572</v>
      </c>
      <c r="D2579" s="17" t="s">
        <v>22</v>
      </c>
      <c r="E2579" s="17" t="s">
        <v>573</v>
      </c>
      <c r="F2579" s="17" t="s">
        <v>510</v>
      </c>
      <c r="G2579" s="18">
        <v>1225.7000</v>
      </c>
      <c r="H2579" s="18">
        <v>0</v>
      </c>
      <c r="I2579" s="18">
        <f ca="1">((I2578 + G2579) - H2579)</f>
        <v>0</v>
      </c>
      <c r="J2579" s="18">
        <v>0</v>
      </c>
      <c r="K2579" s="19">
        <v>0</v>
      </c>
      <c r="L2579" s="17" t="s">
        <v>28</v>
      </c>
    </row>
    <row r="2580" ht="10.95" customHeight="true" customFormat="true" s="9">
      <c r="A2580" s="16">
        <v>45348</v>
      </c>
      <c r="B2580" s="17" t="s">
        <v>571</v>
      </c>
      <c r="C2580" s="17" t="s">
        <v>572</v>
      </c>
      <c r="D2580" s="17" t="s">
        <v>22</v>
      </c>
      <c r="E2580" s="17" t="s">
        <v>573</v>
      </c>
      <c r="F2580" s="17" t="s">
        <v>510</v>
      </c>
      <c r="G2580" s="18">
        <v>78.0000</v>
      </c>
      <c r="H2580" s="18">
        <v>0</v>
      </c>
      <c r="I2580" s="18">
        <f ca="1">((I2579 + G2580) - H2580)</f>
        <v>0</v>
      </c>
      <c r="J2580" s="18">
        <v>0</v>
      </c>
      <c r="K2580" s="19">
        <v>0</v>
      </c>
      <c r="L2580" s="17" t="s">
        <v>28</v>
      </c>
    </row>
    <row r="2581" ht="10.95" customHeight="true" customFormat="true" s="9">
      <c r="A2581" s="16">
        <v>45348</v>
      </c>
      <c r="B2581" s="17" t="s">
        <v>571</v>
      </c>
      <c r="C2581" s="17" t="s">
        <v>572</v>
      </c>
      <c r="D2581" s="17" t="s">
        <v>22</v>
      </c>
      <c r="E2581" s="17" t="s">
        <v>573</v>
      </c>
      <c r="F2581" s="17" t="s">
        <v>510</v>
      </c>
      <c r="G2581" s="18">
        <v>1342.9000</v>
      </c>
      <c r="H2581" s="18">
        <v>0</v>
      </c>
      <c r="I2581" s="18">
        <f ca="1">((I2580 + G2581) - H2581)</f>
        <v>0</v>
      </c>
      <c r="J2581" s="18">
        <v>0</v>
      </c>
      <c r="K2581" s="19">
        <v>0</v>
      </c>
      <c r="L2581" s="17" t="s">
        <v>28</v>
      </c>
    </row>
    <row r="2582" ht="10.95" customHeight="true" customFormat="true" s="9">
      <c r="A2582" s="16">
        <v>45348</v>
      </c>
      <c r="B2582" s="17" t="s">
        <v>571</v>
      </c>
      <c r="C2582" s="17" t="s">
        <v>572</v>
      </c>
      <c r="D2582" s="17" t="s">
        <v>22</v>
      </c>
      <c r="E2582" s="17" t="s">
        <v>573</v>
      </c>
      <c r="F2582" s="17" t="s">
        <v>510</v>
      </c>
      <c r="G2582" s="18">
        <v>201.8800</v>
      </c>
      <c r="H2582" s="18">
        <v>0</v>
      </c>
      <c r="I2582" s="18">
        <f ca="1">((I2581 + G2582) - H2582)</f>
        <v>0</v>
      </c>
      <c r="J2582" s="18">
        <v>0</v>
      </c>
      <c r="K2582" s="19">
        <v>0</v>
      </c>
      <c r="L2582" s="17" t="s">
        <v>28</v>
      </c>
    </row>
    <row r="2583" ht="10.95" customHeight="true" customFormat="true" s="9">
      <c r="A2583" s="16">
        <v>45348</v>
      </c>
      <c r="B2583" s="17" t="s">
        <v>571</v>
      </c>
      <c r="C2583" s="17" t="s">
        <v>572</v>
      </c>
      <c r="D2583" s="17" t="s">
        <v>22</v>
      </c>
      <c r="E2583" s="17" t="s">
        <v>573</v>
      </c>
      <c r="F2583" s="17" t="s">
        <v>510</v>
      </c>
      <c r="G2583" s="18">
        <v>144.0000</v>
      </c>
      <c r="H2583" s="18">
        <v>0</v>
      </c>
      <c r="I2583" s="18">
        <f ca="1">((I2582 + G2583) - H2583)</f>
        <v>0</v>
      </c>
      <c r="J2583" s="18">
        <v>0</v>
      </c>
      <c r="K2583" s="19">
        <v>0</v>
      </c>
      <c r="L2583" s="17" t="s">
        <v>28</v>
      </c>
    </row>
    <row r="2584" ht="10.95" customHeight="true" customFormat="true" s="9">
      <c r="A2584" s="16">
        <v>45355</v>
      </c>
      <c r="B2584" s="17" t="s">
        <v>571</v>
      </c>
      <c r="C2584" s="17" t="s">
        <v>572</v>
      </c>
      <c r="D2584" s="17" t="s">
        <v>22</v>
      </c>
      <c r="E2584" s="17" t="s">
        <v>573</v>
      </c>
      <c r="F2584" s="17" t="s">
        <v>513</v>
      </c>
      <c r="G2584" s="18">
        <v>144.0000</v>
      </c>
      <c r="H2584" s="18">
        <v>0</v>
      </c>
      <c r="I2584" s="18">
        <f ca="1">((I2583 + G2584) - H2584)</f>
        <v>0</v>
      </c>
      <c r="J2584" s="18">
        <v>0</v>
      </c>
      <c r="K2584" s="19">
        <v>0</v>
      </c>
      <c r="L2584" s="17" t="s">
        <v>28</v>
      </c>
    </row>
    <row r="2585" ht="10.95" customHeight="true" customFormat="true" s="9">
      <c r="A2585" s="16">
        <v>45355</v>
      </c>
      <c r="B2585" s="17" t="s">
        <v>571</v>
      </c>
      <c r="C2585" s="17" t="s">
        <v>572</v>
      </c>
      <c r="D2585" s="17" t="s">
        <v>22</v>
      </c>
      <c r="E2585" s="17" t="s">
        <v>573</v>
      </c>
      <c r="F2585" s="17" t="s">
        <v>513</v>
      </c>
      <c r="G2585" s="18">
        <v>658.7500</v>
      </c>
      <c r="H2585" s="18">
        <v>0</v>
      </c>
      <c r="I2585" s="18">
        <f ca="1">((I2584 + G2585) - H2585)</f>
        <v>0</v>
      </c>
      <c r="J2585" s="18">
        <v>0</v>
      </c>
      <c r="K2585" s="19">
        <v>0</v>
      </c>
      <c r="L2585" s="17" t="s">
        <v>28</v>
      </c>
    </row>
    <row r="2586" ht="10.95" customHeight="true" customFormat="true" s="9">
      <c r="A2586" s="16">
        <v>45355</v>
      </c>
      <c r="B2586" s="17" t="s">
        <v>571</v>
      </c>
      <c r="C2586" s="17" t="s">
        <v>572</v>
      </c>
      <c r="D2586" s="17" t="s">
        <v>22</v>
      </c>
      <c r="E2586" s="17" t="s">
        <v>573</v>
      </c>
      <c r="F2586" s="17" t="s">
        <v>513</v>
      </c>
      <c r="G2586" s="18">
        <v>2000.0000</v>
      </c>
      <c r="H2586" s="18">
        <v>0</v>
      </c>
      <c r="I2586" s="18">
        <f ca="1">((I2585 + G2586) - H2586)</f>
        <v>0</v>
      </c>
      <c r="J2586" s="18">
        <v>0</v>
      </c>
      <c r="K2586" s="19">
        <v>0</v>
      </c>
      <c r="L2586" s="17" t="s">
        <v>28</v>
      </c>
    </row>
    <row r="2587" ht="10.95" customHeight="true" customFormat="true" s="9">
      <c r="A2587" s="16">
        <v>45355</v>
      </c>
      <c r="B2587" s="17" t="s">
        <v>571</v>
      </c>
      <c r="C2587" s="17" t="s">
        <v>572</v>
      </c>
      <c r="D2587" s="17" t="s">
        <v>22</v>
      </c>
      <c r="E2587" s="17" t="s">
        <v>573</v>
      </c>
      <c r="F2587" s="17" t="s">
        <v>513</v>
      </c>
      <c r="G2587" s="18">
        <v>1342.9000</v>
      </c>
      <c r="H2587" s="18">
        <v>0</v>
      </c>
      <c r="I2587" s="18">
        <f ca="1">((I2586 + G2587) - H2587)</f>
        <v>0</v>
      </c>
      <c r="J2587" s="18">
        <v>0</v>
      </c>
      <c r="K2587" s="19">
        <v>0</v>
      </c>
      <c r="L2587" s="17" t="s">
        <v>28</v>
      </c>
    </row>
    <row r="2588" ht="10.95" customHeight="true" customFormat="true" s="9">
      <c r="A2588" s="16">
        <v>45355</v>
      </c>
      <c r="B2588" s="17" t="s">
        <v>571</v>
      </c>
      <c r="C2588" s="17" t="s">
        <v>572</v>
      </c>
      <c r="D2588" s="17" t="s">
        <v>22</v>
      </c>
      <c r="E2588" s="17" t="s">
        <v>573</v>
      </c>
      <c r="F2588" s="17" t="s">
        <v>513</v>
      </c>
      <c r="G2588" s="18">
        <v>25.5000</v>
      </c>
      <c r="H2588" s="18">
        <v>0</v>
      </c>
      <c r="I2588" s="18">
        <f ca="1">((I2587 + G2588) - H2588)</f>
        <v>0</v>
      </c>
      <c r="J2588" s="18">
        <v>0</v>
      </c>
      <c r="K2588" s="19">
        <v>0</v>
      </c>
      <c r="L2588" s="17" t="s">
        <v>28</v>
      </c>
    </row>
    <row r="2589" ht="10.95" customHeight="true" customFormat="true" s="9">
      <c r="A2589" s="16">
        <v>45355</v>
      </c>
      <c r="B2589" s="17" t="s">
        <v>571</v>
      </c>
      <c r="C2589" s="17" t="s">
        <v>572</v>
      </c>
      <c r="D2589" s="17" t="s">
        <v>22</v>
      </c>
      <c r="E2589" s="17" t="s">
        <v>573</v>
      </c>
      <c r="F2589" s="17" t="s">
        <v>513</v>
      </c>
      <c r="G2589" s="18">
        <v>639.0000</v>
      </c>
      <c r="H2589" s="18">
        <v>0</v>
      </c>
      <c r="I2589" s="18">
        <f ca="1">((I2588 + G2589) - H2589)</f>
        <v>0</v>
      </c>
      <c r="J2589" s="18">
        <v>0</v>
      </c>
      <c r="K2589" s="19">
        <v>0</v>
      </c>
      <c r="L2589" s="17" t="s">
        <v>28</v>
      </c>
    </row>
    <row r="2590" ht="10.95" customHeight="true" customFormat="true" s="9">
      <c r="A2590" s="16">
        <v>45355</v>
      </c>
      <c r="B2590" s="17" t="s">
        <v>571</v>
      </c>
      <c r="C2590" s="17" t="s">
        <v>572</v>
      </c>
      <c r="D2590" s="17" t="s">
        <v>333</v>
      </c>
      <c r="E2590" s="17" t="s">
        <v>574</v>
      </c>
      <c r="F2590" s="17" t="s">
        <v>370</v>
      </c>
      <c r="G2590" s="18">
        <v>0</v>
      </c>
      <c r="H2590" s="18">
        <v>4809.9000</v>
      </c>
      <c r="I2590" s="18">
        <f ca="1">((I2589 + G2590) - H2590)</f>
        <v>0</v>
      </c>
      <c r="J2590" s="18">
        <v>0</v>
      </c>
      <c r="K2590" s="19">
        <v>0</v>
      </c>
      <c r="L2590" s="17" t="s">
        <v>28</v>
      </c>
    </row>
    <row r="2591" ht="10.95" customHeight="true" customFormat="true" s="9">
      <c r="A2591" s="16">
        <v>45362</v>
      </c>
      <c r="B2591" s="17" t="s">
        <v>571</v>
      </c>
      <c r="C2591" s="17" t="s">
        <v>572</v>
      </c>
      <c r="D2591" s="17" t="s">
        <v>333</v>
      </c>
      <c r="E2591" s="17" t="s">
        <v>574</v>
      </c>
      <c r="F2591" s="17" t="s">
        <v>371</v>
      </c>
      <c r="G2591" s="18">
        <v>0</v>
      </c>
      <c r="H2591" s="18">
        <v>4744.4000</v>
      </c>
      <c r="I2591" s="18">
        <f ca="1">((I2590 + G2591) - H2591)</f>
        <v>0</v>
      </c>
      <c r="J2591" s="18">
        <v>0</v>
      </c>
      <c r="K2591" s="19">
        <v>0</v>
      </c>
      <c r="L2591" s="17" t="s">
        <v>28</v>
      </c>
    </row>
    <row r="2592" ht="10.95" customHeight="true" customFormat="true" s="9">
      <c r="A2592" s="16">
        <v>45362</v>
      </c>
      <c r="B2592" s="17" t="s">
        <v>571</v>
      </c>
      <c r="C2592" s="17" t="s">
        <v>572</v>
      </c>
      <c r="D2592" s="17" t="s">
        <v>22</v>
      </c>
      <c r="E2592" s="17" t="s">
        <v>573</v>
      </c>
      <c r="F2592" s="17" t="s">
        <v>514</v>
      </c>
      <c r="G2592" s="18">
        <v>1342.9000</v>
      </c>
      <c r="H2592" s="18">
        <v>0</v>
      </c>
      <c r="I2592" s="18">
        <f ca="1">((I2591 + G2592) - H2592)</f>
        <v>0</v>
      </c>
      <c r="J2592" s="18">
        <v>0</v>
      </c>
      <c r="K2592" s="19">
        <v>0</v>
      </c>
      <c r="L2592" s="17" t="s">
        <v>28</v>
      </c>
    </row>
    <row r="2593" ht="10.95" customHeight="true" customFormat="true" s="9">
      <c r="A2593" s="16">
        <v>45362</v>
      </c>
      <c r="B2593" s="17" t="s">
        <v>571</v>
      </c>
      <c r="C2593" s="17" t="s">
        <v>572</v>
      </c>
      <c r="D2593" s="17" t="s">
        <v>22</v>
      </c>
      <c r="E2593" s="17" t="s">
        <v>573</v>
      </c>
      <c r="F2593" s="17" t="s">
        <v>514</v>
      </c>
      <c r="G2593" s="18">
        <v>144.0000</v>
      </c>
      <c r="H2593" s="18">
        <v>0</v>
      </c>
      <c r="I2593" s="18">
        <f ca="1">((I2592 + G2593) - H2593)</f>
        <v>0</v>
      </c>
      <c r="J2593" s="18">
        <v>0</v>
      </c>
      <c r="K2593" s="19">
        <v>0</v>
      </c>
      <c r="L2593" s="17" t="s">
        <v>28</v>
      </c>
    </row>
    <row r="2594" ht="10.95" customHeight="true" customFormat="true" s="9">
      <c r="A2594" s="16">
        <v>45362</v>
      </c>
      <c r="B2594" s="17" t="s">
        <v>571</v>
      </c>
      <c r="C2594" s="17" t="s">
        <v>572</v>
      </c>
      <c r="D2594" s="17" t="s">
        <v>22</v>
      </c>
      <c r="E2594" s="17" t="s">
        <v>573</v>
      </c>
      <c r="F2594" s="17" t="s">
        <v>514</v>
      </c>
      <c r="G2594" s="18">
        <v>2000.0000</v>
      </c>
      <c r="H2594" s="18">
        <v>0</v>
      </c>
      <c r="I2594" s="18">
        <f ca="1">((I2593 + G2594) - H2594)</f>
        <v>0</v>
      </c>
      <c r="J2594" s="18">
        <v>0</v>
      </c>
      <c r="K2594" s="19">
        <v>0</v>
      </c>
      <c r="L2594" s="17" t="s">
        <v>28</v>
      </c>
    </row>
    <row r="2595" ht="10.95" customHeight="true" customFormat="true" s="9">
      <c r="A2595" s="16">
        <v>45362</v>
      </c>
      <c r="B2595" s="17" t="s">
        <v>571</v>
      </c>
      <c r="C2595" s="17" t="s">
        <v>572</v>
      </c>
      <c r="D2595" s="17" t="s">
        <v>22</v>
      </c>
      <c r="E2595" s="17" t="s">
        <v>573</v>
      </c>
      <c r="F2595" s="17" t="s">
        <v>514</v>
      </c>
      <c r="G2595" s="18">
        <v>652.0000</v>
      </c>
      <c r="H2595" s="18">
        <v>0</v>
      </c>
      <c r="I2595" s="18">
        <f ca="1">((I2594 + G2595) - H2595)</f>
        <v>0</v>
      </c>
      <c r="J2595" s="18">
        <v>0</v>
      </c>
      <c r="K2595" s="19">
        <v>0</v>
      </c>
      <c r="L2595" s="17" t="s">
        <v>28</v>
      </c>
    </row>
    <row r="2596" ht="10.95" customHeight="true" customFormat="true" s="9">
      <c r="A2596" s="16">
        <v>45362</v>
      </c>
      <c r="B2596" s="17" t="s">
        <v>571</v>
      </c>
      <c r="C2596" s="17" t="s">
        <v>572</v>
      </c>
      <c r="D2596" s="17" t="s">
        <v>22</v>
      </c>
      <c r="E2596" s="17" t="s">
        <v>573</v>
      </c>
      <c r="F2596" s="17" t="s">
        <v>514</v>
      </c>
      <c r="G2596" s="18">
        <v>605.6300</v>
      </c>
      <c r="H2596" s="18">
        <v>0</v>
      </c>
      <c r="I2596" s="18">
        <f ca="1">((I2595 + G2596) - H2596)</f>
        <v>0</v>
      </c>
      <c r="J2596" s="18">
        <v>0</v>
      </c>
      <c r="K2596" s="19">
        <v>0</v>
      </c>
      <c r="L2596" s="17" t="s">
        <v>28</v>
      </c>
    </row>
    <row r="2597" ht="10.95" customHeight="true" customFormat="true" s="9">
      <c r="A2597" s="16">
        <v>45369</v>
      </c>
      <c r="B2597" s="17" t="s">
        <v>571</v>
      </c>
      <c r="C2597" s="17" t="s">
        <v>572</v>
      </c>
      <c r="D2597" s="17" t="s">
        <v>333</v>
      </c>
      <c r="E2597" s="17" t="s">
        <v>574</v>
      </c>
      <c r="F2597" s="17" t="s">
        <v>372</v>
      </c>
      <c r="G2597" s="18">
        <v>0</v>
      </c>
      <c r="H2597" s="18">
        <v>4754.9000</v>
      </c>
      <c r="I2597" s="18">
        <f ca="1">((I2596 + G2597) - H2597)</f>
        <v>0</v>
      </c>
      <c r="J2597" s="18">
        <v>0</v>
      </c>
      <c r="K2597" s="19">
        <v>0</v>
      </c>
      <c r="L2597" s="17" t="s">
        <v>28</v>
      </c>
    </row>
    <row r="2598" ht="10.95" customHeight="true" customFormat="true" s="9">
      <c r="A2598" s="16">
        <v>45369</v>
      </c>
      <c r="B2598" s="17" t="s">
        <v>571</v>
      </c>
      <c r="C2598" s="17" t="s">
        <v>572</v>
      </c>
      <c r="D2598" s="17" t="s">
        <v>22</v>
      </c>
      <c r="E2598" s="17" t="s">
        <v>573</v>
      </c>
      <c r="F2598" s="17" t="s">
        <v>515</v>
      </c>
      <c r="G2598" s="18">
        <v>1342.9000</v>
      </c>
      <c r="H2598" s="18">
        <v>0</v>
      </c>
      <c r="I2598" s="18">
        <f ca="1">((I2597 + G2598) - H2598)</f>
        <v>0</v>
      </c>
      <c r="J2598" s="18">
        <v>0</v>
      </c>
      <c r="K2598" s="19">
        <v>0</v>
      </c>
      <c r="L2598" s="17" t="s">
        <v>28</v>
      </c>
    </row>
    <row r="2599" ht="10.95" customHeight="true" customFormat="true" s="9">
      <c r="A2599" s="16">
        <v>45369</v>
      </c>
      <c r="B2599" s="17" t="s">
        <v>571</v>
      </c>
      <c r="C2599" s="17" t="s">
        <v>572</v>
      </c>
      <c r="D2599" s="17" t="s">
        <v>22</v>
      </c>
      <c r="E2599" s="17" t="s">
        <v>573</v>
      </c>
      <c r="F2599" s="17" t="s">
        <v>516</v>
      </c>
      <c r="G2599" s="18">
        <v>461.0000</v>
      </c>
      <c r="H2599" s="18">
        <v>0</v>
      </c>
      <c r="I2599" s="18">
        <f ca="1">((I2598 + G2599) - H2599)</f>
        <v>0</v>
      </c>
      <c r="J2599" s="18">
        <v>0</v>
      </c>
      <c r="K2599" s="19">
        <v>0</v>
      </c>
      <c r="L2599" s="17" t="s">
        <v>28</v>
      </c>
    </row>
    <row r="2600" ht="10.95" customHeight="true" customFormat="true" s="9">
      <c r="A2600" s="16">
        <v>45369</v>
      </c>
      <c r="B2600" s="17" t="s">
        <v>571</v>
      </c>
      <c r="C2600" s="17" t="s">
        <v>572</v>
      </c>
      <c r="D2600" s="17" t="s">
        <v>22</v>
      </c>
      <c r="E2600" s="17" t="s">
        <v>573</v>
      </c>
      <c r="F2600" s="17" t="s">
        <v>516</v>
      </c>
      <c r="G2600" s="18">
        <v>807.4000</v>
      </c>
      <c r="H2600" s="18">
        <v>0</v>
      </c>
      <c r="I2600" s="18">
        <f ca="1">((I2599 + G2600) - H2600)</f>
        <v>0</v>
      </c>
      <c r="J2600" s="18">
        <v>0</v>
      </c>
      <c r="K2600" s="19">
        <v>0</v>
      </c>
      <c r="L2600" s="17" t="s">
        <v>28</v>
      </c>
    </row>
    <row r="2601" ht="10.95" customHeight="true" customFormat="true" s="9">
      <c r="A2601" s="16">
        <v>45369</v>
      </c>
      <c r="B2601" s="17" t="s">
        <v>571</v>
      </c>
      <c r="C2601" s="17" t="s">
        <v>572</v>
      </c>
      <c r="D2601" s="17" t="s">
        <v>22</v>
      </c>
      <c r="E2601" s="17" t="s">
        <v>573</v>
      </c>
      <c r="F2601" s="17" t="s">
        <v>516</v>
      </c>
      <c r="G2601" s="18">
        <v>2000.0000</v>
      </c>
      <c r="H2601" s="18">
        <v>0</v>
      </c>
      <c r="I2601" s="18">
        <f ca="1">((I2600 + G2601) - H2601)</f>
        <v>0</v>
      </c>
      <c r="J2601" s="18">
        <v>0</v>
      </c>
      <c r="K2601" s="19">
        <v>0</v>
      </c>
      <c r="L2601" s="17" t="s">
        <v>28</v>
      </c>
    </row>
    <row r="2602" ht="10.95" customHeight="true" customFormat="true" s="9">
      <c r="A2602" s="16">
        <v>45369</v>
      </c>
      <c r="B2602" s="17" t="s">
        <v>571</v>
      </c>
      <c r="C2602" s="17" t="s">
        <v>572</v>
      </c>
      <c r="D2602" s="17" t="s">
        <v>22</v>
      </c>
      <c r="E2602" s="17" t="s">
        <v>573</v>
      </c>
      <c r="F2602" s="17" t="s">
        <v>516</v>
      </c>
      <c r="G2602" s="18">
        <v>144.0000</v>
      </c>
      <c r="H2602" s="18">
        <v>0</v>
      </c>
      <c r="I2602" s="18">
        <f ca="1">((I2601 + G2602) - H2602)</f>
        <v>0</v>
      </c>
      <c r="J2602" s="18">
        <v>0</v>
      </c>
      <c r="K2602" s="19">
        <v>0</v>
      </c>
      <c r="L2602" s="17" t="s">
        <v>28</v>
      </c>
    </row>
    <row r="2603" ht="10.95" customHeight="true" customFormat="true" s="9">
      <c r="A2603" s="16">
        <v>45376</v>
      </c>
      <c r="B2603" s="17" t="s">
        <v>571</v>
      </c>
      <c r="C2603" s="17" t="s">
        <v>572</v>
      </c>
      <c r="D2603" s="17" t="s">
        <v>333</v>
      </c>
      <c r="E2603" s="17" t="s">
        <v>574</v>
      </c>
      <c r="F2603" s="17" t="s">
        <v>373</v>
      </c>
      <c r="G2603" s="18">
        <v>0</v>
      </c>
      <c r="H2603" s="18">
        <v>5499.9000</v>
      </c>
      <c r="I2603" s="18">
        <f ca="1">((I2602 + G2603) - H2603)</f>
        <v>0</v>
      </c>
      <c r="J2603" s="18">
        <v>0</v>
      </c>
      <c r="K2603" s="19">
        <v>0</v>
      </c>
      <c r="L2603" s="17" t="s">
        <v>28</v>
      </c>
    </row>
    <row r="2604" ht="10.95" customHeight="true" customFormat="true" s="9">
      <c r="A2604" s="16">
        <v>45376</v>
      </c>
      <c r="B2604" s="17" t="s">
        <v>571</v>
      </c>
      <c r="C2604" s="17" t="s">
        <v>572</v>
      </c>
      <c r="D2604" s="17" t="s">
        <v>22</v>
      </c>
      <c r="E2604" s="17" t="s">
        <v>573</v>
      </c>
      <c r="F2604" s="17" t="s">
        <v>517</v>
      </c>
      <c r="G2604" s="18">
        <v>786.2500</v>
      </c>
      <c r="H2604" s="18">
        <v>0</v>
      </c>
      <c r="I2604" s="18">
        <f ca="1">((I2603 + G2604) - H2604)</f>
        <v>0</v>
      </c>
      <c r="J2604" s="18">
        <v>0</v>
      </c>
      <c r="K2604" s="19">
        <v>0</v>
      </c>
      <c r="L2604" s="17" t="s">
        <v>28</v>
      </c>
    </row>
    <row r="2605" ht="10.95" customHeight="true" customFormat="true" s="9">
      <c r="A2605" s="16">
        <v>45376</v>
      </c>
      <c r="B2605" s="17" t="s">
        <v>571</v>
      </c>
      <c r="C2605" s="17" t="s">
        <v>572</v>
      </c>
      <c r="D2605" s="17" t="s">
        <v>22</v>
      </c>
      <c r="E2605" s="17" t="s">
        <v>573</v>
      </c>
      <c r="F2605" s="17" t="s">
        <v>517</v>
      </c>
      <c r="G2605" s="18">
        <v>461.0000</v>
      </c>
      <c r="H2605" s="18">
        <v>0</v>
      </c>
      <c r="I2605" s="18">
        <f ca="1">((I2604 + G2605) - H2605)</f>
        <v>0</v>
      </c>
      <c r="J2605" s="18">
        <v>0</v>
      </c>
      <c r="K2605" s="19">
        <v>0</v>
      </c>
      <c r="L2605" s="17" t="s">
        <v>28</v>
      </c>
    </row>
    <row r="2606" ht="10.95" customHeight="true" customFormat="true" s="9">
      <c r="A2606" s="16">
        <v>45376</v>
      </c>
      <c r="B2606" s="17" t="s">
        <v>571</v>
      </c>
      <c r="C2606" s="17" t="s">
        <v>572</v>
      </c>
      <c r="D2606" s="17" t="s">
        <v>22</v>
      </c>
      <c r="E2606" s="17" t="s">
        <v>573</v>
      </c>
      <c r="F2606" s="17" t="s">
        <v>517</v>
      </c>
      <c r="G2606" s="18">
        <v>1342.9000</v>
      </c>
      <c r="H2606" s="18">
        <v>0</v>
      </c>
      <c r="I2606" s="18">
        <f ca="1">((I2605 + G2606) - H2606)</f>
        <v>0</v>
      </c>
      <c r="J2606" s="18">
        <v>0</v>
      </c>
      <c r="K2606" s="19">
        <v>0</v>
      </c>
      <c r="L2606" s="17" t="s">
        <v>28</v>
      </c>
    </row>
    <row r="2607" ht="10.95" customHeight="true" customFormat="true" s="9">
      <c r="A2607" s="16">
        <v>45376</v>
      </c>
      <c r="B2607" s="17" t="s">
        <v>571</v>
      </c>
      <c r="C2607" s="17" t="s">
        <v>572</v>
      </c>
      <c r="D2607" s="17" t="s">
        <v>22</v>
      </c>
      <c r="E2607" s="17" t="s">
        <v>573</v>
      </c>
      <c r="F2607" s="17" t="s">
        <v>517</v>
      </c>
      <c r="G2607" s="18">
        <v>2000.0000</v>
      </c>
      <c r="H2607" s="18">
        <v>0</v>
      </c>
      <c r="I2607" s="18">
        <f ca="1">((I2606 + G2607) - H2607)</f>
        <v>0</v>
      </c>
      <c r="J2607" s="18">
        <v>0</v>
      </c>
      <c r="K2607" s="19">
        <v>0</v>
      </c>
      <c r="L2607" s="17" t="s">
        <v>28</v>
      </c>
    </row>
    <row r="2608" ht="10.95" customHeight="true" customFormat="true" s="9">
      <c r="A2608" s="16">
        <v>45376</v>
      </c>
      <c r="B2608" s="17" t="s">
        <v>571</v>
      </c>
      <c r="C2608" s="17" t="s">
        <v>572</v>
      </c>
      <c r="D2608" s="17" t="s">
        <v>22</v>
      </c>
      <c r="E2608" s="17" t="s">
        <v>573</v>
      </c>
      <c r="F2608" s="17" t="s">
        <v>517</v>
      </c>
      <c r="G2608" s="18">
        <v>144.0000</v>
      </c>
      <c r="H2608" s="18">
        <v>0</v>
      </c>
      <c r="I2608" s="18">
        <f ca="1">((I2607 + G2608) - H2608)</f>
        <v>0</v>
      </c>
      <c r="J2608" s="18">
        <v>0</v>
      </c>
      <c r="K2608" s="19">
        <v>0</v>
      </c>
      <c r="L2608" s="17" t="s">
        <v>28</v>
      </c>
    </row>
    <row r="2609" ht="10.95" customHeight="true" customFormat="true" s="9">
      <c r="A2609" s="16">
        <v>45376</v>
      </c>
      <c r="B2609" s="17" t="s">
        <v>571</v>
      </c>
      <c r="C2609" s="17" t="s">
        <v>572</v>
      </c>
      <c r="D2609" s="17" t="s">
        <v>22</v>
      </c>
      <c r="E2609" s="17" t="s">
        <v>573</v>
      </c>
      <c r="F2609" s="17" t="s">
        <v>517</v>
      </c>
      <c r="G2609" s="18">
        <v>807.5000</v>
      </c>
      <c r="H2609" s="18">
        <v>0</v>
      </c>
      <c r="I2609" s="18">
        <f ca="1">((I2608 + G2609) - H2609)</f>
        <v>0</v>
      </c>
      <c r="J2609" s="18">
        <v>0</v>
      </c>
      <c r="K2609" s="19">
        <v>0</v>
      </c>
      <c r="L2609" s="17" t="s">
        <v>28</v>
      </c>
    </row>
    <row r="2610" ht="10.95" customHeight="true" customFormat="true" s="9">
      <c r="A2610" s="16">
        <v>45383</v>
      </c>
      <c r="B2610" s="17" t="s">
        <v>571</v>
      </c>
      <c r="C2610" s="17" t="s">
        <v>572</v>
      </c>
      <c r="D2610" s="17" t="s">
        <v>333</v>
      </c>
      <c r="E2610" s="17" t="s">
        <v>574</v>
      </c>
      <c r="F2610" s="17" t="s">
        <v>374</v>
      </c>
      <c r="G2610" s="18">
        <v>0</v>
      </c>
      <c r="H2610" s="18">
        <v>5732.9000</v>
      </c>
      <c r="I2610" s="18">
        <f ca="1">((I2609 + G2610) - H2610)</f>
        <v>0</v>
      </c>
      <c r="J2610" s="18">
        <v>0</v>
      </c>
      <c r="K2610" s="19">
        <v>0</v>
      </c>
      <c r="L2610" s="17" t="s">
        <v>28</v>
      </c>
    </row>
    <row r="2611" ht="10.95" customHeight="true" customFormat="true" s="9">
      <c r="A2611" s="16">
        <v>45384</v>
      </c>
      <c r="B2611" s="17" t="s">
        <v>571</v>
      </c>
      <c r="C2611" s="17" t="s">
        <v>572</v>
      </c>
      <c r="D2611" s="17" t="s">
        <v>22</v>
      </c>
      <c r="E2611" s="17" t="s">
        <v>573</v>
      </c>
      <c r="F2611" s="17" t="s">
        <v>518</v>
      </c>
      <c r="G2611" s="18">
        <v>886.1300</v>
      </c>
      <c r="H2611" s="18">
        <v>0</v>
      </c>
      <c r="I2611" s="18">
        <f ca="1">((I2610 + G2611) - H2611)</f>
        <v>0</v>
      </c>
      <c r="J2611" s="18">
        <v>0</v>
      </c>
      <c r="K2611" s="19">
        <v>0</v>
      </c>
      <c r="L2611" s="17" t="s">
        <v>28</v>
      </c>
    </row>
    <row r="2612" ht="10.95" customHeight="true" customFormat="true" s="9">
      <c r="A2612" s="16">
        <v>45384</v>
      </c>
      <c r="B2612" s="17" t="s">
        <v>571</v>
      </c>
      <c r="C2612" s="17" t="s">
        <v>572</v>
      </c>
      <c r="D2612" s="17" t="s">
        <v>22</v>
      </c>
      <c r="E2612" s="17" t="s">
        <v>573</v>
      </c>
      <c r="F2612" s="17" t="s">
        <v>518</v>
      </c>
      <c r="G2612" s="18">
        <v>986.4300</v>
      </c>
      <c r="H2612" s="18">
        <v>0</v>
      </c>
      <c r="I2612" s="18">
        <f ca="1">((I2611 + G2612) - H2612)</f>
        <v>0</v>
      </c>
      <c r="J2612" s="18">
        <v>0</v>
      </c>
      <c r="K2612" s="19">
        <v>0</v>
      </c>
      <c r="L2612" s="17" t="s">
        <v>28</v>
      </c>
    </row>
    <row r="2613" ht="10.95" customHeight="true" customFormat="true" s="9">
      <c r="A2613" s="16">
        <v>45384</v>
      </c>
      <c r="B2613" s="17" t="s">
        <v>571</v>
      </c>
      <c r="C2613" s="17" t="s">
        <v>572</v>
      </c>
      <c r="D2613" s="17" t="s">
        <v>22</v>
      </c>
      <c r="E2613" s="17" t="s">
        <v>573</v>
      </c>
      <c r="F2613" s="17" t="s">
        <v>518</v>
      </c>
      <c r="G2613" s="18">
        <v>1342.9000</v>
      </c>
      <c r="H2613" s="18">
        <v>0</v>
      </c>
      <c r="I2613" s="18">
        <f ca="1">((I2612 + G2613) - H2613)</f>
        <v>0</v>
      </c>
      <c r="J2613" s="18">
        <v>0</v>
      </c>
      <c r="K2613" s="19">
        <v>0</v>
      </c>
      <c r="L2613" s="17" t="s">
        <v>28</v>
      </c>
    </row>
    <row r="2614" ht="10.95" customHeight="true" customFormat="true" s="9">
      <c r="A2614" s="16">
        <v>45384</v>
      </c>
      <c r="B2614" s="17" t="s">
        <v>571</v>
      </c>
      <c r="C2614" s="17" t="s">
        <v>572</v>
      </c>
      <c r="D2614" s="17" t="s">
        <v>22</v>
      </c>
      <c r="E2614" s="17" t="s">
        <v>573</v>
      </c>
      <c r="F2614" s="17" t="s">
        <v>518</v>
      </c>
      <c r="G2614" s="18">
        <v>216.0000</v>
      </c>
      <c r="H2614" s="18">
        <v>0</v>
      </c>
      <c r="I2614" s="18">
        <f ca="1">((I2613 + G2614) - H2614)</f>
        <v>0</v>
      </c>
      <c r="J2614" s="18">
        <v>0</v>
      </c>
      <c r="K2614" s="19">
        <v>0</v>
      </c>
      <c r="L2614" s="17" t="s">
        <v>28</v>
      </c>
    </row>
    <row r="2615" ht="10.95" customHeight="true" customFormat="true" s="9">
      <c r="A2615" s="16">
        <v>45384</v>
      </c>
      <c r="B2615" s="17" t="s">
        <v>571</v>
      </c>
      <c r="C2615" s="17" t="s">
        <v>572</v>
      </c>
      <c r="D2615" s="17" t="s">
        <v>22</v>
      </c>
      <c r="E2615" s="17" t="s">
        <v>573</v>
      </c>
      <c r="F2615" s="17" t="s">
        <v>518</v>
      </c>
      <c r="G2615" s="18">
        <v>261.0000</v>
      </c>
      <c r="H2615" s="18">
        <v>0</v>
      </c>
      <c r="I2615" s="18">
        <f ca="1">((I2614 + G2615) - H2615)</f>
        <v>0</v>
      </c>
      <c r="J2615" s="18">
        <v>0</v>
      </c>
      <c r="K2615" s="19">
        <v>0</v>
      </c>
      <c r="L2615" s="17" t="s">
        <v>28</v>
      </c>
    </row>
    <row r="2616" ht="10.95" customHeight="true" customFormat="true" s="9">
      <c r="A2616" s="16">
        <v>45384</v>
      </c>
      <c r="B2616" s="17" t="s">
        <v>571</v>
      </c>
      <c r="C2616" s="17" t="s">
        <v>572</v>
      </c>
      <c r="D2616" s="17" t="s">
        <v>22</v>
      </c>
      <c r="E2616" s="17" t="s">
        <v>573</v>
      </c>
      <c r="F2616" s="17" t="s">
        <v>518</v>
      </c>
      <c r="G2616" s="18">
        <v>2000.0000</v>
      </c>
      <c r="H2616" s="18">
        <v>0</v>
      </c>
      <c r="I2616" s="18">
        <f ca="1">((I2615 + G2616) - H2616)</f>
        <v>0</v>
      </c>
      <c r="J2616" s="18">
        <v>0</v>
      </c>
      <c r="K2616" s="19">
        <v>0</v>
      </c>
      <c r="L2616" s="17" t="s">
        <v>28</v>
      </c>
    </row>
    <row r="2617" ht="10.95" customHeight="true" customFormat="true" s="9">
      <c r="A2617" s="16">
        <v>45390</v>
      </c>
      <c r="B2617" s="17" t="s">
        <v>571</v>
      </c>
      <c r="C2617" s="17" t="s">
        <v>572</v>
      </c>
      <c r="D2617" s="17" t="s">
        <v>333</v>
      </c>
      <c r="E2617" s="17" t="s">
        <v>574</v>
      </c>
      <c r="F2617" s="17" t="s">
        <v>375</v>
      </c>
      <c r="G2617" s="18">
        <v>0</v>
      </c>
      <c r="H2617" s="18">
        <v>4768.9000</v>
      </c>
      <c r="I2617" s="18">
        <f ca="1">((I2616 + G2617) - H2617)</f>
        <v>0</v>
      </c>
      <c r="J2617" s="18">
        <v>0</v>
      </c>
      <c r="K2617" s="19">
        <v>0</v>
      </c>
      <c r="L2617" s="17" t="s">
        <v>28</v>
      </c>
    </row>
    <row r="2618" ht="10.95" customHeight="true" customFormat="true" s="9">
      <c r="A2618" s="16">
        <v>45390</v>
      </c>
      <c r="B2618" s="17" t="s">
        <v>571</v>
      </c>
      <c r="C2618" s="17" t="s">
        <v>572</v>
      </c>
      <c r="D2618" s="17" t="s">
        <v>22</v>
      </c>
      <c r="E2618" s="17" t="s">
        <v>573</v>
      </c>
      <c r="F2618" s="17" t="s">
        <v>519</v>
      </c>
      <c r="G2618" s="18">
        <v>1342.9000</v>
      </c>
      <c r="H2618" s="18">
        <v>0</v>
      </c>
      <c r="I2618" s="18">
        <f ca="1">((I2617 + G2618) - H2618)</f>
        <v>0</v>
      </c>
      <c r="J2618" s="18">
        <v>0</v>
      </c>
      <c r="K2618" s="19">
        <v>0</v>
      </c>
      <c r="L2618" s="17" t="s">
        <v>28</v>
      </c>
    </row>
    <row r="2619" ht="10.95" customHeight="true" customFormat="true" s="9">
      <c r="A2619" s="16">
        <v>45390</v>
      </c>
      <c r="B2619" s="17" t="s">
        <v>571</v>
      </c>
      <c r="C2619" s="17" t="s">
        <v>572</v>
      </c>
      <c r="D2619" s="17" t="s">
        <v>22</v>
      </c>
      <c r="E2619" s="17" t="s">
        <v>573</v>
      </c>
      <c r="F2619" s="17" t="s">
        <v>519</v>
      </c>
      <c r="G2619" s="18">
        <v>63.6500</v>
      </c>
      <c r="H2619" s="18">
        <v>0</v>
      </c>
      <c r="I2619" s="18">
        <f ca="1">((I2618 + G2619) - H2619)</f>
        <v>0</v>
      </c>
      <c r="J2619" s="18">
        <v>0</v>
      </c>
      <c r="K2619" s="19">
        <v>0</v>
      </c>
      <c r="L2619" s="17" t="s">
        <v>28</v>
      </c>
    </row>
    <row r="2620" ht="10.95" customHeight="true" customFormat="true" s="9">
      <c r="A2620" s="16">
        <v>45390</v>
      </c>
      <c r="B2620" s="17" t="s">
        <v>571</v>
      </c>
      <c r="C2620" s="17" t="s">
        <v>572</v>
      </c>
      <c r="D2620" s="17" t="s">
        <v>22</v>
      </c>
      <c r="E2620" s="17" t="s">
        <v>573</v>
      </c>
      <c r="F2620" s="17" t="s">
        <v>519</v>
      </c>
      <c r="G2620" s="18">
        <v>605.6300</v>
      </c>
      <c r="H2620" s="18">
        <v>0</v>
      </c>
      <c r="I2620" s="18">
        <f ca="1">((I2619 + G2620) - H2620)</f>
        <v>0</v>
      </c>
      <c r="J2620" s="18">
        <v>0</v>
      </c>
      <c r="K2620" s="19">
        <v>0</v>
      </c>
      <c r="L2620" s="17" t="s">
        <v>28</v>
      </c>
    </row>
    <row r="2621" ht="10.95" customHeight="true" customFormat="true" s="9">
      <c r="A2621" s="16">
        <v>45390</v>
      </c>
      <c r="B2621" s="17" t="s">
        <v>571</v>
      </c>
      <c r="C2621" s="17" t="s">
        <v>572</v>
      </c>
      <c r="D2621" s="17" t="s">
        <v>22</v>
      </c>
      <c r="E2621" s="17" t="s">
        <v>573</v>
      </c>
      <c r="F2621" s="17" t="s">
        <v>519</v>
      </c>
      <c r="G2621" s="18">
        <v>2000.0000</v>
      </c>
      <c r="H2621" s="18">
        <v>0</v>
      </c>
      <c r="I2621" s="18">
        <f ca="1">((I2620 + G2621) - H2621)</f>
        <v>0</v>
      </c>
      <c r="J2621" s="18">
        <v>0</v>
      </c>
      <c r="K2621" s="19">
        <v>0</v>
      </c>
      <c r="L2621" s="17" t="s">
        <v>28</v>
      </c>
    </row>
    <row r="2622" ht="10.95" customHeight="true" customFormat="true" s="9">
      <c r="A2622" s="16">
        <v>45390</v>
      </c>
      <c r="B2622" s="17" t="s">
        <v>571</v>
      </c>
      <c r="C2622" s="17" t="s">
        <v>572</v>
      </c>
      <c r="D2622" s="17" t="s">
        <v>22</v>
      </c>
      <c r="E2622" s="17" t="s">
        <v>573</v>
      </c>
      <c r="F2622" s="17" t="s">
        <v>519</v>
      </c>
      <c r="G2622" s="18">
        <v>582.6800</v>
      </c>
      <c r="H2622" s="18">
        <v>0</v>
      </c>
      <c r="I2622" s="18">
        <f ca="1">((I2621 + G2622) - H2622)</f>
        <v>0</v>
      </c>
      <c r="J2622" s="18">
        <v>0</v>
      </c>
      <c r="K2622" s="19">
        <v>0</v>
      </c>
      <c r="L2622" s="17" t="s">
        <v>28</v>
      </c>
    </row>
    <row r="2623" ht="10.95" customHeight="true" customFormat="true" s="9">
      <c r="A2623" s="16">
        <v>45390</v>
      </c>
      <c r="B2623" s="17" t="s">
        <v>571</v>
      </c>
      <c r="C2623" s="17" t="s">
        <v>572</v>
      </c>
      <c r="D2623" s="17" t="s">
        <v>22</v>
      </c>
      <c r="E2623" s="17" t="s">
        <v>573</v>
      </c>
      <c r="F2623" s="17" t="s">
        <v>519</v>
      </c>
      <c r="G2623" s="18">
        <v>30.0000</v>
      </c>
      <c r="H2623" s="18">
        <v>0</v>
      </c>
      <c r="I2623" s="18">
        <f ca="1">((I2622 + G2623) - H2623)</f>
        <v>0</v>
      </c>
      <c r="J2623" s="18">
        <v>0</v>
      </c>
      <c r="K2623" s="19">
        <v>0</v>
      </c>
      <c r="L2623" s="17" t="s">
        <v>28</v>
      </c>
    </row>
    <row r="2624" ht="10.95" customHeight="true" customFormat="true" s="9">
      <c r="A2624" s="16">
        <v>45390</v>
      </c>
      <c r="B2624" s="17" t="s">
        <v>571</v>
      </c>
      <c r="C2624" s="17" t="s">
        <v>572</v>
      </c>
      <c r="D2624" s="17" t="s">
        <v>22</v>
      </c>
      <c r="E2624" s="17" t="s">
        <v>573</v>
      </c>
      <c r="F2624" s="17" t="s">
        <v>519</v>
      </c>
      <c r="G2624" s="18">
        <v>144.0000</v>
      </c>
      <c r="H2624" s="18">
        <v>0</v>
      </c>
      <c r="I2624" s="18">
        <f ca="1">((I2623 + G2624) - H2624)</f>
        <v>0</v>
      </c>
      <c r="J2624" s="18">
        <v>0</v>
      </c>
      <c r="K2624" s="19">
        <v>0</v>
      </c>
      <c r="L2624" s="17" t="s">
        <v>28</v>
      </c>
    </row>
    <row r="2625" ht="10.95" customHeight="true" customFormat="true" s="9">
      <c r="A2625" s="16">
        <v>45397</v>
      </c>
      <c r="B2625" s="17" t="s">
        <v>571</v>
      </c>
      <c r="C2625" s="17" t="s">
        <v>572</v>
      </c>
      <c r="D2625" s="17" t="s">
        <v>22</v>
      </c>
      <c r="E2625" s="17" t="s">
        <v>573</v>
      </c>
      <c r="F2625" s="17" t="s">
        <v>521</v>
      </c>
      <c r="G2625" s="18">
        <v>756.5000</v>
      </c>
      <c r="H2625" s="18">
        <v>0</v>
      </c>
      <c r="I2625" s="18">
        <f ca="1">((I2624 + G2625) - H2625)</f>
        <v>0</v>
      </c>
      <c r="J2625" s="18">
        <v>0</v>
      </c>
      <c r="K2625" s="19">
        <v>0</v>
      </c>
      <c r="L2625" s="17" t="s">
        <v>28</v>
      </c>
    </row>
    <row r="2626" ht="10.95" customHeight="true" customFormat="true" s="9">
      <c r="A2626" s="16">
        <v>45397</v>
      </c>
      <c r="B2626" s="17" t="s">
        <v>571</v>
      </c>
      <c r="C2626" s="17" t="s">
        <v>572</v>
      </c>
      <c r="D2626" s="17" t="s">
        <v>22</v>
      </c>
      <c r="E2626" s="17" t="s">
        <v>573</v>
      </c>
      <c r="F2626" s="17" t="s">
        <v>521</v>
      </c>
      <c r="G2626" s="18">
        <v>1342.9000</v>
      </c>
      <c r="H2626" s="18">
        <v>0</v>
      </c>
      <c r="I2626" s="18">
        <f ca="1">((I2625 + G2626) - H2626)</f>
        <v>0</v>
      </c>
      <c r="J2626" s="18">
        <v>0</v>
      </c>
      <c r="K2626" s="19">
        <v>0</v>
      </c>
      <c r="L2626" s="17" t="s">
        <v>28</v>
      </c>
    </row>
    <row r="2627" ht="10.95" customHeight="true" customFormat="true" s="9">
      <c r="A2627" s="16">
        <v>45397</v>
      </c>
      <c r="B2627" s="17" t="s">
        <v>571</v>
      </c>
      <c r="C2627" s="17" t="s">
        <v>572</v>
      </c>
      <c r="D2627" s="17" t="s">
        <v>22</v>
      </c>
      <c r="E2627" s="17" t="s">
        <v>573</v>
      </c>
      <c r="F2627" s="17" t="s">
        <v>521</v>
      </c>
      <c r="G2627" s="18">
        <v>380.8000</v>
      </c>
      <c r="H2627" s="18">
        <v>0</v>
      </c>
      <c r="I2627" s="18">
        <f ca="1">((I2626 + G2627) - H2627)</f>
        <v>0</v>
      </c>
      <c r="J2627" s="18">
        <v>0</v>
      </c>
      <c r="K2627" s="19">
        <v>0</v>
      </c>
      <c r="L2627" s="17" t="s">
        <v>28</v>
      </c>
    </row>
    <row r="2628" ht="10.95" customHeight="true" customFormat="true" s="9">
      <c r="A2628" s="16">
        <v>45397</v>
      </c>
      <c r="B2628" s="17" t="s">
        <v>571</v>
      </c>
      <c r="C2628" s="17" t="s">
        <v>572</v>
      </c>
      <c r="D2628" s="17" t="s">
        <v>22</v>
      </c>
      <c r="E2628" s="17" t="s">
        <v>573</v>
      </c>
      <c r="F2628" s="17" t="s">
        <v>521</v>
      </c>
      <c r="G2628" s="18">
        <v>807.5000</v>
      </c>
      <c r="H2628" s="18">
        <v>0</v>
      </c>
      <c r="I2628" s="18">
        <f ca="1">((I2627 + G2628) - H2628)</f>
        <v>0</v>
      </c>
      <c r="J2628" s="18">
        <v>0</v>
      </c>
      <c r="K2628" s="19">
        <v>0</v>
      </c>
      <c r="L2628" s="17" t="s">
        <v>28</v>
      </c>
    </row>
    <row r="2629" ht="10.95" customHeight="true" customFormat="true" s="9">
      <c r="A2629" s="16">
        <v>45397</v>
      </c>
      <c r="B2629" s="17" t="s">
        <v>571</v>
      </c>
      <c r="C2629" s="17" t="s">
        <v>572</v>
      </c>
      <c r="D2629" s="17" t="s">
        <v>22</v>
      </c>
      <c r="E2629" s="17" t="s">
        <v>573</v>
      </c>
      <c r="F2629" s="17" t="s">
        <v>521</v>
      </c>
      <c r="G2629" s="18">
        <v>30.0000</v>
      </c>
      <c r="H2629" s="18">
        <v>0</v>
      </c>
      <c r="I2629" s="18">
        <f ca="1">((I2628 + G2629) - H2629)</f>
        <v>0</v>
      </c>
      <c r="J2629" s="18">
        <v>0</v>
      </c>
      <c r="K2629" s="19">
        <v>0</v>
      </c>
      <c r="L2629" s="17" t="s">
        <v>28</v>
      </c>
    </row>
    <row r="2630" ht="10.95" customHeight="true" customFormat="true" s="9">
      <c r="A2630" s="16">
        <v>45397</v>
      </c>
      <c r="B2630" s="17" t="s">
        <v>571</v>
      </c>
      <c r="C2630" s="17" t="s">
        <v>572</v>
      </c>
      <c r="D2630" s="17" t="s">
        <v>22</v>
      </c>
      <c r="E2630" s="17" t="s">
        <v>573</v>
      </c>
      <c r="F2630" s="17" t="s">
        <v>521</v>
      </c>
      <c r="G2630" s="18">
        <v>2000.0000</v>
      </c>
      <c r="H2630" s="18">
        <v>0</v>
      </c>
      <c r="I2630" s="18">
        <f ca="1">((I2629 + G2630) - H2630)</f>
        <v>0</v>
      </c>
      <c r="J2630" s="18">
        <v>0</v>
      </c>
      <c r="K2630" s="19">
        <v>0</v>
      </c>
      <c r="L2630" s="17" t="s">
        <v>28</v>
      </c>
    </row>
    <row r="2631" ht="10.95" customHeight="true" customFormat="true" s="9">
      <c r="A2631" s="16">
        <v>45397</v>
      </c>
      <c r="B2631" s="17" t="s">
        <v>571</v>
      </c>
      <c r="C2631" s="17" t="s">
        <v>572</v>
      </c>
      <c r="D2631" s="17" t="s">
        <v>22</v>
      </c>
      <c r="E2631" s="17" t="s">
        <v>573</v>
      </c>
      <c r="F2631" s="17" t="s">
        <v>521</v>
      </c>
      <c r="G2631" s="18">
        <v>144.0000</v>
      </c>
      <c r="H2631" s="18">
        <v>0</v>
      </c>
      <c r="I2631" s="18">
        <f ca="1">((I2630 + G2631) - H2631)</f>
        <v>0</v>
      </c>
      <c r="J2631" s="18">
        <v>0</v>
      </c>
      <c r="K2631" s="19">
        <v>0</v>
      </c>
      <c r="L2631" s="17" t="s">
        <v>28</v>
      </c>
    </row>
    <row r="2632" ht="10.95" customHeight="true" customFormat="true" s="9">
      <c r="A2632" s="16">
        <v>45397</v>
      </c>
      <c r="B2632" s="17" t="s">
        <v>571</v>
      </c>
      <c r="C2632" s="17" t="s">
        <v>572</v>
      </c>
      <c r="D2632" s="17" t="s">
        <v>333</v>
      </c>
      <c r="E2632" s="17" t="s">
        <v>574</v>
      </c>
      <c r="F2632" s="17" t="s">
        <v>376</v>
      </c>
      <c r="G2632" s="18">
        <v>0</v>
      </c>
      <c r="H2632" s="18">
        <v>5460.9000</v>
      </c>
      <c r="I2632" s="18">
        <f ca="1">((I2631 + G2632) - H2632)</f>
        <v>0</v>
      </c>
      <c r="J2632" s="18">
        <v>0</v>
      </c>
      <c r="K2632" s="19">
        <v>0</v>
      </c>
      <c r="L2632" s="17" t="s">
        <v>28</v>
      </c>
    </row>
    <row r="2633" ht="10.95" customHeight="true" customFormat="true" s="9">
      <c r="A2633" s="16">
        <v>45404</v>
      </c>
      <c r="B2633" s="17" t="s">
        <v>571</v>
      </c>
      <c r="C2633" s="17" t="s">
        <v>572</v>
      </c>
      <c r="D2633" s="17" t="s">
        <v>22</v>
      </c>
      <c r="E2633" s="17" t="s">
        <v>573</v>
      </c>
      <c r="F2633" s="17" t="s">
        <v>522</v>
      </c>
      <c r="G2633" s="18">
        <v>2000.0000</v>
      </c>
      <c r="H2633" s="18">
        <v>0</v>
      </c>
      <c r="I2633" s="18">
        <f ca="1">((I2632 + G2633) - H2633)</f>
        <v>0</v>
      </c>
      <c r="J2633" s="18">
        <v>0</v>
      </c>
      <c r="K2633" s="19">
        <v>0</v>
      </c>
      <c r="L2633" s="17" t="s">
        <v>28</v>
      </c>
    </row>
    <row r="2634" ht="10.95" customHeight="true" customFormat="true" s="9">
      <c r="A2634" s="16">
        <v>45404</v>
      </c>
      <c r="B2634" s="17" t="s">
        <v>571</v>
      </c>
      <c r="C2634" s="17" t="s">
        <v>572</v>
      </c>
      <c r="D2634" s="17" t="s">
        <v>22</v>
      </c>
      <c r="E2634" s="17" t="s">
        <v>573</v>
      </c>
      <c r="F2634" s="17" t="s">
        <v>522</v>
      </c>
      <c r="G2634" s="18">
        <v>807.5000</v>
      </c>
      <c r="H2634" s="18">
        <v>0</v>
      </c>
      <c r="I2634" s="18">
        <f ca="1">((I2633 + G2634) - H2634)</f>
        <v>0</v>
      </c>
      <c r="J2634" s="18">
        <v>0</v>
      </c>
      <c r="K2634" s="19">
        <v>0</v>
      </c>
      <c r="L2634" s="17" t="s">
        <v>28</v>
      </c>
    </row>
    <row r="2635" ht="10.95" customHeight="true" customFormat="true" s="9">
      <c r="A2635" s="16">
        <v>45404</v>
      </c>
      <c r="B2635" s="17" t="s">
        <v>571</v>
      </c>
      <c r="C2635" s="17" t="s">
        <v>572</v>
      </c>
      <c r="D2635" s="17" t="s">
        <v>22</v>
      </c>
      <c r="E2635" s="17" t="s">
        <v>573</v>
      </c>
      <c r="F2635" s="17" t="s">
        <v>522</v>
      </c>
      <c r="G2635" s="18">
        <v>144.0000</v>
      </c>
      <c r="H2635" s="18">
        <v>0</v>
      </c>
      <c r="I2635" s="18">
        <f ca="1">((I2634 + G2635) - H2635)</f>
        <v>0</v>
      </c>
      <c r="J2635" s="18">
        <v>0</v>
      </c>
      <c r="K2635" s="19">
        <v>0</v>
      </c>
      <c r="L2635" s="17" t="s">
        <v>28</v>
      </c>
    </row>
    <row r="2636" ht="10.95" customHeight="true" customFormat="true" s="9">
      <c r="A2636" s="16">
        <v>45404</v>
      </c>
      <c r="B2636" s="17" t="s">
        <v>571</v>
      </c>
      <c r="C2636" s="17" t="s">
        <v>572</v>
      </c>
      <c r="D2636" s="17" t="s">
        <v>22</v>
      </c>
      <c r="E2636" s="17" t="s">
        <v>573</v>
      </c>
      <c r="F2636" s="17" t="s">
        <v>522</v>
      </c>
      <c r="G2636" s="18">
        <v>714.0000</v>
      </c>
      <c r="H2636" s="18">
        <v>0</v>
      </c>
      <c r="I2636" s="18">
        <f ca="1">((I2635 + G2636) - H2636)</f>
        <v>0</v>
      </c>
      <c r="J2636" s="18">
        <v>0</v>
      </c>
      <c r="K2636" s="19">
        <v>0</v>
      </c>
      <c r="L2636" s="17" t="s">
        <v>28</v>
      </c>
    </row>
    <row r="2637" ht="10.95" customHeight="true" customFormat="true" s="9">
      <c r="A2637" s="16">
        <v>45404</v>
      </c>
      <c r="B2637" s="17" t="s">
        <v>571</v>
      </c>
      <c r="C2637" s="17" t="s">
        <v>572</v>
      </c>
      <c r="D2637" s="17" t="s">
        <v>22</v>
      </c>
      <c r="E2637" s="17" t="s">
        <v>573</v>
      </c>
      <c r="F2637" s="17" t="s">
        <v>522</v>
      </c>
      <c r="G2637" s="18">
        <v>1342.9000</v>
      </c>
      <c r="H2637" s="18">
        <v>0</v>
      </c>
      <c r="I2637" s="18">
        <f ca="1">((I2636 + G2637) - H2637)</f>
        <v>0</v>
      </c>
      <c r="J2637" s="18">
        <v>0</v>
      </c>
      <c r="K2637" s="19">
        <v>0</v>
      </c>
      <c r="L2637" s="17" t="s">
        <v>28</v>
      </c>
    </row>
    <row r="2638" ht="10.95" customHeight="true" customFormat="true" s="9">
      <c r="A2638" s="16">
        <v>45404</v>
      </c>
      <c r="B2638" s="17" t="s">
        <v>571</v>
      </c>
      <c r="C2638" s="17" t="s">
        <v>572</v>
      </c>
      <c r="D2638" s="17" t="s">
        <v>22</v>
      </c>
      <c r="E2638" s="17" t="s">
        <v>573</v>
      </c>
      <c r="F2638" s="17" t="s">
        <v>522</v>
      </c>
      <c r="G2638" s="18">
        <v>406.3000</v>
      </c>
      <c r="H2638" s="18">
        <v>0</v>
      </c>
      <c r="I2638" s="18">
        <f ca="1">((I2637 + G2638) - H2638)</f>
        <v>0</v>
      </c>
      <c r="J2638" s="18">
        <v>0</v>
      </c>
      <c r="K2638" s="19">
        <v>0</v>
      </c>
      <c r="L2638" s="17" t="s">
        <v>28</v>
      </c>
    </row>
    <row r="2639" ht="10.95" customHeight="true" customFormat="true" s="9">
      <c r="A2639" s="16">
        <v>45404</v>
      </c>
      <c r="B2639" s="17" t="s">
        <v>571</v>
      </c>
      <c r="C2639" s="17" t="s">
        <v>572</v>
      </c>
      <c r="D2639" s="17" t="s">
        <v>333</v>
      </c>
      <c r="E2639" s="17" t="s">
        <v>574</v>
      </c>
      <c r="F2639" s="17" t="s">
        <v>377</v>
      </c>
      <c r="G2639" s="18">
        <v>0</v>
      </c>
      <c r="H2639" s="18">
        <v>5413.9000</v>
      </c>
      <c r="I2639" s="18">
        <f ca="1">((I2638 + G2639) - H2639)</f>
        <v>0</v>
      </c>
      <c r="J2639" s="18">
        <v>0</v>
      </c>
      <c r="K2639" s="19">
        <v>0</v>
      </c>
      <c r="L2639" s="17" t="s">
        <v>28</v>
      </c>
    </row>
    <row r="2640" ht="10.95" customHeight="true" customFormat="true" s="9">
      <c r="A2640" s="16">
        <v>45411</v>
      </c>
      <c r="B2640" s="17" t="s">
        <v>571</v>
      </c>
      <c r="C2640" s="17" t="s">
        <v>572</v>
      </c>
      <c r="D2640" s="17" t="s">
        <v>333</v>
      </c>
      <c r="E2640" s="17" t="s">
        <v>574</v>
      </c>
      <c r="F2640" s="17" t="s">
        <v>378</v>
      </c>
      <c r="G2640" s="18">
        <v>0</v>
      </c>
      <c r="H2640" s="18">
        <v>5757.9000</v>
      </c>
      <c r="I2640" s="18">
        <f ca="1">((I2639 + G2640) - H2640)</f>
        <v>0</v>
      </c>
      <c r="J2640" s="18">
        <v>0</v>
      </c>
      <c r="K2640" s="19">
        <v>0</v>
      </c>
      <c r="L2640" s="17" t="s">
        <v>28</v>
      </c>
    </row>
    <row r="2641" ht="10.95" customHeight="true" customFormat="true" s="9">
      <c r="A2641" s="16">
        <v>45411</v>
      </c>
      <c r="B2641" s="17" t="s">
        <v>571</v>
      </c>
      <c r="C2641" s="17" t="s">
        <v>572</v>
      </c>
      <c r="D2641" s="17" t="s">
        <v>22</v>
      </c>
      <c r="E2641" s="17" t="s">
        <v>573</v>
      </c>
      <c r="F2641" s="17" t="s">
        <v>523</v>
      </c>
      <c r="G2641" s="18">
        <v>2000.0000</v>
      </c>
      <c r="H2641" s="18">
        <v>0</v>
      </c>
      <c r="I2641" s="18">
        <f ca="1">((I2640 + G2641) - H2641)</f>
        <v>0</v>
      </c>
      <c r="J2641" s="18">
        <v>0</v>
      </c>
      <c r="K2641" s="19">
        <v>0</v>
      </c>
      <c r="L2641" s="17" t="s">
        <v>28</v>
      </c>
    </row>
    <row r="2642" ht="10.95" customHeight="true" customFormat="true" s="9">
      <c r="A2642" s="16">
        <v>45411</v>
      </c>
      <c r="B2642" s="17" t="s">
        <v>571</v>
      </c>
      <c r="C2642" s="17" t="s">
        <v>572</v>
      </c>
      <c r="D2642" s="17" t="s">
        <v>22</v>
      </c>
      <c r="E2642" s="17" t="s">
        <v>573</v>
      </c>
      <c r="F2642" s="17" t="s">
        <v>523</v>
      </c>
      <c r="G2642" s="18">
        <v>1342.9000</v>
      </c>
      <c r="H2642" s="18">
        <v>0</v>
      </c>
      <c r="I2642" s="18">
        <f ca="1">((I2641 + G2642) - H2642)</f>
        <v>0</v>
      </c>
      <c r="J2642" s="18">
        <v>0</v>
      </c>
      <c r="K2642" s="19">
        <v>0</v>
      </c>
      <c r="L2642" s="17" t="s">
        <v>28</v>
      </c>
    </row>
    <row r="2643" ht="10.95" customHeight="true" customFormat="true" s="9">
      <c r="A2643" s="16">
        <v>45411</v>
      </c>
      <c r="B2643" s="17" t="s">
        <v>571</v>
      </c>
      <c r="C2643" s="17" t="s">
        <v>572</v>
      </c>
      <c r="D2643" s="17" t="s">
        <v>22</v>
      </c>
      <c r="E2643" s="17" t="s">
        <v>573</v>
      </c>
      <c r="F2643" s="17" t="s">
        <v>523</v>
      </c>
      <c r="G2643" s="18">
        <v>596.7000</v>
      </c>
      <c r="H2643" s="18">
        <v>0</v>
      </c>
      <c r="I2643" s="18">
        <f ca="1">((I2642 + G2643) - H2643)</f>
        <v>0</v>
      </c>
      <c r="J2643" s="18">
        <v>0</v>
      </c>
      <c r="K2643" s="19">
        <v>0</v>
      </c>
      <c r="L2643" s="17" t="s">
        <v>28</v>
      </c>
    </row>
    <row r="2644" ht="10.95" customHeight="true" customFormat="true" s="9">
      <c r="A2644" s="16">
        <v>45411</v>
      </c>
      <c r="B2644" s="17" t="s">
        <v>571</v>
      </c>
      <c r="C2644" s="17" t="s">
        <v>572</v>
      </c>
      <c r="D2644" s="17" t="s">
        <v>22</v>
      </c>
      <c r="E2644" s="17" t="s">
        <v>573</v>
      </c>
      <c r="F2644" s="17" t="s">
        <v>523</v>
      </c>
      <c r="G2644" s="18">
        <v>605.6300</v>
      </c>
      <c r="H2644" s="18">
        <v>0</v>
      </c>
      <c r="I2644" s="18">
        <f ca="1">((I2643 + G2644) - H2644)</f>
        <v>0</v>
      </c>
      <c r="J2644" s="18">
        <v>0</v>
      </c>
      <c r="K2644" s="19">
        <v>0</v>
      </c>
      <c r="L2644" s="17" t="s">
        <v>28</v>
      </c>
    </row>
    <row r="2645" ht="10.95" customHeight="true" customFormat="true" s="9">
      <c r="A2645" s="16">
        <v>45411</v>
      </c>
      <c r="B2645" s="17" t="s">
        <v>571</v>
      </c>
      <c r="C2645" s="17" t="s">
        <v>572</v>
      </c>
      <c r="D2645" s="17" t="s">
        <v>22</v>
      </c>
      <c r="E2645" s="17" t="s">
        <v>573</v>
      </c>
      <c r="F2645" s="17" t="s">
        <v>523</v>
      </c>
      <c r="G2645" s="18">
        <v>996.6300</v>
      </c>
      <c r="H2645" s="18">
        <v>0</v>
      </c>
      <c r="I2645" s="18">
        <f ca="1">((I2644 + G2645) - H2645)</f>
        <v>0</v>
      </c>
      <c r="J2645" s="18">
        <v>0</v>
      </c>
      <c r="K2645" s="19">
        <v>0</v>
      </c>
      <c r="L2645" s="17" t="s">
        <v>28</v>
      </c>
    </row>
    <row r="2646" ht="10.95" customHeight="true" customFormat="true" s="9">
      <c r="A2646" s="16">
        <v>45411</v>
      </c>
      <c r="B2646" s="17" t="s">
        <v>571</v>
      </c>
      <c r="C2646" s="17" t="s">
        <v>572</v>
      </c>
      <c r="D2646" s="17" t="s">
        <v>22</v>
      </c>
      <c r="E2646" s="17" t="s">
        <v>573</v>
      </c>
      <c r="F2646" s="17" t="s">
        <v>523</v>
      </c>
      <c r="G2646" s="18">
        <v>216.0000</v>
      </c>
      <c r="H2646" s="18">
        <v>0</v>
      </c>
      <c r="I2646" s="18">
        <f ca="1">((I2645 + G2646) - H2646)</f>
        <v>0</v>
      </c>
      <c r="J2646" s="18">
        <v>0</v>
      </c>
      <c r="K2646" s="19">
        <v>0</v>
      </c>
      <c r="L2646" s="17" t="s">
        <v>28</v>
      </c>
    </row>
    <row r="2647" ht="10.95" customHeight="true" customFormat="true" s="9">
      <c r="A2647" s="16">
        <v>45418</v>
      </c>
      <c r="B2647" s="17" t="s">
        <v>571</v>
      </c>
      <c r="C2647" s="17" t="s">
        <v>572</v>
      </c>
      <c r="D2647" s="17" t="s">
        <v>333</v>
      </c>
      <c r="E2647" s="17" t="s">
        <v>574</v>
      </c>
      <c r="F2647" s="17" t="s">
        <v>379</v>
      </c>
      <c r="G2647" s="18">
        <v>0</v>
      </c>
      <c r="H2647" s="18">
        <v>5364.9000</v>
      </c>
      <c r="I2647" s="18">
        <f ca="1">((I2646 + G2647) - H2647)</f>
        <v>0</v>
      </c>
      <c r="J2647" s="18">
        <v>0</v>
      </c>
      <c r="K2647" s="19">
        <v>0</v>
      </c>
      <c r="L2647" s="17" t="s">
        <v>28</v>
      </c>
    </row>
    <row r="2648" ht="10.95" customHeight="true" customFormat="true" s="9">
      <c r="A2648" s="16">
        <v>45418</v>
      </c>
      <c r="B2648" s="17" t="s">
        <v>571</v>
      </c>
      <c r="C2648" s="17" t="s">
        <v>572</v>
      </c>
      <c r="D2648" s="17" t="s">
        <v>22</v>
      </c>
      <c r="E2648" s="17" t="s">
        <v>573</v>
      </c>
      <c r="F2648" s="17" t="s">
        <v>524</v>
      </c>
      <c r="G2648" s="18">
        <v>828.7500</v>
      </c>
      <c r="H2648" s="18">
        <v>0</v>
      </c>
      <c r="I2648" s="18">
        <f ca="1">((I2647 + G2648) - H2648)</f>
        <v>0</v>
      </c>
      <c r="J2648" s="18">
        <v>0</v>
      </c>
      <c r="K2648" s="19">
        <v>0</v>
      </c>
      <c r="L2648" s="17" t="s">
        <v>28</v>
      </c>
    </row>
    <row r="2649" ht="10.95" customHeight="true" customFormat="true" s="9">
      <c r="A2649" s="16">
        <v>45418</v>
      </c>
      <c r="B2649" s="17" t="s">
        <v>571</v>
      </c>
      <c r="C2649" s="17" t="s">
        <v>572</v>
      </c>
      <c r="D2649" s="17" t="s">
        <v>22</v>
      </c>
      <c r="E2649" s="17" t="s">
        <v>573</v>
      </c>
      <c r="F2649" s="17" t="s">
        <v>524</v>
      </c>
      <c r="G2649" s="18">
        <v>2000.0000</v>
      </c>
      <c r="H2649" s="18">
        <v>0</v>
      </c>
      <c r="I2649" s="18">
        <f ca="1">((I2648 + G2649) - H2649)</f>
        <v>0</v>
      </c>
      <c r="J2649" s="18">
        <v>0</v>
      </c>
      <c r="K2649" s="19">
        <v>0</v>
      </c>
      <c r="L2649" s="17" t="s">
        <v>28</v>
      </c>
    </row>
    <row r="2650" ht="10.95" customHeight="true" customFormat="true" s="9">
      <c r="A2650" s="16">
        <v>45418</v>
      </c>
      <c r="B2650" s="17" t="s">
        <v>571</v>
      </c>
      <c r="C2650" s="17" t="s">
        <v>572</v>
      </c>
      <c r="D2650" s="17" t="s">
        <v>22</v>
      </c>
      <c r="E2650" s="17" t="s">
        <v>573</v>
      </c>
      <c r="F2650" s="17" t="s">
        <v>525</v>
      </c>
      <c r="G2650" s="18">
        <v>1342.9000</v>
      </c>
      <c r="H2650" s="18">
        <v>0</v>
      </c>
      <c r="I2650" s="18">
        <f ca="1">((I2649 + G2650) - H2650)</f>
        <v>0</v>
      </c>
      <c r="J2650" s="18">
        <v>0</v>
      </c>
      <c r="K2650" s="19">
        <v>0</v>
      </c>
      <c r="L2650" s="17" t="s">
        <v>28</v>
      </c>
    </row>
    <row r="2651" ht="10.95" customHeight="true" customFormat="true" s="9">
      <c r="A2651" s="16">
        <v>45418</v>
      </c>
      <c r="B2651" s="17" t="s">
        <v>571</v>
      </c>
      <c r="C2651" s="17" t="s">
        <v>572</v>
      </c>
      <c r="D2651" s="17" t="s">
        <v>22</v>
      </c>
      <c r="E2651" s="17" t="s">
        <v>573</v>
      </c>
      <c r="F2651" s="17" t="s">
        <v>524</v>
      </c>
      <c r="G2651" s="18">
        <v>419.9000</v>
      </c>
      <c r="H2651" s="18">
        <v>0</v>
      </c>
      <c r="I2651" s="18">
        <f ca="1">((I2650 + G2651) - H2651)</f>
        <v>0</v>
      </c>
      <c r="J2651" s="18">
        <v>0</v>
      </c>
      <c r="K2651" s="19">
        <v>0</v>
      </c>
      <c r="L2651" s="17" t="s">
        <v>28</v>
      </c>
    </row>
    <row r="2652" ht="10.95" customHeight="true" customFormat="true" s="9">
      <c r="A2652" s="16">
        <v>45418</v>
      </c>
      <c r="B2652" s="17" t="s">
        <v>571</v>
      </c>
      <c r="C2652" s="17" t="s">
        <v>572</v>
      </c>
      <c r="D2652" s="17" t="s">
        <v>22</v>
      </c>
      <c r="E2652" s="17" t="s">
        <v>573</v>
      </c>
      <c r="F2652" s="17" t="s">
        <v>524</v>
      </c>
      <c r="G2652" s="18">
        <v>629.0000</v>
      </c>
      <c r="H2652" s="18">
        <v>0</v>
      </c>
      <c r="I2652" s="18">
        <f ca="1">((I2651 + G2652) - H2652)</f>
        <v>0</v>
      </c>
      <c r="J2652" s="18">
        <v>0</v>
      </c>
      <c r="K2652" s="19">
        <v>0</v>
      </c>
      <c r="L2652" s="17" t="s">
        <v>28</v>
      </c>
    </row>
    <row r="2653" ht="10.95" customHeight="true" customFormat="true" s="9">
      <c r="A2653" s="16">
        <v>45418</v>
      </c>
      <c r="B2653" s="17" t="s">
        <v>571</v>
      </c>
      <c r="C2653" s="17" t="s">
        <v>572</v>
      </c>
      <c r="D2653" s="17" t="s">
        <v>22</v>
      </c>
      <c r="E2653" s="17" t="s">
        <v>573</v>
      </c>
      <c r="F2653" s="17" t="s">
        <v>524</v>
      </c>
      <c r="G2653" s="18">
        <v>144.0000</v>
      </c>
      <c r="H2653" s="18">
        <v>0</v>
      </c>
      <c r="I2653" s="18">
        <f ca="1">((I2652 + G2653) - H2653)</f>
        <v>0</v>
      </c>
      <c r="J2653" s="18">
        <v>0</v>
      </c>
      <c r="K2653" s="19">
        <v>0</v>
      </c>
      <c r="L2653" s="17" t="s">
        <v>28</v>
      </c>
    </row>
    <row r="2654" ht="10.95" customHeight="true" customFormat="true" s="9">
      <c r="A2654" s="16">
        <v>45425</v>
      </c>
      <c r="B2654" s="17" t="s">
        <v>571</v>
      </c>
      <c r="C2654" s="17" t="s">
        <v>572</v>
      </c>
      <c r="D2654" s="17" t="s">
        <v>333</v>
      </c>
      <c r="E2654" s="17" t="s">
        <v>574</v>
      </c>
      <c r="F2654" s="17" t="s">
        <v>380</v>
      </c>
      <c r="G2654" s="18">
        <v>0</v>
      </c>
      <c r="H2654" s="18">
        <v>5386.9000</v>
      </c>
      <c r="I2654" s="18">
        <f ca="1">((I2653 + G2654) - H2654)</f>
        <v>0</v>
      </c>
      <c r="J2654" s="18">
        <v>0</v>
      </c>
      <c r="K2654" s="19">
        <v>0</v>
      </c>
      <c r="L2654" s="17" t="s">
        <v>28</v>
      </c>
    </row>
    <row r="2655" ht="10.95" customHeight="true" customFormat="true" s="9">
      <c r="A2655" s="16">
        <v>45425</v>
      </c>
      <c r="B2655" s="17" t="s">
        <v>571</v>
      </c>
      <c r="C2655" s="17" t="s">
        <v>572</v>
      </c>
      <c r="D2655" s="17" t="s">
        <v>22</v>
      </c>
      <c r="E2655" s="17" t="s">
        <v>573</v>
      </c>
      <c r="F2655" s="17" t="s">
        <v>526</v>
      </c>
      <c r="G2655" s="18">
        <v>629.0000</v>
      </c>
      <c r="H2655" s="18">
        <v>0</v>
      </c>
      <c r="I2655" s="18">
        <f ca="1">((I2654 + G2655) - H2655)</f>
        <v>0</v>
      </c>
      <c r="J2655" s="18">
        <v>0</v>
      </c>
      <c r="K2655" s="19">
        <v>0</v>
      </c>
      <c r="L2655" s="17" t="s">
        <v>28</v>
      </c>
    </row>
    <row r="2656" ht="10.95" customHeight="true" customFormat="true" s="9">
      <c r="A2656" s="16">
        <v>45425</v>
      </c>
      <c r="B2656" s="17" t="s">
        <v>571</v>
      </c>
      <c r="C2656" s="17" t="s">
        <v>572</v>
      </c>
      <c r="D2656" s="17" t="s">
        <v>22</v>
      </c>
      <c r="E2656" s="17" t="s">
        <v>573</v>
      </c>
      <c r="F2656" s="17" t="s">
        <v>526</v>
      </c>
      <c r="G2656" s="18">
        <v>1235.0500</v>
      </c>
      <c r="H2656" s="18">
        <v>0</v>
      </c>
      <c r="I2656" s="18">
        <f ca="1">((I2655 + G2656) - H2656)</f>
        <v>0</v>
      </c>
      <c r="J2656" s="18">
        <v>0</v>
      </c>
      <c r="K2656" s="19">
        <v>0</v>
      </c>
      <c r="L2656" s="17" t="s">
        <v>28</v>
      </c>
    </row>
    <row r="2657" ht="10.95" customHeight="true" customFormat="true" s="9">
      <c r="A2657" s="16">
        <v>45425</v>
      </c>
      <c r="B2657" s="17" t="s">
        <v>571</v>
      </c>
      <c r="C2657" s="17" t="s">
        <v>572</v>
      </c>
      <c r="D2657" s="17" t="s">
        <v>22</v>
      </c>
      <c r="E2657" s="17" t="s">
        <v>573</v>
      </c>
      <c r="F2657" s="17" t="s">
        <v>526</v>
      </c>
      <c r="G2657" s="18">
        <v>2000.0000</v>
      </c>
      <c r="H2657" s="18">
        <v>0</v>
      </c>
      <c r="I2657" s="18">
        <f ca="1">((I2656 + G2657) - H2657)</f>
        <v>0</v>
      </c>
      <c r="J2657" s="18">
        <v>0</v>
      </c>
      <c r="K2657" s="19">
        <v>0</v>
      </c>
      <c r="L2657" s="17" t="s">
        <v>28</v>
      </c>
    </row>
    <row r="2658" ht="10.95" customHeight="true" customFormat="true" s="9">
      <c r="A2658" s="16">
        <v>45425</v>
      </c>
      <c r="B2658" s="17" t="s">
        <v>571</v>
      </c>
      <c r="C2658" s="17" t="s">
        <v>572</v>
      </c>
      <c r="D2658" s="17" t="s">
        <v>22</v>
      </c>
      <c r="E2658" s="17" t="s">
        <v>573</v>
      </c>
      <c r="F2658" s="17" t="s">
        <v>526</v>
      </c>
      <c r="G2658" s="18">
        <v>1342.9000</v>
      </c>
      <c r="H2658" s="18">
        <v>0</v>
      </c>
      <c r="I2658" s="18">
        <f ca="1">((I2657 + G2658) - H2658)</f>
        <v>0</v>
      </c>
      <c r="J2658" s="18">
        <v>0</v>
      </c>
      <c r="K2658" s="19">
        <v>0</v>
      </c>
      <c r="L2658" s="17" t="s">
        <v>28</v>
      </c>
    </row>
    <row r="2659" ht="10.95" customHeight="true" customFormat="true" s="9">
      <c r="A2659" s="16">
        <v>45425</v>
      </c>
      <c r="B2659" s="17" t="s">
        <v>571</v>
      </c>
      <c r="C2659" s="17" t="s">
        <v>572</v>
      </c>
      <c r="D2659" s="17" t="s">
        <v>22</v>
      </c>
      <c r="E2659" s="17" t="s">
        <v>573</v>
      </c>
      <c r="F2659" s="17" t="s">
        <v>526</v>
      </c>
      <c r="G2659" s="18">
        <v>180.0000</v>
      </c>
      <c r="H2659" s="18">
        <v>0</v>
      </c>
      <c r="I2659" s="18">
        <f ca="1">((I2658 + G2659) - H2659)</f>
        <v>0</v>
      </c>
      <c r="J2659" s="18">
        <v>0</v>
      </c>
      <c r="K2659" s="19">
        <v>0</v>
      </c>
      <c r="L2659" s="17" t="s">
        <v>28</v>
      </c>
    </row>
    <row r="2660" ht="10.95" customHeight="true" customFormat="true" s="9">
      <c r="A2660" s="16">
        <v>45432</v>
      </c>
      <c r="B2660" s="17" t="s">
        <v>571</v>
      </c>
      <c r="C2660" s="17" t="s">
        <v>572</v>
      </c>
      <c r="D2660" s="17" t="s">
        <v>22</v>
      </c>
      <c r="E2660" s="17" t="s">
        <v>573</v>
      </c>
      <c r="F2660" s="17" t="s">
        <v>527</v>
      </c>
      <c r="G2660" s="18">
        <v>1342.9000</v>
      </c>
      <c r="H2660" s="18">
        <v>0</v>
      </c>
      <c r="I2660" s="18">
        <f ca="1">((I2659 + G2660) - H2660)</f>
        <v>0</v>
      </c>
      <c r="J2660" s="18">
        <v>0</v>
      </c>
      <c r="K2660" s="19">
        <v>0</v>
      </c>
      <c r="L2660" s="17" t="s">
        <v>28</v>
      </c>
    </row>
    <row r="2661" ht="10.95" customHeight="true" customFormat="true" s="9">
      <c r="A2661" s="16">
        <v>45432</v>
      </c>
      <c r="B2661" s="17" t="s">
        <v>571</v>
      </c>
      <c r="C2661" s="17" t="s">
        <v>572</v>
      </c>
      <c r="D2661" s="17" t="s">
        <v>22</v>
      </c>
      <c r="E2661" s="17" t="s">
        <v>573</v>
      </c>
      <c r="F2661" s="17" t="s">
        <v>527</v>
      </c>
      <c r="G2661" s="18">
        <v>1235.0500</v>
      </c>
      <c r="H2661" s="18">
        <v>0</v>
      </c>
      <c r="I2661" s="18">
        <f ca="1">((I2660 + G2661) - H2661)</f>
        <v>0</v>
      </c>
      <c r="J2661" s="18">
        <v>0</v>
      </c>
      <c r="K2661" s="19">
        <v>0</v>
      </c>
      <c r="L2661" s="17" t="s">
        <v>28</v>
      </c>
    </row>
    <row r="2662" ht="10.95" customHeight="true" customFormat="true" s="9">
      <c r="A2662" s="16">
        <v>45432</v>
      </c>
      <c r="B2662" s="17" t="s">
        <v>571</v>
      </c>
      <c r="C2662" s="17" t="s">
        <v>572</v>
      </c>
      <c r="D2662" s="17" t="s">
        <v>22</v>
      </c>
      <c r="E2662" s="17" t="s">
        <v>573</v>
      </c>
      <c r="F2662" s="17" t="s">
        <v>527</v>
      </c>
      <c r="G2662" s="18">
        <v>2000.0000</v>
      </c>
      <c r="H2662" s="18">
        <v>0</v>
      </c>
      <c r="I2662" s="18">
        <f ca="1">((I2661 + G2662) - H2662)</f>
        <v>0</v>
      </c>
      <c r="J2662" s="18">
        <v>0</v>
      </c>
      <c r="K2662" s="19">
        <v>0</v>
      </c>
      <c r="L2662" s="17" t="s">
        <v>28</v>
      </c>
    </row>
    <row r="2663" ht="10.95" customHeight="true" customFormat="true" s="9">
      <c r="A2663" s="16">
        <v>45432</v>
      </c>
      <c r="B2663" s="17" t="s">
        <v>571</v>
      </c>
      <c r="C2663" s="17" t="s">
        <v>572</v>
      </c>
      <c r="D2663" s="17" t="s">
        <v>22</v>
      </c>
      <c r="E2663" s="17" t="s">
        <v>573</v>
      </c>
      <c r="F2663" s="17" t="s">
        <v>527</v>
      </c>
      <c r="G2663" s="18">
        <v>629.0000</v>
      </c>
      <c r="H2663" s="18">
        <v>0</v>
      </c>
      <c r="I2663" s="18">
        <f ca="1">((I2662 + G2663) - H2663)</f>
        <v>0</v>
      </c>
      <c r="J2663" s="18">
        <v>0</v>
      </c>
      <c r="K2663" s="19">
        <v>0</v>
      </c>
      <c r="L2663" s="17" t="s">
        <v>28</v>
      </c>
    </row>
    <row r="2664" ht="10.95" customHeight="true" customFormat="true" s="9">
      <c r="A2664" s="16">
        <v>45432</v>
      </c>
      <c r="B2664" s="17" t="s">
        <v>571</v>
      </c>
      <c r="C2664" s="17" t="s">
        <v>572</v>
      </c>
      <c r="D2664" s="17" t="s">
        <v>22</v>
      </c>
      <c r="E2664" s="17" t="s">
        <v>573</v>
      </c>
      <c r="F2664" s="17" t="s">
        <v>527</v>
      </c>
      <c r="G2664" s="18">
        <v>272.0000</v>
      </c>
      <c r="H2664" s="18">
        <v>0</v>
      </c>
      <c r="I2664" s="18">
        <f ca="1">((I2663 + G2664) - H2664)</f>
        <v>0</v>
      </c>
      <c r="J2664" s="18">
        <v>0</v>
      </c>
      <c r="K2664" s="19">
        <v>0</v>
      </c>
      <c r="L2664" s="17" t="s">
        <v>28</v>
      </c>
    </row>
    <row r="2665" ht="10.95" customHeight="true" customFormat="true" s="9">
      <c r="A2665" s="16">
        <v>45432</v>
      </c>
      <c r="B2665" s="17" t="s">
        <v>571</v>
      </c>
      <c r="C2665" s="17" t="s">
        <v>572</v>
      </c>
      <c r="D2665" s="17" t="s">
        <v>22</v>
      </c>
      <c r="E2665" s="17" t="s">
        <v>573</v>
      </c>
      <c r="F2665" s="17" t="s">
        <v>527</v>
      </c>
      <c r="G2665" s="18">
        <v>144.0000</v>
      </c>
      <c r="H2665" s="18">
        <v>0</v>
      </c>
      <c r="I2665" s="18">
        <f ca="1">((I2664 + G2665) - H2665)</f>
        <v>0</v>
      </c>
      <c r="J2665" s="18">
        <v>0</v>
      </c>
      <c r="K2665" s="19">
        <v>0</v>
      </c>
      <c r="L2665" s="17" t="s">
        <v>28</v>
      </c>
    </row>
    <row r="2666" ht="10.95" customHeight="true" customFormat="true" s="9">
      <c r="A2666" s="16">
        <v>45432</v>
      </c>
      <c r="B2666" s="17" t="s">
        <v>571</v>
      </c>
      <c r="C2666" s="17" t="s">
        <v>572</v>
      </c>
      <c r="D2666" s="17" t="s">
        <v>333</v>
      </c>
      <c r="E2666" s="17" t="s">
        <v>574</v>
      </c>
      <c r="F2666" s="17" t="s">
        <v>381</v>
      </c>
      <c r="G2666" s="18">
        <v>0</v>
      </c>
      <c r="H2666" s="18">
        <v>5622.9000</v>
      </c>
      <c r="I2666" s="18">
        <f ca="1">((I2665 + G2666) - H2666)</f>
        <v>0</v>
      </c>
      <c r="J2666" s="18">
        <v>0</v>
      </c>
      <c r="K2666" s="19">
        <v>0</v>
      </c>
      <c r="L2666" s="17" t="s">
        <v>28</v>
      </c>
    </row>
    <row r="2667" ht="10.95" customHeight="true" customFormat="true" s="9">
      <c r="A2667" s="16">
        <v>45439</v>
      </c>
      <c r="B2667" s="17" t="s">
        <v>571</v>
      </c>
      <c r="C2667" s="17" t="s">
        <v>572</v>
      </c>
      <c r="D2667" s="17" t="s">
        <v>22</v>
      </c>
      <c r="E2667" s="17" t="s">
        <v>573</v>
      </c>
      <c r="F2667" s="17" t="s">
        <v>528</v>
      </c>
      <c r="G2667" s="18">
        <v>136.0000</v>
      </c>
      <c r="H2667" s="18">
        <v>0</v>
      </c>
      <c r="I2667" s="18">
        <f ca="1">((I2666 + G2667) - H2667)</f>
        <v>0</v>
      </c>
      <c r="J2667" s="18">
        <v>0</v>
      </c>
      <c r="K2667" s="19">
        <v>0</v>
      </c>
      <c r="L2667" s="17" t="s">
        <v>28</v>
      </c>
    </row>
    <row r="2668" ht="10.95" customHeight="true" customFormat="true" s="9">
      <c r="A2668" s="16">
        <v>45439</v>
      </c>
      <c r="B2668" s="17" t="s">
        <v>571</v>
      </c>
      <c r="C2668" s="17" t="s">
        <v>572</v>
      </c>
      <c r="D2668" s="17" t="s">
        <v>22</v>
      </c>
      <c r="E2668" s="17" t="s">
        <v>573</v>
      </c>
      <c r="F2668" s="17" t="s">
        <v>528</v>
      </c>
      <c r="G2668" s="18">
        <v>629.0000</v>
      </c>
      <c r="H2668" s="18">
        <v>0</v>
      </c>
      <c r="I2668" s="18">
        <f ca="1">((I2667 + G2668) - H2668)</f>
        <v>0</v>
      </c>
      <c r="J2668" s="18">
        <v>0</v>
      </c>
      <c r="K2668" s="19">
        <v>0</v>
      </c>
      <c r="L2668" s="17" t="s">
        <v>28</v>
      </c>
    </row>
    <row r="2669" ht="10.95" customHeight="true" customFormat="true" s="9">
      <c r="A2669" s="16">
        <v>45439</v>
      </c>
      <c r="B2669" s="17" t="s">
        <v>571</v>
      </c>
      <c r="C2669" s="17" t="s">
        <v>572</v>
      </c>
      <c r="D2669" s="17" t="s">
        <v>22</v>
      </c>
      <c r="E2669" s="17" t="s">
        <v>573</v>
      </c>
      <c r="F2669" s="17" t="s">
        <v>528</v>
      </c>
      <c r="G2669" s="18">
        <v>1342.9000</v>
      </c>
      <c r="H2669" s="18">
        <v>0</v>
      </c>
      <c r="I2669" s="18">
        <f ca="1">((I2668 + G2669) - H2669)</f>
        <v>0</v>
      </c>
      <c r="J2669" s="18">
        <v>0</v>
      </c>
      <c r="K2669" s="19">
        <v>0</v>
      </c>
      <c r="L2669" s="17" t="s">
        <v>28</v>
      </c>
    </row>
    <row r="2670" ht="10.95" customHeight="true" customFormat="true" s="9">
      <c r="A2670" s="16">
        <v>45439</v>
      </c>
      <c r="B2670" s="17" t="s">
        <v>571</v>
      </c>
      <c r="C2670" s="17" t="s">
        <v>572</v>
      </c>
      <c r="D2670" s="17" t="s">
        <v>22</v>
      </c>
      <c r="E2670" s="17" t="s">
        <v>573</v>
      </c>
      <c r="F2670" s="17" t="s">
        <v>528</v>
      </c>
      <c r="G2670" s="18">
        <v>1235.0500</v>
      </c>
      <c r="H2670" s="18">
        <v>0</v>
      </c>
      <c r="I2670" s="18">
        <f ca="1">((I2669 + G2670) - H2670)</f>
        <v>0</v>
      </c>
      <c r="J2670" s="18">
        <v>0</v>
      </c>
      <c r="K2670" s="19">
        <v>0</v>
      </c>
      <c r="L2670" s="17" t="s">
        <v>28</v>
      </c>
    </row>
    <row r="2671" ht="10.95" customHeight="true" customFormat="true" s="9">
      <c r="A2671" s="16">
        <v>45439</v>
      </c>
      <c r="B2671" s="17" t="s">
        <v>571</v>
      </c>
      <c r="C2671" s="17" t="s">
        <v>572</v>
      </c>
      <c r="D2671" s="17" t="s">
        <v>22</v>
      </c>
      <c r="E2671" s="17" t="s">
        <v>573</v>
      </c>
      <c r="F2671" s="17" t="s">
        <v>528</v>
      </c>
      <c r="G2671" s="18">
        <v>144.0000</v>
      </c>
      <c r="H2671" s="18">
        <v>0</v>
      </c>
      <c r="I2671" s="18">
        <f ca="1">((I2670 + G2671) - H2671)</f>
        <v>0</v>
      </c>
      <c r="J2671" s="18">
        <v>0</v>
      </c>
      <c r="K2671" s="19">
        <v>0</v>
      </c>
      <c r="L2671" s="17" t="s">
        <v>28</v>
      </c>
    </row>
    <row r="2672" ht="10.95" customHeight="true" customFormat="true" s="9">
      <c r="A2672" s="16">
        <v>45439</v>
      </c>
      <c r="B2672" s="17" t="s">
        <v>571</v>
      </c>
      <c r="C2672" s="17" t="s">
        <v>572</v>
      </c>
      <c r="D2672" s="17" t="s">
        <v>22</v>
      </c>
      <c r="E2672" s="17" t="s">
        <v>573</v>
      </c>
      <c r="F2672" s="17" t="s">
        <v>528</v>
      </c>
      <c r="G2672" s="18">
        <v>2000.0000</v>
      </c>
      <c r="H2672" s="18">
        <v>0</v>
      </c>
      <c r="I2672" s="18">
        <f ca="1">((I2671 + G2672) - H2672)</f>
        <v>0</v>
      </c>
      <c r="J2672" s="18">
        <v>0</v>
      </c>
      <c r="K2672" s="19">
        <v>0</v>
      </c>
      <c r="L2672" s="17" t="s">
        <v>28</v>
      </c>
    </row>
    <row r="2673" ht="10.95" customHeight="true" customFormat="true" s="9">
      <c r="A2673" s="16">
        <v>45439</v>
      </c>
      <c r="B2673" s="17" t="s">
        <v>571</v>
      </c>
      <c r="C2673" s="17" t="s">
        <v>572</v>
      </c>
      <c r="D2673" s="17" t="s">
        <v>333</v>
      </c>
      <c r="E2673" s="17" t="s">
        <v>574</v>
      </c>
      <c r="F2673" s="17" t="s">
        <v>382</v>
      </c>
      <c r="G2673" s="18">
        <v>0</v>
      </c>
      <c r="H2673" s="18">
        <v>5486.9000</v>
      </c>
      <c r="I2673" s="18">
        <f ca="1">((I2672 + G2673) - H2673)</f>
        <v>0</v>
      </c>
      <c r="J2673" s="18">
        <v>0</v>
      </c>
      <c r="K2673" s="19">
        <v>0</v>
      </c>
      <c r="L2673" s="17" t="s">
        <v>28</v>
      </c>
    </row>
    <row r="2674" ht="10.95" customHeight="true" customFormat="true" s="9">
      <c r="A2674" s="16">
        <v>45446</v>
      </c>
      <c r="B2674" s="17" t="s">
        <v>571</v>
      </c>
      <c r="C2674" s="17" t="s">
        <v>572</v>
      </c>
      <c r="D2674" s="17" t="s">
        <v>22</v>
      </c>
      <c r="E2674" s="17" t="s">
        <v>573</v>
      </c>
      <c r="F2674" s="17" t="s">
        <v>529</v>
      </c>
      <c r="G2674" s="18">
        <v>2000.0000</v>
      </c>
      <c r="H2674" s="18">
        <v>0</v>
      </c>
      <c r="I2674" s="18">
        <f ca="1">((I2673 + G2674) - H2674)</f>
        <v>0</v>
      </c>
      <c r="J2674" s="18">
        <v>0</v>
      </c>
      <c r="K2674" s="19">
        <v>0</v>
      </c>
      <c r="L2674" s="17" t="s">
        <v>28</v>
      </c>
    </row>
    <row r="2675" ht="10.95" customHeight="true" customFormat="true" s="9">
      <c r="A2675" s="16">
        <v>45446</v>
      </c>
      <c r="B2675" s="17" t="s">
        <v>571</v>
      </c>
      <c r="C2675" s="17" t="s">
        <v>572</v>
      </c>
      <c r="D2675" s="17" t="s">
        <v>22</v>
      </c>
      <c r="E2675" s="17" t="s">
        <v>573</v>
      </c>
      <c r="F2675" s="17" t="s">
        <v>529</v>
      </c>
      <c r="G2675" s="18">
        <v>629.0000</v>
      </c>
      <c r="H2675" s="18">
        <v>0</v>
      </c>
      <c r="I2675" s="18">
        <f ca="1">((I2674 + G2675) - H2675)</f>
        <v>0</v>
      </c>
      <c r="J2675" s="18">
        <v>0</v>
      </c>
      <c r="K2675" s="19">
        <v>0</v>
      </c>
      <c r="L2675" s="17" t="s">
        <v>28</v>
      </c>
    </row>
    <row r="2676" ht="10.95" customHeight="true" customFormat="true" s="9">
      <c r="A2676" s="16">
        <v>45446</v>
      </c>
      <c r="B2676" s="17" t="s">
        <v>571</v>
      </c>
      <c r="C2676" s="17" t="s">
        <v>572</v>
      </c>
      <c r="D2676" s="17" t="s">
        <v>22</v>
      </c>
      <c r="E2676" s="17" t="s">
        <v>573</v>
      </c>
      <c r="F2676" s="17" t="s">
        <v>529</v>
      </c>
      <c r="G2676" s="18">
        <v>136.0000</v>
      </c>
      <c r="H2676" s="18">
        <v>0</v>
      </c>
      <c r="I2676" s="18">
        <f ca="1">((I2675 + G2676) - H2676)</f>
        <v>0</v>
      </c>
      <c r="J2676" s="18">
        <v>0</v>
      </c>
      <c r="K2676" s="19">
        <v>0</v>
      </c>
      <c r="L2676" s="17" t="s">
        <v>28</v>
      </c>
    </row>
    <row r="2677" ht="10.95" customHeight="true" customFormat="true" s="9">
      <c r="A2677" s="16">
        <v>45446</v>
      </c>
      <c r="B2677" s="17" t="s">
        <v>571</v>
      </c>
      <c r="C2677" s="17" t="s">
        <v>572</v>
      </c>
      <c r="D2677" s="17" t="s">
        <v>22</v>
      </c>
      <c r="E2677" s="17" t="s">
        <v>573</v>
      </c>
      <c r="F2677" s="17" t="s">
        <v>529</v>
      </c>
      <c r="G2677" s="18">
        <v>144.0000</v>
      </c>
      <c r="H2677" s="18">
        <v>0</v>
      </c>
      <c r="I2677" s="18">
        <f ca="1">((I2676 + G2677) - H2677)</f>
        <v>0</v>
      </c>
      <c r="J2677" s="18">
        <v>0</v>
      </c>
      <c r="K2677" s="19">
        <v>0</v>
      </c>
      <c r="L2677" s="17" t="s">
        <v>28</v>
      </c>
    </row>
    <row r="2678" ht="10.95" customHeight="true" customFormat="true" s="9">
      <c r="A2678" s="16">
        <v>45446</v>
      </c>
      <c r="B2678" s="17" t="s">
        <v>571</v>
      </c>
      <c r="C2678" s="17" t="s">
        <v>572</v>
      </c>
      <c r="D2678" s="17" t="s">
        <v>22</v>
      </c>
      <c r="E2678" s="17" t="s">
        <v>573</v>
      </c>
      <c r="F2678" s="17" t="s">
        <v>529</v>
      </c>
      <c r="G2678" s="18">
        <v>1235.0500</v>
      </c>
      <c r="H2678" s="18">
        <v>0</v>
      </c>
      <c r="I2678" s="18">
        <f ca="1">((I2677 + G2678) - H2678)</f>
        <v>0</v>
      </c>
      <c r="J2678" s="18">
        <v>0</v>
      </c>
      <c r="K2678" s="19">
        <v>0</v>
      </c>
      <c r="L2678" s="17" t="s">
        <v>28</v>
      </c>
    </row>
    <row r="2679" ht="10.95" customHeight="true" customFormat="true" s="9">
      <c r="A2679" s="16">
        <v>45446</v>
      </c>
      <c r="B2679" s="17" t="s">
        <v>571</v>
      </c>
      <c r="C2679" s="17" t="s">
        <v>572</v>
      </c>
      <c r="D2679" s="17" t="s">
        <v>22</v>
      </c>
      <c r="E2679" s="17" t="s">
        <v>573</v>
      </c>
      <c r="F2679" s="17" t="s">
        <v>529</v>
      </c>
      <c r="G2679" s="18">
        <v>1342.9000</v>
      </c>
      <c r="H2679" s="18">
        <v>0</v>
      </c>
      <c r="I2679" s="18">
        <f ca="1">((I2678 + G2679) - H2679)</f>
        <v>0</v>
      </c>
      <c r="J2679" s="18">
        <v>0</v>
      </c>
      <c r="K2679" s="19">
        <v>0</v>
      </c>
      <c r="L2679" s="17" t="s">
        <v>28</v>
      </c>
    </row>
    <row r="2680" ht="10.95" customHeight="true" customFormat="true" s="9">
      <c r="A2680" s="16">
        <v>45446</v>
      </c>
      <c r="B2680" s="17" t="s">
        <v>571</v>
      </c>
      <c r="C2680" s="17" t="s">
        <v>572</v>
      </c>
      <c r="D2680" s="17" t="s">
        <v>333</v>
      </c>
      <c r="E2680" s="17" t="s">
        <v>574</v>
      </c>
      <c r="F2680" s="17" t="s">
        <v>383</v>
      </c>
      <c r="G2680" s="18">
        <v>0</v>
      </c>
      <c r="H2680" s="18">
        <v>5486.9000</v>
      </c>
      <c r="I2680" s="18">
        <f ca="1">((I2679 + G2680) - H2680)</f>
        <v>0</v>
      </c>
      <c r="J2680" s="18">
        <v>0</v>
      </c>
      <c r="K2680" s="19">
        <v>0</v>
      </c>
      <c r="L2680" s="17" t="s">
        <v>28</v>
      </c>
    </row>
    <row r="2681" ht="10.95" customHeight="true" customFormat="true" s="9">
      <c r="A2681" s="16">
        <v>45453</v>
      </c>
      <c r="B2681" s="17" t="s">
        <v>571</v>
      </c>
      <c r="C2681" s="17" t="s">
        <v>572</v>
      </c>
      <c r="D2681" s="17" t="s">
        <v>22</v>
      </c>
      <c r="E2681" s="17" t="s">
        <v>573</v>
      </c>
      <c r="F2681" s="17" t="s">
        <v>530</v>
      </c>
      <c r="G2681" s="18">
        <v>1235.0500</v>
      </c>
      <c r="H2681" s="18">
        <v>0</v>
      </c>
      <c r="I2681" s="18">
        <f ca="1">((I2680 + G2681) - H2681)</f>
        <v>0</v>
      </c>
      <c r="J2681" s="18">
        <v>0</v>
      </c>
      <c r="K2681" s="19">
        <v>0</v>
      </c>
      <c r="L2681" s="17" t="s">
        <v>28</v>
      </c>
    </row>
    <row r="2682" ht="10.95" customHeight="true" customFormat="true" s="9">
      <c r="A2682" s="16">
        <v>45453</v>
      </c>
      <c r="B2682" s="17" t="s">
        <v>571</v>
      </c>
      <c r="C2682" s="17" t="s">
        <v>572</v>
      </c>
      <c r="D2682" s="17" t="s">
        <v>22</v>
      </c>
      <c r="E2682" s="17" t="s">
        <v>573</v>
      </c>
      <c r="F2682" s="17" t="s">
        <v>530</v>
      </c>
      <c r="G2682" s="18">
        <v>1342.9000</v>
      </c>
      <c r="H2682" s="18">
        <v>0</v>
      </c>
      <c r="I2682" s="18">
        <f ca="1">((I2681 + G2682) - H2682)</f>
        <v>0</v>
      </c>
      <c r="J2682" s="18">
        <v>0</v>
      </c>
      <c r="K2682" s="19">
        <v>0</v>
      </c>
      <c r="L2682" s="17" t="s">
        <v>28</v>
      </c>
    </row>
    <row r="2683" ht="10.95" customHeight="true" customFormat="true" s="9">
      <c r="A2683" s="16">
        <v>45453</v>
      </c>
      <c r="B2683" s="17" t="s">
        <v>571</v>
      </c>
      <c r="C2683" s="17" t="s">
        <v>572</v>
      </c>
      <c r="D2683" s="17" t="s">
        <v>22</v>
      </c>
      <c r="E2683" s="17" t="s">
        <v>573</v>
      </c>
      <c r="F2683" s="17" t="s">
        <v>531</v>
      </c>
      <c r="G2683" s="18">
        <v>136.0000</v>
      </c>
      <c r="H2683" s="18">
        <v>0</v>
      </c>
      <c r="I2683" s="18">
        <f ca="1">((I2682 + G2683) - H2683)</f>
        <v>0</v>
      </c>
      <c r="J2683" s="18">
        <v>0</v>
      </c>
      <c r="K2683" s="19">
        <v>0</v>
      </c>
      <c r="L2683" s="17" t="s">
        <v>28</v>
      </c>
    </row>
    <row r="2684" ht="10.95" customHeight="true" customFormat="true" s="9">
      <c r="A2684" s="16">
        <v>45453</v>
      </c>
      <c r="B2684" s="17" t="s">
        <v>571</v>
      </c>
      <c r="C2684" s="17" t="s">
        <v>572</v>
      </c>
      <c r="D2684" s="17" t="s">
        <v>22</v>
      </c>
      <c r="E2684" s="17" t="s">
        <v>573</v>
      </c>
      <c r="F2684" s="17" t="s">
        <v>530</v>
      </c>
      <c r="G2684" s="18">
        <v>144.0000</v>
      </c>
      <c r="H2684" s="18">
        <v>0</v>
      </c>
      <c r="I2684" s="18">
        <f ca="1">((I2683 + G2684) - H2684)</f>
        <v>0</v>
      </c>
      <c r="J2684" s="18">
        <v>0</v>
      </c>
      <c r="K2684" s="19">
        <v>0</v>
      </c>
      <c r="L2684" s="17" t="s">
        <v>28</v>
      </c>
    </row>
    <row r="2685" ht="10.95" customHeight="true" customFormat="true" s="9">
      <c r="A2685" s="16">
        <v>45453</v>
      </c>
      <c r="B2685" s="17" t="s">
        <v>571</v>
      </c>
      <c r="C2685" s="17" t="s">
        <v>572</v>
      </c>
      <c r="D2685" s="17" t="s">
        <v>22</v>
      </c>
      <c r="E2685" s="17" t="s">
        <v>573</v>
      </c>
      <c r="F2685" s="17" t="s">
        <v>530</v>
      </c>
      <c r="G2685" s="18">
        <v>2000.0000</v>
      </c>
      <c r="H2685" s="18">
        <v>0</v>
      </c>
      <c r="I2685" s="18">
        <f ca="1">((I2684 + G2685) - H2685)</f>
        <v>0</v>
      </c>
      <c r="J2685" s="18">
        <v>0</v>
      </c>
      <c r="K2685" s="19">
        <v>0</v>
      </c>
      <c r="L2685" s="17" t="s">
        <v>28</v>
      </c>
    </row>
    <row r="2686" ht="10.95" customHeight="true" customFormat="true" s="9">
      <c r="A2686" s="16">
        <v>45453</v>
      </c>
      <c r="B2686" s="17" t="s">
        <v>571</v>
      </c>
      <c r="C2686" s="17" t="s">
        <v>572</v>
      </c>
      <c r="D2686" s="17" t="s">
        <v>22</v>
      </c>
      <c r="E2686" s="17" t="s">
        <v>573</v>
      </c>
      <c r="F2686" s="17" t="s">
        <v>530</v>
      </c>
      <c r="G2686" s="18">
        <v>629.0000</v>
      </c>
      <c r="H2686" s="18">
        <v>0</v>
      </c>
      <c r="I2686" s="18">
        <f ca="1">((I2685 + G2686) - H2686)</f>
        <v>0</v>
      </c>
      <c r="J2686" s="18">
        <v>0</v>
      </c>
      <c r="K2686" s="19">
        <v>0</v>
      </c>
      <c r="L2686" s="17" t="s">
        <v>28</v>
      </c>
    </row>
    <row r="2687" ht="10.95" customHeight="true" customFormat="true" s="9">
      <c r="A2687" s="16">
        <v>45453</v>
      </c>
      <c r="B2687" s="17" t="s">
        <v>571</v>
      </c>
      <c r="C2687" s="17" t="s">
        <v>572</v>
      </c>
      <c r="D2687" s="17" t="s">
        <v>333</v>
      </c>
      <c r="E2687" s="17" t="s">
        <v>574</v>
      </c>
      <c r="F2687" s="17" t="s">
        <v>384</v>
      </c>
      <c r="G2687" s="18">
        <v>0</v>
      </c>
      <c r="H2687" s="18">
        <v>5486.9000</v>
      </c>
      <c r="I2687" s="18">
        <f ca="1">((I2686 + G2687) - H2687)</f>
        <v>0</v>
      </c>
      <c r="J2687" s="18">
        <v>0</v>
      </c>
      <c r="K2687" s="19">
        <v>0</v>
      </c>
      <c r="L2687" s="17" t="s">
        <v>28</v>
      </c>
    </row>
    <row r="2688" ht="10.95" customHeight="true" customFormat="true" s="9">
      <c r="A2688" s="16">
        <v>45460</v>
      </c>
      <c r="B2688" s="17" t="s">
        <v>571</v>
      </c>
      <c r="C2688" s="17" t="s">
        <v>572</v>
      </c>
      <c r="D2688" s="17" t="s">
        <v>22</v>
      </c>
      <c r="E2688" s="17" t="s">
        <v>573</v>
      </c>
      <c r="F2688" s="17" t="s">
        <v>532</v>
      </c>
      <c r="G2688" s="18">
        <v>144.0000</v>
      </c>
      <c r="H2688" s="18">
        <v>0</v>
      </c>
      <c r="I2688" s="18">
        <f ca="1">((I2687 + G2688) - H2688)</f>
        <v>0</v>
      </c>
      <c r="J2688" s="18">
        <v>0</v>
      </c>
      <c r="K2688" s="19">
        <v>0</v>
      </c>
      <c r="L2688" s="17" t="s">
        <v>28</v>
      </c>
    </row>
    <row r="2689" ht="10.95" customHeight="true" customFormat="true" s="9">
      <c r="A2689" s="16">
        <v>45460</v>
      </c>
      <c r="B2689" s="17" t="s">
        <v>571</v>
      </c>
      <c r="C2689" s="17" t="s">
        <v>572</v>
      </c>
      <c r="D2689" s="17" t="s">
        <v>22</v>
      </c>
      <c r="E2689" s="17" t="s">
        <v>573</v>
      </c>
      <c r="F2689" s="17" t="s">
        <v>533</v>
      </c>
      <c r="G2689" s="18">
        <v>1342.9000</v>
      </c>
      <c r="H2689" s="18">
        <v>0</v>
      </c>
      <c r="I2689" s="18">
        <f ca="1">((I2688 + G2689) - H2689)</f>
        <v>0</v>
      </c>
      <c r="J2689" s="18">
        <v>0</v>
      </c>
      <c r="K2689" s="19">
        <v>0</v>
      </c>
      <c r="L2689" s="17" t="s">
        <v>28</v>
      </c>
    </row>
    <row r="2690" ht="10.95" customHeight="true" customFormat="true" s="9">
      <c r="A2690" s="16">
        <v>45460</v>
      </c>
      <c r="B2690" s="17" t="s">
        <v>571</v>
      </c>
      <c r="C2690" s="17" t="s">
        <v>572</v>
      </c>
      <c r="D2690" s="17" t="s">
        <v>22</v>
      </c>
      <c r="E2690" s="17" t="s">
        <v>573</v>
      </c>
      <c r="F2690" s="17" t="s">
        <v>532</v>
      </c>
      <c r="G2690" s="18">
        <v>2000.0000</v>
      </c>
      <c r="H2690" s="18">
        <v>0</v>
      </c>
      <c r="I2690" s="18">
        <f ca="1">((I2689 + G2690) - H2690)</f>
        <v>0</v>
      </c>
      <c r="J2690" s="18">
        <v>0</v>
      </c>
      <c r="K2690" s="19">
        <v>0</v>
      </c>
      <c r="L2690" s="17" t="s">
        <v>28</v>
      </c>
    </row>
    <row r="2691" ht="10.95" customHeight="true" customFormat="true" s="9">
      <c r="A2691" s="16">
        <v>45460</v>
      </c>
      <c r="B2691" s="17" t="s">
        <v>571</v>
      </c>
      <c r="C2691" s="17" t="s">
        <v>572</v>
      </c>
      <c r="D2691" s="17" t="s">
        <v>22</v>
      </c>
      <c r="E2691" s="17" t="s">
        <v>573</v>
      </c>
      <c r="F2691" s="17" t="s">
        <v>532</v>
      </c>
      <c r="G2691" s="18">
        <v>1235.0500</v>
      </c>
      <c r="H2691" s="18">
        <v>0</v>
      </c>
      <c r="I2691" s="18">
        <f ca="1">((I2690 + G2691) - H2691)</f>
        <v>0</v>
      </c>
      <c r="J2691" s="18">
        <v>0</v>
      </c>
      <c r="K2691" s="19">
        <v>0</v>
      </c>
      <c r="L2691" s="17" t="s">
        <v>28</v>
      </c>
    </row>
    <row r="2692" ht="10.95" customHeight="true" customFormat="true" s="9">
      <c r="A2692" s="16">
        <v>45460</v>
      </c>
      <c r="B2692" s="17" t="s">
        <v>571</v>
      </c>
      <c r="C2692" s="17" t="s">
        <v>572</v>
      </c>
      <c r="D2692" s="17" t="s">
        <v>22</v>
      </c>
      <c r="E2692" s="17" t="s">
        <v>573</v>
      </c>
      <c r="F2692" s="17" t="s">
        <v>532</v>
      </c>
      <c r="G2692" s="18">
        <v>272.0000</v>
      </c>
      <c r="H2692" s="18">
        <v>0</v>
      </c>
      <c r="I2692" s="18">
        <f ca="1">((I2691 + G2692) - H2692)</f>
        <v>0</v>
      </c>
      <c r="J2692" s="18">
        <v>0</v>
      </c>
      <c r="K2692" s="19">
        <v>0</v>
      </c>
      <c r="L2692" s="17" t="s">
        <v>28</v>
      </c>
    </row>
    <row r="2693" ht="10.95" customHeight="true" customFormat="true" s="9">
      <c r="A2693" s="16">
        <v>45460</v>
      </c>
      <c r="B2693" s="17" t="s">
        <v>571</v>
      </c>
      <c r="C2693" s="17" t="s">
        <v>572</v>
      </c>
      <c r="D2693" s="17" t="s">
        <v>22</v>
      </c>
      <c r="E2693" s="17" t="s">
        <v>573</v>
      </c>
      <c r="F2693" s="17" t="s">
        <v>532</v>
      </c>
      <c r="G2693" s="18">
        <v>629.0000</v>
      </c>
      <c r="H2693" s="18">
        <v>0</v>
      </c>
      <c r="I2693" s="18">
        <f ca="1">((I2692 + G2693) - H2693)</f>
        <v>0</v>
      </c>
      <c r="J2693" s="18">
        <v>0</v>
      </c>
      <c r="K2693" s="19">
        <v>0</v>
      </c>
      <c r="L2693" s="17" t="s">
        <v>28</v>
      </c>
    </row>
    <row r="2694" ht="10.95" customHeight="true" customFormat="true" s="9">
      <c r="A2694" s="16">
        <v>45460</v>
      </c>
      <c r="B2694" s="17" t="s">
        <v>571</v>
      </c>
      <c r="C2694" s="17" t="s">
        <v>572</v>
      </c>
      <c r="D2694" s="17" t="s">
        <v>333</v>
      </c>
      <c r="E2694" s="17" t="s">
        <v>574</v>
      </c>
      <c r="F2694" s="17" t="s">
        <v>385</v>
      </c>
      <c r="G2694" s="18">
        <v>0</v>
      </c>
      <c r="H2694" s="18">
        <v>5622.9000</v>
      </c>
      <c r="I2694" s="18">
        <f ca="1">((I2693 + G2694) - H2694)</f>
        <v>0</v>
      </c>
      <c r="J2694" s="18">
        <v>0</v>
      </c>
      <c r="K2694" s="19">
        <v>0</v>
      </c>
      <c r="L2694" s="17" t="s">
        <v>28</v>
      </c>
    </row>
    <row r="2695" ht="10.95" customHeight="true" customFormat="true" s="9">
      <c r="A2695" s="16">
        <v>45467</v>
      </c>
      <c r="B2695" s="17" t="s">
        <v>571</v>
      </c>
      <c r="C2695" s="17" t="s">
        <v>572</v>
      </c>
      <c r="D2695" s="17" t="s">
        <v>22</v>
      </c>
      <c r="E2695" s="17" t="s">
        <v>573</v>
      </c>
      <c r="F2695" s="17" t="s">
        <v>534</v>
      </c>
      <c r="G2695" s="18">
        <v>1342.9000</v>
      </c>
      <c r="H2695" s="18">
        <v>0</v>
      </c>
      <c r="I2695" s="18">
        <f ca="1">((I2694 + G2695) - H2695)</f>
        <v>0</v>
      </c>
      <c r="J2695" s="18">
        <v>0</v>
      </c>
      <c r="K2695" s="19">
        <v>0</v>
      </c>
      <c r="L2695" s="17" t="s">
        <v>28</v>
      </c>
    </row>
    <row r="2696" ht="10.95" customHeight="true" customFormat="true" s="9">
      <c r="A2696" s="16">
        <v>45467</v>
      </c>
      <c r="B2696" s="17" t="s">
        <v>571</v>
      </c>
      <c r="C2696" s="17" t="s">
        <v>572</v>
      </c>
      <c r="D2696" s="17" t="s">
        <v>22</v>
      </c>
      <c r="E2696" s="17" t="s">
        <v>573</v>
      </c>
      <c r="F2696" s="17" t="s">
        <v>534</v>
      </c>
      <c r="G2696" s="18">
        <v>272.0000</v>
      </c>
      <c r="H2696" s="18">
        <v>0</v>
      </c>
      <c r="I2696" s="18">
        <f ca="1">((I2695 + G2696) - H2696)</f>
        <v>0</v>
      </c>
      <c r="J2696" s="18">
        <v>0</v>
      </c>
      <c r="K2696" s="19">
        <v>0</v>
      </c>
      <c r="L2696" s="17" t="s">
        <v>28</v>
      </c>
    </row>
    <row r="2697" ht="10.95" customHeight="true" customFormat="true" s="9">
      <c r="A2697" s="16">
        <v>45467</v>
      </c>
      <c r="B2697" s="17" t="s">
        <v>571</v>
      </c>
      <c r="C2697" s="17" t="s">
        <v>572</v>
      </c>
      <c r="D2697" s="17" t="s">
        <v>22</v>
      </c>
      <c r="E2697" s="17" t="s">
        <v>573</v>
      </c>
      <c r="F2697" s="17" t="s">
        <v>534</v>
      </c>
      <c r="G2697" s="18">
        <v>144.0000</v>
      </c>
      <c r="H2697" s="18">
        <v>0</v>
      </c>
      <c r="I2697" s="18">
        <f ca="1">((I2696 + G2697) - H2697)</f>
        <v>0</v>
      </c>
      <c r="J2697" s="18">
        <v>0</v>
      </c>
      <c r="K2697" s="19">
        <v>0</v>
      </c>
      <c r="L2697" s="17" t="s">
        <v>28</v>
      </c>
    </row>
    <row r="2698" ht="10.95" customHeight="true" customFormat="true" s="9">
      <c r="A2698" s="16">
        <v>45467</v>
      </c>
      <c r="B2698" s="17" t="s">
        <v>571</v>
      </c>
      <c r="C2698" s="17" t="s">
        <v>572</v>
      </c>
      <c r="D2698" s="17" t="s">
        <v>22</v>
      </c>
      <c r="E2698" s="17" t="s">
        <v>573</v>
      </c>
      <c r="F2698" s="17" t="s">
        <v>534</v>
      </c>
      <c r="G2698" s="18">
        <v>1235.0500</v>
      </c>
      <c r="H2698" s="18">
        <v>0</v>
      </c>
      <c r="I2698" s="18">
        <f ca="1">((I2697 + G2698) - H2698)</f>
        <v>0</v>
      </c>
      <c r="J2698" s="18">
        <v>0</v>
      </c>
      <c r="K2698" s="19">
        <v>0</v>
      </c>
      <c r="L2698" s="17" t="s">
        <v>28</v>
      </c>
    </row>
    <row r="2699" ht="10.95" customHeight="true" customFormat="true" s="9">
      <c r="A2699" s="16">
        <v>45467</v>
      </c>
      <c r="B2699" s="17" t="s">
        <v>571</v>
      </c>
      <c r="C2699" s="17" t="s">
        <v>572</v>
      </c>
      <c r="D2699" s="17" t="s">
        <v>22</v>
      </c>
      <c r="E2699" s="17" t="s">
        <v>573</v>
      </c>
      <c r="F2699" s="17" t="s">
        <v>534</v>
      </c>
      <c r="G2699" s="18">
        <v>629.0000</v>
      </c>
      <c r="H2699" s="18">
        <v>0</v>
      </c>
      <c r="I2699" s="18">
        <f ca="1">((I2698 + G2699) - H2699)</f>
        <v>0</v>
      </c>
      <c r="J2699" s="18">
        <v>0</v>
      </c>
      <c r="K2699" s="19">
        <v>0</v>
      </c>
      <c r="L2699" s="17" t="s">
        <v>28</v>
      </c>
    </row>
    <row r="2700" ht="10.95" customHeight="true" customFormat="true" s="9">
      <c r="A2700" s="16">
        <v>45467</v>
      </c>
      <c r="B2700" s="17" t="s">
        <v>571</v>
      </c>
      <c r="C2700" s="17" t="s">
        <v>572</v>
      </c>
      <c r="D2700" s="17" t="s">
        <v>22</v>
      </c>
      <c r="E2700" s="17" t="s">
        <v>573</v>
      </c>
      <c r="F2700" s="17" t="s">
        <v>534</v>
      </c>
      <c r="G2700" s="18">
        <v>2000.0000</v>
      </c>
      <c r="H2700" s="18">
        <v>0</v>
      </c>
      <c r="I2700" s="18">
        <f ca="1">((I2699 + G2700) - H2700)</f>
        <v>0</v>
      </c>
      <c r="J2700" s="18">
        <v>0</v>
      </c>
      <c r="K2700" s="19">
        <v>0</v>
      </c>
      <c r="L2700" s="17" t="s">
        <v>28</v>
      </c>
    </row>
    <row r="2701" ht="10.95" customHeight="true" customFormat="true" s="9">
      <c r="A2701" s="16">
        <v>45467</v>
      </c>
      <c r="B2701" s="17" t="s">
        <v>571</v>
      </c>
      <c r="C2701" s="17" t="s">
        <v>572</v>
      </c>
      <c r="D2701" s="17" t="s">
        <v>333</v>
      </c>
      <c r="E2701" s="17" t="s">
        <v>574</v>
      </c>
      <c r="F2701" s="17" t="s">
        <v>386</v>
      </c>
      <c r="G2701" s="18">
        <v>0</v>
      </c>
      <c r="H2701" s="18">
        <v>5748.9000</v>
      </c>
      <c r="I2701" s="18">
        <f ca="1">((I2700 + G2701) - H2701)</f>
        <v>0</v>
      </c>
      <c r="J2701" s="18">
        <v>0</v>
      </c>
      <c r="K2701" s="19">
        <v>0</v>
      </c>
      <c r="L2701" s="17" t="s">
        <v>28</v>
      </c>
    </row>
    <row r="2702" ht="10.95" customHeight="true" customFormat="true" s="9">
      <c r="A2702" s="16">
        <v>45469</v>
      </c>
      <c r="B2702" s="17" t="s">
        <v>571</v>
      </c>
      <c r="C2702" s="17" t="s">
        <v>572</v>
      </c>
      <c r="D2702" s="17" t="s">
        <v>22</v>
      </c>
      <c r="E2702" s="17" t="s">
        <v>573</v>
      </c>
      <c r="F2702" s="17" t="s">
        <v>535</v>
      </c>
      <c r="G2702" s="18">
        <v>126.0000</v>
      </c>
      <c r="H2702" s="18">
        <v>0</v>
      </c>
      <c r="I2702" s="18">
        <f ca="1">((I2701 + G2702) - H2702)</f>
        <v>0</v>
      </c>
      <c r="J2702" s="18">
        <v>0</v>
      </c>
      <c r="K2702" s="19">
        <v>0</v>
      </c>
      <c r="L2702" s="17" t="s">
        <v>28</v>
      </c>
    </row>
    <row r="2703" ht="10.95" customHeight="true" customFormat="true" s="9">
      <c r="A2703" s="16">
        <v>45473</v>
      </c>
      <c r="B2703" s="17" t="s">
        <v>571</v>
      </c>
      <c r="C2703" s="17" t="s">
        <v>572</v>
      </c>
      <c r="D2703" s="17" t="s">
        <v>25</v>
      </c>
      <c r="E2703" s="17" t="s">
        <v>575</v>
      </c>
      <c r="F2703" s="17" t="s">
        <v>50</v>
      </c>
      <c r="G2703" s="18">
        <v>197.5200</v>
      </c>
      <c r="H2703" s="18">
        <v>0</v>
      </c>
      <c r="I2703" s="18">
        <f ca="1">((I2702 + G2703) - H2703)</f>
        <v>0</v>
      </c>
      <c r="J2703" s="18">
        <v>0</v>
      </c>
      <c r="K2703" s="19">
        <v>0</v>
      </c>
      <c r="L2703" s="17" t="s">
        <v>28</v>
      </c>
    </row>
    <row r="2704" ht="10.95" customHeight="true" customFormat="true" s="9">
      <c r="A2704" s="20" t="s">
        <v>576</v>
      </c>
      <c r="B2704" s="20"/>
      <c r="C2704" s="20"/>
      <c r="D2704" s="20"/>
      <c r="E2704" s="20"/>
      <c r="F2704" s="20"/>
      <c r="G2704" s="21">
        <f ca="1">SUM(G2347:G2703)</f>
        <v>0</v>
      </c>
      <c r="H2704" s="21">
        <f ca="1">SUM(H2347:H2703)</f>
        <v>0</v>
      </c>
      <c r="I2704" s="21">
        <f ca="1">I2703</f>
        <v>0</v>
      </c>
      <c r="J2704" s="21">
        <f ca="1">SUM(J2347:J2703)</f>
        <v>0</v>
      </c>
      <c r="K2704" s="20"/>
      <c r="L2704" s="20"/>
    </row>
    <row r="2705" ht="10.95" customHeight="true" customFormat="true" s="9">
      <c r="A2705" s="20" t="s">
        <v>53</v>
      </c>
      <c r="B2705" s="20"/>
      <c r="C2705" s="20"/>
      <c r="D2705" s="20"/>
      <c r="E2705" s="20"/>
      <c r="F2705" s="20"/>
      <c r="G2705" s="21">
        <v>0</v>
      </c>
      <c r="H2705" s="21">
        <v>0</v>
      </c>
      <c r="I2705" s="21">
        <v>0</v>
      </c>
      <c r="J2705" s="21">
        <v>0</v>
      </c>
      <c r="K2705" s="20"/>
      <c r="L2705" s="20"/>
    </row>
    <row r="2706" ht="10.95" customHeight="true" customFormat="true" s="9">
      <c r="A2706" s="10" t="s">
        <v>54</v>
      </c>
      <c r="B2706" s="10"/>
      <c r="C2706" s="10"/>
      <c r="D2706" s="10"/>
      <c r="E2706" s="10"/>
      <c r="F2706" s="10"/>
      <c r="G2706" s="11">
        <v>0</v>
      </c>
      <c r="H2706" s="11">
        <v>0</v>
      </c>
      <c r="I2706" s="11">
        <f ca="1">I2703</f>
        <v>0</v>
      </c>
      <c r="J2706" s="11">
        <v>0</v>
      </c>
      <c r="K2706" s="10"/>
      <c r="L2706" s="10"/>
    </row>
    <row r="2707" ht="13.35" customHeight="true"/>
    <row r="2708" ht="12.1" customHeight="true" customFormat="true" s="5">
      <c r="A2708" s="8" t="s">
        <v>577</v>
      </c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</row>
    <row r="2709" ht="10.95" customHeight="true" customFormat="true" s="9">
      <c r="A2709" s="10" t="s">
        <v>16</v>
      </c>
      <c r="B2709" s="10"/>
      <c r="C2709" s="10"/>
      <c r="D2709" s="10"/>
      <c r="E2709" s="10"/>
      <c r="F2709" s="10"/>
      <c r="G2709" s="11">
        <v>0</v>
      </c>
      <c r="H2709" s="11">
        <v>8834.2100</v>
      </c>
      <c r="I2709" s="11">
        <f ca="1">(G2709 - H2709)</f>
        <v>0</v>
      </c>
      <c r="J2709" s="11">
        <v>0</v>
      </c>
      <c r="K2709" s="10"/>
      <c r="L2709" s="10"/>
    </row>
    <row r="2710" ht="10.95" customHeight="true" customFormat="true" s="9">
      <c r="A2710" s="12">
        <v>45110</v>
      </c>
      <c r="B2710" s="13" t="s">
        <v>578</v>
      </c>
      <c r="C2710" s="13" t="s">
        <v>572</v>
      </c>
      <c r="D2710" s="13" t="s">
        <v>19</v>
      </c>
      <c r="E2710" s="13" t="s">
        <v>428</v>
      </c>
      <c r="F2710" s="13"/>
      <c r="G2710" s="14">
        <v>0</v>
      </c>
      <c r="H2710" s="14">
        <v>249.1900</v>
      </c>
      <c r="I2710" s="14">
        <f ca="1">((I2709 + G2710) - H2710)</f>
        <v>0</v>
      </c>
      <c r="J2710" s="14">
        <v>0</v>
      </c>
      <c r="K2710" s="15">
        <v>0</v>
      </c>
      <c r="L2710" s="13"/>
    </row>
    <row r="2711" ht="10.95" customHeight="true" customFormat="true" s="9">
      <c r="A2711" s="16">
        <v>45110</v>
      </c>
      <c r="B2711" s="17" t="s">
        <v>578</v>
      </c>
      <c r="C2711" s="17" t="s">
        <v>572</v>
      </c>
      <c r="D2711" s="17" t="s">
        <v>19</v>
      </c>
      <c r="E2711" s="17" t="s">
        <v>428</v>
      </c>
      <c r="F2711" s="17"/>
      <c r="G2711" s="18">
        <v>0</v>
      </c>
      <c r="H2711" s="18">
        <v>522.6700</v>
      </c>
      <c r="I2711" s="18">
        <f ca="1">((I2710 + G2711) - H2711)</f>
        <v>0</v>
      </c>
      <c r="J2711" s="18">
        <v>0</v>
      </c>
      <c r="K2711" s="19">
        <v>0</v>
      </c>
      <c r="L2711" s="17"/>
    </row>
    <row r="2712" ht="10.95" customHeight="true" customFormat="true" s="9">
      <c r="A2712" s="16">
        <v>45110</v>
      </c>
      <c r="B2712" s="17" t="s">
        <v>578</v>
      </c>
      <c r="C2712" s="17" t="s">
        <v>572</v>
      </c>
      <c r="D2712" s="17" t="s">
        <v>19</v>
      </c>
      <c r="E2712" s="17" t="s">
        <v>428</v>
      </c>
      <c r="F2712" s="17"/>
      <c r="G2712" s="18">
        <v>0</v>
      </c>
      <c r="H2712" s="18">
        <v>477.7800</v>
      </c>
      <c r="I2712" s="18">
        <f ca="1">((I2711 + G2712) - H2712)</f>
        <v>0</v>
      </c>
      <c r="J2712" s="18">
        <v>0</v>
      </c>
      <c r="K2712" s="19">
        <v>0</v>
      </c>
      <c r="L2712" s="17"/>
    </row>
    <row r="2713" ht="10.95" customHeight="true" customFormat="true" s="9">
      <c r="A2713" s="16">
        <v>45110</v>
      </c>
      <c r="B2713" s="17" t="s">
        <v>578</v>
      </c>
      <c r="C2713" s="17" t="s">
        <v>572</v>
      </c>
      <c r="D2713" s="17" t="s">
        <v>22</v>
      </c>
      <c r="E2713" s="17" t="s">
        <v>429</v>
      </c>
      <c r="F2713" s="17"/>
      <c r="G2713" s="18">
        <v>288.1300</v>
      </c>
      <c r="H2713" s="18">
        <v>0</v>
      </c>
      <c r="I2713" s="18">
        <f ca="1">((I2712 + G2713) - H2713)</f>
        <v>0</v>
      </c>
      <c r="J2713" s="18">
        <v>0</v>
      </c>
      <c r="K2713" s="19">
        <v>0</v>
      </c>
      <c r="L2713" s="17"/>
    </row>
    <row r="2714" ht="10.95" customHeight="true" customFormat="true" s="9">
      <c r="A2714" s="16">
        <v>45110</v>
      </c>
      <c r="B2714" s="17" t="s">
        <v>578</v>
      </c>
      <c r="C2714" s="17" t="s">
        <v>572</v>
      </c>
      <c r="D2714" s="17" t="s">
        <v>22</v>
      </c>
      <c r="E2714" s="17" t="s">
        <v>34</v>
      </c>
      <c r="F2714" s="17"/>
      <c r="G2714" s="18">
        <v>172.7300</v>
      </c>
      <c r="H2714" s="18">
        <v>0</v>
      </c>
      <c r="I2714" s="18">
        <f ca="1">((I2713 + G2714) - H2714)</f>
        <v>0</v>
      </c>
      <c r="J2714" s="18">
        <v>0</v>
      </c>
      <c r="K2714" s="19">
        <v>0</v>
      </c>
      <c r="L2714" s="17"/>
    </row>
    <row r="2715" ht="10.95" customHeight="true" customFormat="true" s="9">
      <c r="A2715" s="16">
        <v>45112</v>
      </c>
      <c r="B2715" s="17" t="s">
        <v>578</v>
      </c>
      <c r="C2715" s="17" t="s">
        <v>572</v>
      </c>
      <c r="D2715" s="17" t="s">
        <v>19</v>
      </c>
      <c r="E2715" s="17" t="s">
        <v>428</v>
      </c>
      <c r="F2715" s="17"/>
      <c r="G2715" s="18">
        <v>0</v>
      </c>
      <c r="H2715" s="18">
        <v>228.9100</v>
      </c>
      <c r="I2715" s="18">
        <f ca="1">((I2714 + G2715) - H2715)</f>
        <v>0</v>
      </c>
      <c r="J2715" s="18">
        <v>0</v>
      </c>
      <c r="K2715" s="19">
        <v>0</v>
      </c>
      <c r="L2715" s="17"/>
    </row>
    <row r="2716" ht="10.95" customHeight="true" customFormat="true" s="9">
      <c r="A2716" s="16">
        <v>45113</v>
      </c>
      <c r="B2716" s="17" t="s">
        <v>578</v>
      </c>
      <c r="C2716" s="17" t="s">
        <v>572</v>
      </c>
      <c r="D2716" s="17" t="s">
        <v>19</v>
      </c>
      <c r="E2716" s="17" t="s">
        <v>428</v>
      </c>
      <c r="F2716" s="17"/>
      <c r="G2716" s="18">
        <v>0</v>
      </c>
      <c r="H2716" s="18">
        <v>228.0100</v>
      </c>
      <c r="I2716" s="18">
        <f ca="1">((I2715 + G2716) - H2716)</f>
        <v>0</v>
      </c>
      <c r="J2716" s="18">
        <v>0</v>
      </c>
      <c r="K2716" s="19">
        <v>0</v>
      </c>
      <c r="L2716" s="17"/>
    </row>
    <row r="2717" ht="10.95" customHeight="true" customFormat="true" s="9">
      <c r="A2717" s="16">
        <v>45114</v>
      </c>
      <c r="B2717" s="17" t="s">
        <v>578</v>
      </c>
      <c r="C2717" s="17" t="s">
        <v>572</v>
      </c>
      <c r="D2717" s="17" t="s">
        <v>19</v>
      </c>
      <c r="E2717" s="17" t="s">
        <v>428</v>
      </c>
      <c r="F2717" s="17"/>
      <c r="G2717" s="18">
        <v>0</v>
      </c>
      <c r="H2717" s="18">
        <v>267.1500</v>
      </c>
      <c r="I2717" s="18">
        <f ca="1">((I2716 + G2717) - H2717)</f>
        <v>0</v>
      </c>
      <c r="J2717" s="18">
        <v>0</v>
      </c>
      <c r="K2717" s="19">
        <v>0</v>
      </c>
      <c r="L2717" s="17"/>
    </row>
    <row r="2718" ht="10.95" customHeight="true" customFormat="true" s="9">
      <c r="A2718" s="16">
        <v>45117</v>
      </c>
      <c r="B2718" s="17" t="s">
        <v>578</v>
      </c>
      <c r="C2718" s="17" t="s">
        <v>572</v>
      </c>
      <c r="D2718" s="17" t="s">
        <v>19</v>
      </c>
      <c r="E2718" s="17" t="s">
        <v>428</v>
      </c>
      <c r="F2718" s="17"/>
      <c r="G2718" s="18">
        <v>0</v>
      </c>
      <c r="H2718" s="18">
        <v>246.5100</v>
      </c>
      <c r="I2718" s="18">
        <f ca="1">((I2717 + G2718) - H2718)</f>
        <v>0</v>
      </c>
      <c r="J2718" s="18">
        <v>0</v>
      </c>
      <c r="K2718" s="19">
        <v>0</v>
      </c>
      <c r="L2718" s="17"/>
    </row>
    <row r="2719" ht="10.95" customHeight="true" customFormat="true" s="9">
      <c r="A2719" s="16">
        <v>45117</v>
      </c>
      <c r="B2719" s="17" t="s">
        <v>578</v>
      </c>
      <c r="C2719" s="17" t="s">
        <v>572</v>
      </c>
      <c r="D2719" s="17" t="s">
        <v>22</v>
      </c>
      <c r="E2719" s="17" t="s">
        <v>430</v>
      </c>
      <c r="F2719" s="17"/>
      <c r="G2719" s="18">
        <v>156.1400</v>
      </c>
      <c r="H2719" s="18">
        <v>0</v>
      </c>
      <c r="I2719" s="18">
        <f ca="1">((I2718 + G2719) - H2719)</f>
        <v>0</v>
      </c>
      <c r="J2719" s="18">
        <v>0</v>
      </c>
      <c r="K2719" s="19">
        <v>0</v>
      </c>
      <c r="L2719" s="17"/>
    </row>
    <row r="2720" ht="10.95" customHeight="true" customFormat="true" s="9">
      <c r="A2720" s="16">
        <v>45117</v>
      </c>
      <c r="B2720" s="17" t="s">
        <v>578</v>
      </c>
      <c r="C2720" s="17" t="s">
        <v>572</v>
      </c>
      <c r="D2720" s="17" t="s">
        <v>22</v>
      </c>
      <c r="E2720" s="17" t="s">
        <v>434</v>
      </c>
      <c r="F2720" s="17"/>
      <c r="G2720" s="18">
        <v>40.7800</v>
      </c>
      <c r="H2720" s="18">
        <v>0</v>
      </c>
      <c r="I2720" s="18">
        <f ca="1">((I2719 + G2720) - H2720)</f>
        <v>0</v>
      </c>
      <c r="J2720" s="18">
        <v>0</v>
      </c>
      <c r="K2720" s="19">
        <v>0</v>
      </c>
      <c r="L2720" s="17"/>
    </row>
    <row r="2721" ht="10.95" customHeight="true" customFormat="true" s="9">
      <c r="A2721" s="16">
        <v>45117</v>
      </c>
      <c r="B2721" s="17" t="s">
        <v>578</v>
      </c>
      <c r="C2721" s="17" t="s">
        <v>572</v>
      </c>
      <c r="D2721" s="17" t="s">
        <v>19</v>
      </c>
      <c r="E2721" s="17" t="s">
        <v>428</v>
      </c>
      <c r="F2721" s="17"/>
      <c r="G2721" s="18">
        <v>0</v>
      </c>
      <c r="H2721" s="18">
        <v>416.2200</v>
      </c>
      <c r="I2721" s="18">
        <f ca="1">((I2720 + G2721) - H2721)</f>
        <v>0</v>
      </c>
      <c r="J2721" s="18">
        <v>0</v>
      </c>
      <c r="K2721" s="19">
        <v>0</v>
      </c>
      <c r="L2721" s="17"/>
    </row>
    <row r="2722" ht="10.95" customHeight="true" customFormat="true" s="9">
      <c r="A2722" s="16">
        <v>45117</v>
      </c>
      <c r="B2722" s="17" t="s">
        <v>578</v>
      </c>
      <c r="C2722" s="17" t="s">
        <v>572</v>
      </c>
      <c r="D2722" s="17" t="s">
        <v>22</v>
      </c>
      <c r="E2722" s="17" t="s">
        <v>430</v>
      </c>
      <c r="F2722" s="17"/>
      <c r="G2722" s="18">
        <v>137.9900</v>
      </c>
      <c r="H2722" s="18">
        <v>0</v>
      </c>
      <c r="I2722" s="18">
        <f ca="1">((I2721 + G2722) - H2722)</f>
        <v>0</v>
      </c>
      <c r="J2722" s="18">
        <v>0</v>
      </c>
      <c r="K2722" s="19">
        <v>0</v>
      </c>
      <c r="L2722" s="17"/>
    </row>
    <row r="2723" ht="10.95" customHeight="true" customFormat="true" s="9">
      <c r="A2723" s="16">
        <v>45117</v>
      </c>
      <c r="B2723" s="17" t="s">
        <v>578</v>
      </c>
      <c r="C2723" s="17" t="s">
        <v>572</v>
      </c>
      <c r="D2723" s="17" t="s">
        <v>22</v>
      </c>
      <c r="E2723" s="17" t="s">
        <v>34</v>
      </c>
      <c r="F2723" s="17"/>
      <c r="G2723" s="18">
        <v>140.9100</v>
      </c>
      <c r="H2723" s="18">
        <v>0</v>
      </c>
      <c r="I2723" s="18">
        <f ca="1">((I2722 + G2723) - H2723)</f>
        <v>0</v>
      </c>
      <c r="J2723" s="18">
        <v>0</v>
      </c>
      <c r="K2723" s="19">
        <v>0</v>
      </c>
      <c r="L2723" s="17"/>
    </row>
    <row r="2724" ht="10.95" customHeight="true" customFormat="true" s="9">
      <c r="A2724" s="16">
        <v>45117</v>
      </c>
      <c r="B2724" s="17" t="s">
        <v>578</v>
      </c>
      <c r="C2724" s="17" t="s">
        <v>572</v>
      </c>
      <c r="D2724" s="17" t="s">
        <v>19</v>
      </c>
      <c r="E2724" s="17" t="s">
        <v>428</v>
      </c>
      <c r="F2724" s="17"/>
      <c r="G2724" s="18">
        <v>0</v>
      </c>
      <c r="H2724" s="18">
        <v>550.2000</v>
      </c>
      <c r="I2724" s="18">
        <f ca="1">((I2723 + G2724) - H2724)</f>
        <v>0</v>
      </c>
      <c r="J2724" s="18">
        <v>0</v>
      </c>
      <c r="K2724" s="19">
        <v>0</v>
      </c>
      <c r="L2724" s="17"/>
    </row>
    <row r="2725" ht="10.95" customHeight="true" customFormat="true" s="9">
      <c r="A2725" s="16">
        <v>45118</v>
      </c>
      <c r="B2725" s="17" t="s">
        <v>578</v>
      </c>
      <c r="C2725" s="17" t="s">
        <v>572</v>
      </c>
      <c r="D2725" s="17" t="s">
        <v>22</v>
      </c>
      <c r="E2725" s="17" t="s">
        <v>298</v>
      </c>
      <c r="F2725" s="17"/>
      <c r="G2725" s="18">
        <v>544.0000</v>
      </c>
      <c r="H2725" s="18">
        <v>0</v>
      </c>
      <c r="I2725" s="18">
        <f ca="1">((I2724 + G2725) - H2725)</f>
        <v>0</v>
      </c>
      <c r="J2725" s="18">
        <v>0</v>
      </c>
      <c r="K2725" s="19">
        <v>0</v>
      </c>
      <c r="L2725" s="17"/>
    </row>
    <row r="2726" ht="10.95" customHeight="true" customFormat="true" s="9">
      <c r="A2726" s="16">
        <v>45118</v>
      </c>
      <c r="B2726" s="17" t="s">
        <v>578</v>
      </c>
      <c r="C2726" s="17" t="s">
        <v>572</v>
      </c>
      <c r="D2726" s="17" t="s">
        <v>22</v>
      </c>
      <c r="E2726" s="17" t="s">
        <v>430</v>
      </c>
      <c r="F2726" s="17"/>
      <c r="G2726" s="18">
        <v>142.2000</v>
      </c>
      <c r="H2726" s="18">
        <v>0</v>
      </c>
      <c r="I2726" s="18">
        <f ca="1">((I2725 + G2726) - H2726)</f>
        <v>0</v>
      </c>
      <c r="J2726" s="18">
        <v>0</v>
      </c>
      <c r="K2726" s="19">
        <v>0</v>
      </c>
      <c r="L2726" s="17"/>
    </row>
    <row r="2727" ht="10.95" customHeight="true" customFormat="true" s="9">
      <c r="A2727" s="16">
        <v>45119</v>
      </c>
      <c r="B2727" s="17" t="s">
        <v>578</v>
      </c>
      <c r="C2727" s="17" t="s">
        <v>572</v>
      </c>
      <c r="D2727" s="17" t="s">
        <v>19</v>
      </c>
      <c r="E2727" s="17" t="s">
        <v>428</v>
      </c>
      <c r="F2727" s="17"/>
      <c r="G2727" s="18">
        <v>0</v>
      </c>
      <c r="H2727" s="18">
        <v>218.6700</v>
      </c>
      <c r="I2727" s="18">
        <f ca="1">((I2726 + G2727) - H2727)</f>
        <v>0</v>
      </c>
      <c r="J2727" s="18">
        <v>0</v>
      </c>
      <c r="K2727" s="19">
        <v>0</v>
      </c>
      <c r="L2727" s="17"/>
    </row>
    <row r="2728" ht="10.95" customHeight="true" customFormat="true" s="9">
      <c r="A2728" s="16">
        <v>45119</v>
      </c>
      <c r="B2728" s="17" t="s">
        <v>578</v>
      </c>
      <c r="C2728" s="17" t="s">
        <v>572</v>
      </c>
      <c r="D2728" s="17" t="s">
        <v>19</v>
      </c>
      <c r="E2728" s="17" t="s">
        <v>24</v>
      </c>
      <c r="F2728" s="17"/>
      <c r="G2728" s="18">
        <v>0</v>
      </c>
      <c r="H2728" s="18">
        <v>117.0900</v>
      </c>
      <c r="I2728" s="18">
        <f ca="1">((I2727 + G2728) - H2728)</f>
        <v>0</v>
      </c>
      <c r="J2728" s="18">
        <v>0</v>
      </c>
      <c r="K2728" s="19">
        <v>0</v>
      </c>
      <c r="L2728" s="17"/>
    </row>
    <row r="2729" ht="10.95" customHeight="true" customFormat="true" s="9">
      <c r="A2729" s="16">
        <v>45120</v>
      </c>
      <c r="B2729" s="17" t="s">
        <v>578</v>
      </c>
      <c r="C2729" s="17" t="s">
        <v>572</v>
      </c>
      <c r="D2729" s="17" t="s">
        <v>19</v>
      </c>
      <c r="E2729" s="17" t="s">
        <v>428</v>
      </c>
      <c r="F2729" s="17"/>
      <c r="G2729" s="18">
        <v>0</v>
      </c>
      <c r="H2729" s="18">
        <v>240.0500</v>
      </c>
      <c r="I2729" s="18">
        <f ca="1">((I2728 + G2729) - H2729)</f>
        <v>0</v>
      </c>
      <c r="J2729" s="18">
        <v>0</v>
      </c>
      <c r="K2729" s="19">
        <v>0</v>
      </c>
      <c r="L2729" s="17"/>
    </row>
    <row r="2730" ht="10.95" customHeight="true" customFormat="true" s="9">
      <c r="A2730" s="16">
        <v>45121</v>
      </c>
      <c r="B2730" s="17" t="s">
        <v>578</v>
      </c>
      <c r="C2730" s="17" t="s">
        <v>572</v>
      </c>
      <c r="D2730" s="17" t="s">
        <v>19</v>
      </c>
      <c r="E2730" s="17" t="s">
        <v>428</v>
      </c>
      <c r="F2730" s="17"/>
      <c r="G2730" s="18">
        <v>0</v>
      </c>
      <c r="H2730" s="18">
        <v>241.9500</v>
      </c>
      <c r="I2730" s="18">
        <f ca="1">((I2729 + G2730) - H2730)</f>
        <v>0</v>
      </c>
      <c r="J2730" s="18">
        <v>0</v>
      </c>
      <c r="K2730" s="19">
        <v>0</v>
      </c>
      <c r="L2730" s="17"/>
    </row>
    <row r="2731" ht="10.95" customHeight="true" customFormat="true" s="9">
      <c r="A2731" s="16">
        <v>45124</v>
      </c>
      <c r="B2731" s="17" t="s">
        <v>578</v>
      </c>
      <c r="C2731" s="17" t="s">
        <v>572</v>
      </c>
      <c r="D2731" s="17" t="s">
        <v>22</v>
      </c>
      <c r="E2731" s="17" t="s">
        <v>34</v>
      </c>
      <c r="F2731" s="17"/>
      <c r="G2731" s="18">
        <v>109.0900</v>
      </c>
      <c r="H2731" s="18">
        <v>0</v>
      </c>
      <c r="I2731" s="18">
        <f ca="1">((I2730 + G2731) - H2731)</f>
        <v>0</v>
      </c>
      <c r="J2731" s="18">
        <v>0</v>
      </c>
      <c r="K2731" s="19">
        <v>0</v>
      </c>
      <c r="L2731" s="17"/>
    </row>
    <row r="2732" ht="10.95" customHeight="true" customFormat="true" s="9">
      <c r="A2732" s="16">
        <v>45124</v>
      </c>
      <c r="B2732" s="17" t="s">
        <v>578</v>
      </c>
      <c r="C2732" s="17" t="s">
        <v>572</v>
      </c>
      <c r="D2732" s="17" t="s">
        <v>19</v>
      </c>
      <c r="E2732" s="17" t="s">
        <v>428</v>
      </c>
      <c r="F2732" s="17"/>
      <c r="G2732" s="18">
        <v>0</v>
      </c>
      <c r="H2732" s="18">
        <v>322.4000</v>
      </c>
      <c r="I2732" s="18">
        <f ca="1">((I2731 + G2732) - H2732)</f>
        <v>0</v>
      </c>
      <c r="J2732" s="18">
        <v>0</v>
      </c>
      <c r="K2732" s="19">
        <v>0</v>
      </c>
      <c r="L2732" s="17"/>
    </row>
    <row r="2733" ht="10.95" customHeight="true" customFormat="true" s="9">
      <c r="A2733" s="16">
        <v>45124</v>
      </c>
      <c r="B2733" s="17" t="s">
        <v>578</v>
      </c>
      <c r="C2733" s="17" t="s">
        <v>572</v>
      </c>
      <c r="D2733" s="17" t="s">
        <v>22</v>
      </c>
      <c r="E2733" s="17" t="s">
        <v>436</v>
      </c>
      <c r="F2733" s="17"/>
      <c r="G2733" s="18">
        <v>10.8200</v>
      </c>
      <c r="H2733" s="18">
        <v>0</v>
      </c>
      <c r="I2733" s="18">
        <f ca="1">((I2732 + G2733) - H2733)</f>
        <v>0</v>
      </c>
      <c r="J2733" s="18">
        <v>0</v>
      </c>
      <c r="K2733" s="19">
        <v>0</v>
      </c>
      <c r="L2733" s="17"/>
    </row>
    <row r="2734" ht="10.95" customHeight="true" customFormat="true" s="9">
      <c r="A2734" s="16">
        <v>45124</v>
      </c>
      <c r="B2734" s="17" t="s">
        <v>578</v>
      </c>
      <c r="C2734" s="17" t="s">
        <v>572</v>
      </c>
      <c r="D2734" s="17" t="s">
        <v>22</v>
      </c>
      <c r="E2734" s="17" t="s">
        <v>430</v>
      </c>
      <c r="F2734" s="17"/>
      <c r="G2734" s="18">
        <v>224.9300</v>
      </c>
      <c r="H2734" s="18">
        <v>0</v>
      </c>
      <c r="I2734" s="18">
        <f ca="1">((I2733 + G2734) - H2734)</f>
        <v>0</v>
      </c>
      <c r="J2734" s="18">
        <v>0</v>
      </c>
      <c r="K2734" s="19">
        <v>0</v>
      </c>
      <c r="L2734" s="17"/>
    </row>
    <row r="2735" ht="10.95" customHeight="true" customFormat="true" s="9">
      <c r="A2735" s="16">
        <v>45124</v>
      </c>
      <c r="B2735" s="17" t="s">
        <v>578</v>
      </c>
      <c r="C2735" s="17" t="s">
        <v>572</v>
      </c>
      <c r="D2735" s="17" t="s">
        <v>22</v>
      </c>
      <c r="E2735" s="17" t="s">
        <v>438</v>
      </c>
      <c r="F2735" s="17"/>
      <c r="G2735" s="18">
        <v>1.0800</v>
      </c>
      <c r="H2735" s="18">
        <v>0</v>
      </c>
      <c r="I2735" s="18">
        <f ca="1">((I2734 + G2735) - H2735)</f>
        <v>0</v>
      </c>
      <c r="J2735" s="18">
        <v>0</v>
      </c>
      <c r="K2735" s="19">
        <v>0</v>
      </c>
      <c r="L2735" s="17"/>
    </row>
    <row r="2736" ht="10.95" customHeight="true" customFormat="true" s="9">
      <c r="A2736" s="16">
        <v>45124</v>
      </c>
      <c r="B2736" s="17" t="s">
        <v>578</v>
      </c>
      <c r="C2736" s="17" t="s">
        <v>572</v>
      </c>
      <c r="D2736" s="17" t="s">
        <v>19</v>
      </c>
      <c r="E2736" s="17" t="s">
        <v>428</v>
      </c>
      <c r="F2736" s="17"/>
      <c r="G2736" s="18">
        <v>0</v>
      </c>
      <c r="H2736" s="18">
        <v>475.8500</v>
      </c>
      <c r="I2736" s="18">
        <f ca="1">((I2735 + G2736) - H2736)</f>
        <v>0</v>
      </c>
      <c r="J2736" s="18">
        <v>0</v>
      </c>
      <c r="K2736" s="19">
        <v>0</v>
      </c>
      <c r="L2736" s="17"/>
    </row>
    <row r="2737" ht="10.95" customHeight="true" customFormat="true" s="9">
      <c r="A2737" s="16">
        <v>45124</v>
      </c>
      <c r="B2737" s="17" t="s">
        <v>578</v>
      </c>
      <c r="C2737" s="17" t="s">
        <v>572</v>
      </c>
      <c r="D2737" s="17" t="s">
        <v>19</v>
      </c>
      <c r="E2737" s="17" t="s">
        <v>428</v>
      </c>
      <c r="F2737" s="17"/>
      <c r="G2737" s="18">
        <v>0</v>
      </c>
      <c r="H2737" s="18">
        <v>395.3500</v>
      </c>
      <c r="I2737" s="18">
        <f ca="1">((I2736 + G2737) - H2737)</f>
        <v>0</v>
      </c>
      <c r="J2737" s="18">
        <v>0</v>
      </c>
      <c r="K2737" s="19">
        <v>0</v>
      </c>
      <c r="L2737" s="17"/>
    </row>
    <row r="2738" ht="10.95" customHeight="true" customFormat="true" s="9">
      <c r="A2738" s="16">
        <v>45125</v>
      </c>
      <c r="B2738" s="17" t="s">
        <v>578</v>
      </c>
      <c r="C2738" s="17" t="s">
        <v>572</v>
      </c>
      <c r="D2738" s="17" t="s">
        <v>22</v>
      </c>
      <c r="E2738" s="17" t="s">
        <v>430</v>
      </c>
      <c r="F2738" s="17"/>
      <c r="G2738" s="18">
        <v>149.4500</v>
      </c>
      <c r="H2738" s="18">
        <v>0</v>
      </c>
      <c r="I2738" s="18">
        <f ca="1">((I2737 + G2738) - H2738)</f>
        <v>0</v>
      </c>
      <c r="J2738" s="18">
        <v>0</v>
      </c>
      <c r="K2738" s="19">
        <v>0</v>
      </c>
      <c r="L2738" s="17"/>
    </row>
    <row r="2739" ht="10.95" customHeight="true" customFormat="true" s="9">
      <c r="A2739" s="16">
        <v>45126</v>
      </c>
      <c r="B2739" s="17" t="s">
        <v>578</v>
      </c>
      <c r="C2739" s="17" t="s">
        <v>572</v>
      </c>
      <c r="D2739" s="17" t="s">
        <v>19</v>
      </c>
      <c r="E2739" s="17" t="s">
        <v>428</v>
      </c>
      <c r="F2739" s="17"/>
      <c r="G2739" s="18">
        <v>0</v>
      </c>
      <c r="H2739" s="18">
        <v>209.5000</v>
      </c>
      <c r="I2739" s="18">
        <f ca="1">((I2738 + G2739) - H2739)</f>
        <v>0</v>
      </c>
      <c r="J2739" s="18">
        <v>0</v>
      </c>
      <c r="K2739" s="19">
        <v>0</v>
      </c>
      <c r="L2739" s="17"/>
    </row>
    <row r="2740" ht="10.95" customHeight="true" customFormat="true" s="9">
      <c r="A2740" s="16">
        <v>45127</v>
      </c>
      <c r="B2740" s="17" t="s">
        <v>578</v>
      </c>
      <c r="C2740" s="17" t="s">
        <v>572</v>
      </c>
      <c r="D2740" s="17" t="s">
        <v>19</v>
      </c>
      <c r="E2740" s="17" t="s">
        <v>428</v>
      </c>
      <c r="F2740" s="17"/>
      <c r="G2740" s="18">
        <v>0</v>
      </c>
      <c r="H2740" s="18">
        <v>202.0900</v>
      </c>
      <c r="I2740" s="18">
        <f ca="1">((I2739 + G2740) - H2740)</f>
        <v>0</v>
      </c>
      <c r="J2740" s="18">
        <v>0</v>
      </c>
      <c r="K2740" s="19">
        <v>0</v>
      </c>
      <c r="L2740" s="17"/>
    </row>
    <row r="2741" ht="10.95" customHeight="true" customFormat="true" s="9">
      <c r="A2741" s="16">
        <v>45128</v>
      </c>
      <c r="B2741" s="17" t="s">
        <v>578</v>
      </c>
      <c r="C2741" s="17" t="s">
        <v>572</v>
      </c>
      <c r="D2741" s="17" t="s">
        <v>22</v>
      </c>
      <c r="E2741" s="17" t="s">
        <v>439</v>
      </c>
      <c r="F2741" s="17"/>
      <c r="G2741" s="18">
        <v>4.5000</v>
      </c>
      <c r="H2741" s="18">
        <v>0</v>
      </c>
      <c r="I2741" s="18">
        <f ca="1">((I2740 + G2741) - H2741)</f>
        <v>0</v>
      </c>
      <c r="J2741" s="18">
        <v>0</v>
      </c>
      <c r="K2741" s="19">
        <v>0</v>
      </c>
      <c r="L2741" s="17"/>
    </row>
    <row r="2742" ht="10.95" customHeight="true" customFormat="true" s="9">
      <c r="A2742" s="16">
        <v>45128</v>
      </c>
      <c r="B2742" s="17" t="s">
        <v>578</v>
      </c>
      <c r="C2742" s="17" t="s">
        <v>572</v>
      </c>
      <c r="D2742" s="17" t="s">
        <v>19</v>
      </c>
      <c r="E2742" s="17" t="s">
        <v>428</v>
      </c>
      <c r="F2742" s="17"/>
      <c r="G2742" s="18">
        <v>0</v>
      </c>
      <c r="H2742" s="18">
        <v>223.2700</v>
      </c>
      <c r="I2742" s="18">
        <f ca="1">((I2741 + G2742) - H2742)</f>
        <v>0</v>
      </c>
      <c r="J2742" s="18">
        <v>0</v>
      </c>
      <c r="K2742" s="19">
        <v>0</v>
      </c>
      <c r="L2742" s="17"/>
    </row>
    <row r="2743" ht="10.95" customHeight="true" customFormat="true" s="9">
      <c r="A2743" s="16">
        <v>45128</v>
      </c>
      <c r="B2743" s="17" t="s">
        <v>578</v>
      </c>
      <c r="C2743" s="17" t="s">
        <v>572</v>
      </c>
      <c r="D2743" s="17" t="s">
        <v>22</v>
      </c>
      <c r="E2743" s="17" t="s">
        <v>440</v>
      </c>
      <c r="F2743" s="17"/>
      <c r="G2743" s="18">
        <v>21.0000</v>
      </c>
      <c r="H2743" s="18">
        <v>0</v>
      </c>
      <c r="I2743" s="18">
        <f ca="1">((I2742 + G2743) - H2743)</f>
        <v>0</v>
      </c>
      <c r="J2743" s="18">
        <v>0</v>
      </c>
      <c r="K2743" s="19">
        <v>0</v>
      </c>
      <c r="L2743" s="17"/>
    </row>
    <row r="2744" ht="10.95" customHeight="true" customFormat="true" s="9">
      <c r="A2744" s="16">
        <v>45128</v>
      </c>
      <c r="B2744" s="17" t="s">
        <v>578</v>
      </c>
      <c r="C2744" s="17" t="s">
        <v>572</v>
      </c>
      <c r="D2744" s="17" t="s">
        <v>22</v>
      </c>
      <c r="E2744" s="17" t="s">
        <v>430</v>
      </c>
      <c r="F2744" s="17"/>
      <c r="G2744" s="18">
        <v>139.0100</v>
      </c>
      <c r="H2744" s="18">
        <v>0</v>
      </c>
      <c r="I2744" s="18">
        <f ca="1">((I2743 + G2744) - H2744)</f>
        <v>0</v>
      </c>
      <c r="J2744" s="18">
        <v>0</v>
      </c>
      <c r="K2744" s="19">
        <v>0</v>
      </c>
      <c r="L2744" s="17"/>
    </row>
    <row r="2745" ht="10.95" customHeight="true" customFormat="true" s="9">
      <c r="A2745" s="16">
        <v>45131</v>
      </c>
      <c r="B2745" s="17" t="s">
        <v>578</v>
      </c>
      <c r="C2745" s="17" t="s">
        <v>572</v>
      </c>
      <c r="D2745" s="17" t="s">
        <v>22</v>
      </c>
      <c r="E2745" s="17" t="s">
        <v>34</v>
      </c>
      <c r="F2745" s="17"/>
      <c r="G2745" s="18">
        <v>181.8200</v>
      </c>
      <c r="H2745" s="18">
        <v>0</v>
      </c>
      <c r="I2745" s="18">
        <f ca="1">((I2744 + G2745) - H2745)</f>
        <v>0</v>
      </c>
      <c r="J2745" s="18">
        <v>0</v>
      </c>
      <c r="K2745" s="19">
        <v>0</v>
      </c>
      <c r="L2745" s="17"/>
    </row>
    <row r="2746" ht="10.95" customHeight="true" customFormat="true" s="9">
      <c r="A2746" s="16">
        <v>45131</v>
      </c>
      <c r="B2746" s="17" t="s">
        <v>578</v>
      </c>
      <c r="C2746" s="17" t="s">
        <v>572</v>
      </c>
      <c r="D2746" s="17" t="s">
        <v>19</v>
      </c>
      <c r="E2746" s="17" t="s">
        <v>428</v>
      </c>
      <c r="F2746" s="17"/>
      <c r="G2746" s="18">
        <v>0</v>
      </c>
      <c r="H2746" s="18">
        <v>529.3100</v>
      </c>
      <c r="I2746" s="18">
        <f ca="1">((I2745 + G2746) - H2746)</f>
        <v>0</v>
      </c>
      <c r="J2746" s="18">
        <v>0</v>
      </c>
      <c r="K2746" s="19">
        <v>0</v>
      </c>
      <c r="L2746" s="17"/>
    </row>
    <row r="2747" ht="10.95" customHeight="true" customFormat="true" s="9">
      <c r="A2747" s="16">
        <v>45131</v>
      </c>
      <c r="B2747" s="17" t="s">
        <v>578</v>
      </c>
      <c r="C2747" s="17" t="s">
        <v>572</v>
      </c>
      <c r="D2747" s="17" t="s">
        <v>19</v>
      </c>
      <c r="E2747" s="17" t="s">
        <v>24</v>
      </c>
      <c r="F2747" s="17"/>
      <c r="G2747" s="18">
        <v>0</v>
      </c>
      <c r="H2747" s="18">
        <v>22.7300</v>
      </c>
      <c r="I2747" s="18">
        <f ca="1">((I2746 + G2747) - H2747)</f>
        <v>0</v>
      </c>
      <c r="J2747" s="18">
        <v>0</v>
      </c>
      <c r="K2747" s="19">
        <v>0</v>
      </c>
      <c r="L2747" s="17"/>
    </row>
    <row r="2748" ht="10.95" customHeight="true" customFormat="true" s="9">
      <c r="A2748" s="16">
        <v>45131</v>
      </c>
      <c r="B2748" s="17" t="s">
        <v>578</v>
      </c>
      <c r="C2748" s="17" t="s">
        <v>572</v>
      </c>
      <c r="D2748" s="17" t="s">
        <v>22</v>
      </c>
      <c r="E2748" s="17" t="s">
        <v>442</v>
      </c>
      <c r="F2748" s="17"/>
      <c r="G2748" s="18">
        <v>15.4200</v>
      </c>
      <c r="H2748" s="18">
        <v>0</v>
      </c>
      <c r="I2748" s="18">
        <f ca="1">((I2747 + G2748) - H2748)</f>
        <v>0</v>
      </c>
      <c r="J2748" s="18">
        <v>0</v>
      </c>
      <c r="K2748" s="19">
        <v>0</v>
      </c>
      <c r="L2748" s="17"/>
    </row>
    <row r="2749" ht="10.95" customHeight="true" customFormat="true" s="9">
      <c r="A2749" s="16">
        <v>45131</v>
      </c>
      <c r="B2749" s="17" t="s">
        <v>578</v>
      </c>
      <c r="C2749" s="17" t="s">
        <v>572</v>
      </c>
      <c r="D2749" s="17" t="s">
        <v>19</v>
      </c>
      <c r="E2749" s="17" t="s">
        <v>428</v>
      </c>
      <c r="F2749" s="17"/>
      <c r="G2749" s="18">
        <v>0</v>
      </c>
      <c r="H2749" s="18">
        <v>304.1600</v>
      </c>
      <c r="I2749" s="18">
        <f ca="1">((I2748 + G2749) - H2749)</f>
        <v>0</v>
      </c>
      <c r="J2749" s="18">
        <v>0</v>
      </c>
      <c r="K2749" s="19">
        <v>0</v>
      </c>
      <c r="L2749" s="17"/>
    </row>
    <row r="2750" ht="10.95" customHeight="true" customFormat="true" s="9">
      <c r="A2750" s="16">
        <v>45131</v>
      </c>
      <c r="B2750" s="17" t="s">
        <v>578</v>
      </c>
      <c r="C2750" s="17" t="s">
        <v>572</v>
      </c>
      <c r="D2750" s="17" t="s">
        <v>19</v>
      </c>
      <c r="E2750" s="17" t="s">
        <v>428</v>
      </c>
      <c r="F2750" s="17"/>
      <c r="G2750" s="18">
        <v>0</v>
      </c>
      <c r="H2750" s="18">
        <v>478.9600</v>
      </c>
      <c r="I2750" s="18">
        <f ca="1">((I2749 + G2750) - H2750)</f>
        <v>0</v>
      </c>
      <c r="J2750" s="18">
        <v>0</v>
      </c>
      <c r="K2750" s="19">
        <v>0</v>
      </c>
      <c r="L2750" s="17"/>
    </row>
    <row r="2751" ht="10.95" customHeight="true" customFormat="true" s="9">
      <c r="A2751" s="16">
        <v>45132</v>
      </c>
      <c r="B2751" s="17" t="s">
        <v>578</v>
      </c>
      <c r="C2751" s="17" t="s">
        <v>572</v>
      </c>
      <c r="D2751" s="17" t="s">
        <v>22</v>
      </c>
      <c r="E2751" s="17" t="s">
        <v>430</v>
      </c>
      <c r="F2751" s="17"/>
      <c r="G2751" s="18">
        <v>164.6300</v>
      </c>
      <c r="H2751" s="18">
        <v>0</v>
      </c>
      <c r="I2751" s="18">
        <f ca="1">((I2750 + G2751) - H2751)</f>
        <v>0</v>
      </c>
      <c r="J2751" s="18">
        <v>0</v>
      </c>
      <c r="K2751" s="19">
        <v>0</v>
      </c>
      <c r="L2751" s="17"/>
    </row>
    <row r="2752" ht="10.95" customHeight="true" customFormat="true" s="9">
      <c r="A2752" s="16">
        <v>45132</v>
      </c>
      <c r="B2752" s="17" t="s">
        <v>578</v>
      </c>
      <c r="C2752" s="17" t="s">
        <v>572</v>
      </c>
      <c r="D2752" s="17" t="s">
        <v>22</v>
      </c>
      <c r="E2752" s="17" t="s">
        <v>443</v>
      </c>
      <c r="F2752" s="17"/>
      <c r="G2752" s="18">
        <v>489.8100</v>
      </c>
      <c r="H2752" s="18">
        <v>0</v>
      </c>
      <c r="I2752" s="18">
        <f ca="1">((I2751 + G2752) - H2752)</f>
        <v>0</v>
      </c>
      <c r="J2752" s="18">
        <v>0</v>
      </c>
      <c r="K2752" s="19">
        <v>0</v>
      </c>
      <c r="L2752" s="17"/>
    </row>
    <row r="2753" ht="10.95" customHeight="true" customFormat="true" s="9">
      <c r="A2753" s="16">
        <v>45133</v>
      </c>
      <c r="B2753" s="17" t="s">
        <v>578</v>
      </c>
      <c r="C2753" s="17" t="s">
        <v>572</v>
      </c>
      <c r="D2753" s="17" t="s">
        <v>19</v>
      </c>
      <c r="E2753" s="17" t="s">
        <v>428</v>
      </c>
      <c r="F2753" s="17"/>
      <c r="G2753" s="18">
        <v>0</v>
      </c>
      <c r="H2753" s="18">
        <v>160.6900</v>
      </c>
      <c r="I2753" s="18">
        <f ca="1">((I2752 + G2753) - H2753)</f>
        <v>0</v>
      </c>
      <c r="J2753" s="18">
        <v>0</v>
      </c>
      <c r="K2753" s="19">
        <v>0</v>
      </c>
      <c r="L2753" s="17"/>
    </row>
    <row r="2754" ht="10.95" customHeight="true" customFormat="true" s="9">
      <c r="A2754" s="16">
        <v>45134</v>
      </c>
      <c r="B2754" s="17" t="s">
        <v>578</v>
      </c>
      <c r="C2754" s="17" t="s">
        <v>572</v>
      </c>
      <c r="D2754" s="17" t="s">
        <v>19</v>
      </c>
      <c r="E2754" s="17" t="s">
        <v>428</v>
      </c>
      <c r="F2754" s="17"/>
      <c r="G2754" s="18">
        <v>0</v>
      </c>
      <c r="H2754" s="18">
        <v>212.0800</v>
      </c>
      <c r="I2754" s="18">
        <f ca="1">((I2753 + G2754) - H2754)</f>
        <v>0</v>
      </c>
      <c r="J2754" s="18">
        <v>0</v>
      </c>
      <c r="K2754" s="19">
        <v>0</v>
      </c>
      <c r="L2754" s="17"/>
    </row>
    <row r="2755" ht="10.95" customHeight="true" customFormat="true" s="9">
      <c r="A2755" s="16">
        <v>45135</v>
      </c>
      <c r="B2755" s="17" t="s">
        <v>578</v>
      </c>
      <c r="C2755" s="17" t="s">
        <v>572</v>
      </c>
      <c r="D2755" s="17" t="s">
        <v>19</v>
      </c>
      <c r="E2755" s="17" t="s">
        <v>428</v>
      </c>
      <c r="F2755" s="17"/>
      <c r="G2755" s="18">
        <v>0</v>
      </c>
      <c r="H2755" s="18">
        <v>219.5600</v>
      </c>
      <c r="I2755" s="18">
        <f ca="1">((I2754 + G2755) - H2755)</f>
        <v>0</v>
      </c>
      <c r="J2755" s="18">
        <v>0</v>
      </c>
      <c r="K2755" s="19">
        <v>0</v>
      </c>
      <c r="L2755" s="17"/>
    </row>
    <row r="2756" ht="10.95" customHeight="true" customFormat="true" s="9">
      <c r="A2756" s="16">
        <v>45138</v>
      </c>
      <c r="B2756" s="17" t="s">
        <v>578</v>
      </c>
      <c r="C2756" s="17" t="s">
        <v>572</v>
      </c>
      <c r="D2756" s="17" t="s">
        <v>19</v>
      </c>
      <c r="E2756" s="17" t="s">
        <v>428</v>
      </c>
      <c r="F2756" s="17"/>
      <c r="G2756" s="18">
        <v>0</v>
      </c>
      <c r="H2756" s="18">
        <v>260.8300</v>
      </c>
      <c r="I2756" s="18">
        <f ca="1">((I2755 + G2756) - H2756)</f>
        <v>0</v>
      </c>
      <c r="J2756" s="18">
        <v>0</v>
      </c>
      <c r="K2756" s="19">
        <v>0</v>
      </c>
      <c r="L2756" s="17"/>
    </row>
    <row r="2757" ht="10.95" customHeight="true" customFormat="true" s="9">
      <c r="A2757" s="16">
        <v>45138</v>
      </c>
      <c r="B2757" s="17" t="s">
        <v>578</v>
      </c>
      <c r="C2757" s="17" t="s">
        <v>572</v>
      </c>
      <c r="D2757" s="17" t="s">
        <v>19</v>
      </c>
      <c r="E2757" s="17" t="s">
        <v>428</v>
      </c>
      <c r="F2757" s="17"/>
      <c r="G2757" s="18">
        <v>0</v>
      </c>
      <c r="H2757" s="18">
        <v>531.7300</v>
      </c>
      <c r="I2757" s="18">
        <f ca="1">((I2756 + G2757) - H2757)</f>
        <v>0</v>
      </c>
      <c r="J2757" s="18">
        <v>0</v>
      </c>
      <c r="K2757" s="19">
        <v>0</v>
      </c>
      <c r="L2757" s="17"/>
    </row>
    <row r="2758" ht="10.95" customHeight="true" customFormat="true" s="9">
      <c r="A2758" s="16">
        <v>45138</v>
      </c>
      <c r="B2758" s="17" t="s">
        <v>578</v>
      </c>
      <c r="C2758" s="17" t="s">
        <v>572</v>
      </c>
      <c r="D2758" s="17" t="s">
        <v>19</v>
      </c>
      <c r="E2758" s="17" t="s">
        <v>428</v>
      </c>
      <c r="F2758" s="17"/>
      <c r="G2758" s="18">
        <v>0</v>
      </c>
      <c r="H2758" s="18">
        <v>451.4200</v>
      </c>
      <c r="I2758" s="18">
        <f ca="1">((I2757 + G2758) - H2758)</f>
        <v>0</v>
      </c>
      <c r="J2758" s="18">
        <v>0</v>
      </c>
      <c r="K2758" s="19">
        <v>0</v>
      </c>
      <c r="L2758" s="17"/>
    </row>
    <row r="2759" ht="10.95" customHeight="true" customFormat="true" s="9">
      <c r="A2759" s="16">
        <v>45138</v>
      </c>
      <c r="B2759" s="17" t="s">
        <v>578</v>
      </c>
      <c r="C2759" s="17" t="s">
        <v>572</v>
      </c>
      <c r="D2759" s="17" t="s">
        <v>22</v>
      </c>
      <c r="E2759" s="17" t="s">
        <v>430</v>
      </c>
      <c r="F2759" s="17"/>
      <c r="G2759" s="18">
        <v>173.9400</v>
      </c>
      <c r="H2759" s="18">
        <v>0</v>
      </c>
      <c r="I2759" s="18">
        <f ca="1">((I2758 + G2759) - H2759)</f>
        <v>0</v>
      </c>
      <c r="J2759" s="18">
        <v>0</v>
      </c>
      <c r="K2759" s="19">
        <v>0</v>
      </c>
      <c r="L2759" s="17"/>
    </row>
    <row r="2760" ht="10.95" customHeight="true" customFormat="true" s="9">
      <c r="A2760" s="16">
        <v>45138</v>
      </c>
      <c r="B2760" s="17" t="s">
        <v>578</v>
      </c>
      <c r="C2760" s="17" t="s">
        <v>572</v>
      </c>
      <c r="D2760" s="17" t="s">
        <v>19</v>
      </c>
      <c r="E2760" s="17" t="s">
        <v>24</v>
      </c>
      <c r="F2760" s="17"/>
      <c r="G2760" s="18">
        <v>0</v>
      </c>
      <c r="H2760" s="18">
        <v>4.5500</v>
      </c>
      <c r="I2760" s="18">
        <f ca="1">((I2759 + G2760) - H2760)</f>
        <v>0</v>
      </c>
      <c r="J2760" s="18">
        <v>0</v>
      </c>
      <c r="K2760" s="19">
        <v>0</v>
      </c>
      <c r="L2760" s="17"/>
    </row>
    <row r="2761" ht="10.95" customHeight="true" customFormat="true" s="9">
      <c r="A2761" s="16">
        <v>45138</v>
      </c>
      <c r="B2761" s="17" t="s">
        <v>578</v>
      </c>
      <c r="C2761" s="17" t="s">
        <v>572</v>
      </c>
      <c r="D2761" s="17" t="s">
        <v>22</v>
      </c>
      <c r="E2761" s="17" t="s">
        <v>34</v>
      </c>
      <c r="F2761" s="17"/>
      <c r="G2761" s="18">
        <v>136.3600</v>
      </c>
      <c r="H2761" s="18">
        <v>0</v>
      </c>
      <c r="I2761" s="18">
        <f ca="1">((I2760 + G2761) - H2761)</f>
        <v>0</v>
      </c>
      <c r="J2761" s="18">
        <v>0</v>
      </c>
      <c r="K2761" s="19">
        <v>0</v>
      </c>
      <c r="L2761" s="17"/>
    </row>
    <row r="2762" ht="10.95" customHeight="true" customFormat="true" s="9">
      <c r="A2762" s="16">
        <v>45139</v>
      </c>
      <c r="B2762" s="17" t="s">
        <v>578</v>
      </c>
      <c r="C2762" s="17" t="s">
        <v>572</v>
      </c>
      <c r="D2762" s="17" t="s">
        <v>22</v>
      </c>
      <c r="E2762" s="17" t="s">
        <v>430</v>
      </c>
      <c r="F2762" s="17"/>
      <c r="G2762" s="18">
        <v>190.4000</v>
      </c>
      <c r="H2762" s="18">
        <v>0</v>
      </c>
      <c r="I2762" s="18">
        <f ca="1">((I2761 + G2762) - H2762)</f>
        <v>0</v>
      </c>
      <c r="J2762" s="18">
        <v>0</v>
      </c>
      <c r="K2762" s="19">
        <v>0</v>
      </c>
      <c r="L2762" s="17"/>
    </row>
    <row r="2763" ht="10.95" customHeight="true" customFormat="true" s="9">
      <c r="A2763" s="16">
        <v>45140</v>
      </c>
      <c r="B2763" s="17" t="s">
        <v>578</v>
      </c>
      <c r="C2763" s="17" t="s">
        <v>572</v>
      </c>
      <c r="D2763" s="17" t="s">
        <v>19</v>
      </c>
      <c r="E2763" s="17" t="s">
        <v>428</v>
      </c>
      <c r="F2763" s="17"/>
      <c r="G2763" s="18">
        <v>0</v>
      </c>
      <c r="H2763" s="18">
        <v>192.2800</v>
      </c>
      <c r="I2763" s="18">
        <f ca="1">((I2762 + G2763) - H2763)</f>
        <v>0</v>
      </c>
      <c r="J2763" s="18">
        <v>0</v>
      </c>
      <c r="K2763" s="19">
        <v>0</v>
      </c>
      <c r="L2763" s="17"/>
    </row>
    <row r="2764" ht="10.95" customHeight="true" customFormat="true" s="9">
      <c r="A2764" s="16">
        <v>45141</v>
      </c>
      <c r="B2764" s="17" t="s">
        <v>578</v>
      </c>
      <c r="C2764" s="17" t="s">
        <v>572</v>
      </c>
      <c r="D2764" s="17" t="s">
        <v>19</v>
      </c>
      <c r="E2764" s="17" t="s">
        <v>428</v>
      </c>
      <c r="F2764" s="17"/>
      <c r="G2764" s="18">
        <v>0</v>
      </c>
      <c r="H2764" s="18">
        <v>210.1100</v>
      </c>
      <c r="I2764" s="18">
        <f ca="1">((I2763 + G2764) - H2764)</f>
        <v>0</v>
      </c>
      <c r="J2764" s="18">
        <v>0</v>
      </c>
      <c r="K2764" s="19">
        <v>0</v>
      </c>
      <c r="L2764" s="17"/>
    </row>
    <row r="2765" ht="10.95" customHeight="true" customFormat="true" s="9">
      <c r="A2765" s="16">
        <v>45142</v>
      </c>
      <c r="B2765" s="17" t="s">
        <v>578</v>
      </c>
      <c r="C2765" s="17" t="s">
        <v>572</v>
      </c>
      <c r="D2765" s="17" t="s">
        <v>19</v>
      </c>
      <c r="E2765" s="17" t="s">
        <v>428</v>
      </c>
      <c r="F2765" s="17"/>
      <c r="G2765" s="18">
        <v>0</v>
      </c>
      <c r="H2765" s="18">
        <v>219.0300</v>
      </c>
      <c r="I2765" s="18">
        <f ca="1">((I2764 + G2765) - H2765)</f>
        <v>0</v>
      </c>
      <c r="J2765" s="18">
        <v>0</v>
      </c>
      <c r="K2765" s="19">
        <v>0</v>
      </c>
      <c r="L2765" s="17"/>
    </row>
    <row r="2766" ht="10.95" customHeight="true" customFormat="true" s="9">
      <c r="A2766" s="16">
        <v>45142</v>
      </c>
      <c r="B2766" s="17" t="s">
        <v>578</v>
      </c>
      <c r="C2766" s="17" t="s">
        <v>572</v>
      </c>
      <c r="D2766" s="17" t="s">
        <v>22</v>
      </c>
      <c r="E2766" s="17" t="s">
        <v>430</v>
      </c>
      <c r="F2766" s="17"/>
      <c r="G2766" s="18">
        <v>142.5200</v>
      </c>
      <c r="H2766" s="18">
        <v>0</v>
      </c>
      <c r="I2766" s="18">
        <f ca="1">((I2765 + G2766) - H2766)</f>
        <v>0</v>
      </c>
      <c r="J2766" s="18">
        <v>0</v>
      </c>
      <c r="K2766" s="19">
        <v>0</v>
      </c>
      <c r="L2766" s="17"/>
    </row>
    <row r="2767" ht="10.95" customHeight="true" customFormat="true" s="9">
      <c r="A2767" s="16">
        <v>45145</v>
      </c>
      <c r="B2767" s="17" t="s">
        <v>578</v>
      </c>
      <c r="C2767" s="17" t="s">
        <v>572</v>
      </c>
      <c r="D2767" s="17" t="s">
        <v>19</v>
      </c>
      <c r="E2767" s="17" t="s">
        <v>428</v>
      </c>
      <c r="F2767" s="17"/>
      <c r="G2767" s="18">
        <v>0</v>
      </c>
      <c r="H2767" s="18">
        <v>557.6700</v>
      </c>
      <c r="I2767" s="18">
        <f ca="1">((I2766 + G2767) - H2767)</f>
        <v>0</v>
      </c>
      <c r="J2767" s="18">
        <v>0</v>
      </c>
      <c r="K2767" s="19">
        <v>0</v>
      </c>
      <c r="L2767" s="17"/>
    </row>
    <row r="2768" ht="10.95" customHeight="true" customFormat="true" s="9">
      <c r="A2768" s="16">
        <v>45145</v>
      </c>
      <c r="B2768" s="17" t="s">
        <v>578</v>
      </c>
      <c r="C2768" s="17" t="s">
        <v>572</v>
      </c>
      <c r="D2768" s="17" t="s">
        <v>22</v>
      </c>
      <c r="E2768" s="17" t="s">
        <v>438</v>
      </c>
      <c r="F2768" s="17"/>
      <c r="G2768" s="18">
        <v>1.9500</v>
      </c>
      <c r="H2768" s="18">
        <v>0</v>
      </c>
      <c r="I2768" s="18">
        <f ca="1">((I2767 + G2768) - H2768)</f>
        <v>0</v>
      </c>
      <c r="J2768" s="18">
        <v>0</v>
      </c>
      <c r="K2768" s="19">
        <v>0</v>
      </c>
      <c r="L2768" s="17"/>
    </row>
    <row r="2769" ht="10.95" customHeight="true" customFormat="true" s="9">
      <c r="A2769" s="16">
        <v>45145</v>
      </c>
      <c r="B2769" s="17" t="s">
        <v>578</v>
      </c>
      <c r="C2769" s="17" t="s">
        <v>572</v>
      </c>
      <c r="D2769" s="17" t="s">
        <v>22</v>
      </c>
      <c r="E2769" s="17" t="s">
        <v>34</v>
      </c>
      <c r="F2769" s="17"/>
      <c r="G2769" s="18">
        <v>209.0900</v>
      </c>
      <c r="H2769" s="18">
        <v>0</v>
      </c>
      <c r="I2769" s="18">
        <f ca="1">((I2768 + G2769) - H2769)</f>
        <v>0</v>
      </c>
      <c r="J2769" s="18">
        <v>0</v>
      </c>
      <c r="K2769" s="19">
        <v>0</v>
      </c>
      <c r="L2769" s="17"/>
    </row>
    <row r="2770" ht="10.95" customHeight="true" customFormat="true" s="9">
      <c r="A2770" s="16">
        <v>45145</v>
      </c>
      <c r="B2770" s="17" t="s">
        <v>578</v>
      </c>
      <c r="C2770" s="17" t="s">
        <v>572</v>
      </c>
      <c r="D2770" s="17" t="s">
        <v>19</v>
      </c>
      <c r="E2770" s="17" t="s">
        <v>428</v>
      </c>
      <c r="F2770" s="17"/>
      <c r="G2770" s="18">
        <v>0</v>
      </c>
      <c r="H2770" s="18">
        <v>277.0500</v>
      </c>
      <c r="I2770" s="18">
        <f ca="1">((I2769 + G2770) - H2770)</f>
        <v>0</v>
      </c>
      <c r="J2770" s="18">
        <v>0</v>
      </c>
      <c r="K2770" s="19">
        <v>0</v>
      </c>
      <c r="L2770" s="17"/>
    </row>
    <row r="2771" ht="10.95" customHeight="true" customFormat="true" s="9">
      <c r="A2771" s="16">
        <v>45145</v>
      </c>
      <c r="B2771" s="17" t="s">
        <v>578</v>
      </c>
      <c r="C2771" s="17" t="s">
        <v>572</v>
      </c>
      <c r="D2771" s="17" t="s">
        <v>19</v>
      </c>
      <c r="E2771" s="17" t="s">
        <v>428</v>
      </c>
      <c r="F2771" s="17"/>
      <c r="G2771" s="18">
        <v>0</v>
      </c>
      <c r="H2771" s="18">
        <v>482.1100</v>
      </c>
      <c r="I2771" s="18">
        <f ca="1">((I2770 + G2771) - H2771)</f>
        <v>0</v>
      </c>
      <c r="J2771" s="18">
        <v>0</v>
      </c>
      <c r="K2771" s="19">
        <v>0</v>
      </c>
      <c r="L2771" s="17"/>
    </row>
    <row r="2772" ht="10.95" customHeight="true" customFormat="true" s="9">
      <c r="A2772" s="16">
        <v>45146</v>
      </c>
      <c r="B2772" s="17" t="s">
        <v>578</v>
      </c>
      <c r="C2772" s="17" t="s">
        <v>572</v>
      </c>
      <c r="D2772" s="17" t="s">
        <v>19</v>
      </c>
      <c r="E2772" s="17" t="s">
        <v>24</v>
      </c>
      <c r="F2772" s="17"/>
      <c r="G2772" s="18">
        <v>0</v>
      </c>
      <c r="H2772" s="18">
        <v>13.6400</v>
      </c>
      <c r="I2772" s="18">
        <f ca="1">((I2771 + G2772) - H2772)</f>
        <v>0</v>
      </c>
      <c r="J2772" s="18">
        <v>0</v>
      </c>
      <c r="K2772" s="19">
        <v>0</v>
      </c>
      <c r="L2772" s="17"/>
    </row>
    <row r="2773" ht="10.95" customHeight="true" customFormat="true" s="9">
      <c r="A2773" s="16">
        <v>45146</v>
      </c>
      <c r="B2773" s="17" t="s">
        <v>578</v>
      </c>
      <c r="C2773" s="17" t="s">
        <v>572</v>
      </c>
      <c r="D2773" s="17" t="s">
        <v>22</v>
      </c>
      <c r="E2773" s="17" t="s">
        <v>430</v>
      </c>
      <c r="F2773" s="17"/>
      <c r="G2773" s="18">
        <v>151.4500</v>
      </c>
      <c r="H2773" s="18">
        <v>0</v>
      </c>
      <c r="I2773" s="18">
        <f ca="1">((I2772 + G2773) - H2773)</f>
        <v>0</v>
      </c>
      <c r="J2773" s="18">
        <v>0</v>
      </c>
      <c r="K2773" s="19">
        <v>0</v>
      </c>
      <c r="L2773" s="17"/>
    </row>
    <row r="2774" ht="10.95" customHeight="true" customFormat="true" s="9">
      <c r="A2774" s="16">
        <v>45147</v>
      </c>
      <c r="B2774" s="17" t="s">
        <v>578</v>
      </c>
      <c r="C2774" s="17" t="s">
        <v>572</v>
      </c>
      <c r="D2774" s="17" t="s">
        <v>19</v>
      </c>
      <c r="E2774" s="17" t="s">
        <v>428</v>
      </c>
      <c r="F2774" s="17"/>
      <c r="G2774" s="18">
        <v>0</v>
      </c>
      <c r="H2774" s="18">
        <v>221.0700</v>
      </c>
      <c r="I2774" s="18">
        <f ca="1">((I2773 + G2774) - H2774)</f>
        <v>0</v>
      </c>
      <c r="J2774" s="18">
        <v>0</v>
      </c>
      <c r="K2774" s="19">
        <v>0</v>
      </c>
      <c r="L2774" s="17"/>
    </row>
    <row r="2775" ht="10.95" customHeight="true" customFormat="true" s="9">
      <c r="A2775" s="16">
        <v>45148</v>
      </c>
      <c r="B2775" s="17" t="s">
        <v>578</v>
      </c>
      <c r="C2775" s="17" t="s">
        <v>572</v>
      </c>
      <c r="D2775" s="17" t="s">
        <v>19</v>
      </c>
      <c r="E2775" s="17" t="s">
        <v>428</v>
      </c>
      <c r="F2775" s="17"/>
      <c r="G2775" s="18">
        <v>0</v>
      </c>
      <c r="H2775" s="18">
        <v>208.4800</v>
      </c>
      <c r="I2775" s="18">
        <f ca="1">((I2774 + G2775) - H2775)</f>
        <v>0</v>
      </c>
      <c r="J2775" s="18">
        <v>0</v>
      </c>
      <c r="K2775" s="19">
        <v>0</v>
      </c>
      <c r="L2775" s="17"/>
    </row>
    <row r="2776" ht="10.95" customHeight="true" customFormat="true" s="9">
      <c r="A2776" s="16">
        <v>45149</v>
      </c>
      <c r="B2776" s="17" t="s">
        <v>578</v>
      </c>
      <c r="C2776" s="17" t="s">
        <v>572</v>
      </c>
      <c r="D2776" s="17" t="s">
        <v>19</v>
      </c>
      <c r="E2776" s="17" t="s">
        <v>428</v>
      </c>
      <c r="F2776" s="17"/>
      <c r="G2776" s="18">
        <v>0</v>
      </c>
      <c r="H2776" s="18">
        <v>233.7100</v>
      </c>
      <c r="I2776" s="18">
        <f ca="1">((I2775 + G2776) - H2776)</f>
        <v>0</v>
      </c>
      <c r="J2776" s="18">
        <v>0</v>
      </c>
      <c r="K2776" s="19">
        <v>0</v>
      </c>
      <c r="L2776" s="17"/>
    </row>
    <row r="2777" ht="10.95" customHeight="true" customFormat="true" s="9">
      <c r="A2777" s="16">
        <v>45149</v>
      </c>
      <c r="B2777" s="17" t="s">
        <v>578</v>
      </c>
      <c r="C2777" s="17" t="s">
        <v>572</v>
      </c>
      <c r="D2777" s="17" t="s">
        <v>22</v>
      </c>
      <c r="E2777" s="17" t="s">
        <v>449</v>
      </c>
      <c r="F2777" s="17"/>
      <c r="G2777" s="18">
        <v>112.8400</v>
      </c>
      <c r="H2777" s="18">
        <v>0</v>
      </c>
      <c r="I2777" s="18">
        <f ca="1">((I2776 + G2777) - H2777)</f>
        <v>0</v>
      </c>
      <c r="J2777" s="18">
        <v>0</v>
      </c>
      <c r="K2777" s="19">
        <v>0</v>
      </c>
      <c r="L2777" s="17"/>
    </row>
    <row r="2778" ht="10.95" customHeight="true" customFormat="true" s="9">
      <c r="A2778" s="16">
        <v>45149</v>
      </c>
      <c r="B2778" s="17" t="s">
        <v>578</v>
      </c>
      <c r="C2778" s="17" t="s">
        <v>572</v>
      </c>
      <c r="D2778" s="17" t="s">
        <v>22</v>
      </c>
      <c r="E2778" s="17" t="s">
        <v>430</v>
      </c>
      <c r="F2778" s="17"/>
      <c r="G2778" s="18">
        <v>189.9800</v>
      </c>
      <c r="H2778" s="18">
        <v>0</v>
      </c>
      <c r="I2778" s="18">
        <f ca="1">((I2777 + G2778) - H2778)</f>
        <v>0</v>
      </c>
      <c r="J2778" s="18">
        <v>0</v>
      </c>
      <c r="K2778" s="19">
        <v>0</v>
      </c>
      <c r="L2778" s="17"/>
    </row>
    <row r="2779" ht="10.95" customHeight="true" customFormat="true" s="9">
      <c r="A2779" s="16">
        <v>45152</v>
      </c>
      <c r="B2779" s="17" t="s">
        <v>578</v>
      </c>
      <c r="C2779" s="17" t="s">
        <v>572</v>
      </c>
      <c r="D2779" s="17" t="s">
        <v>22</v>
      </c>
      <c r="E2779" s="17" t="s">
        <v>34</v>
      </c>
      <c r="F2779" s="17"/>
      <c r="G2779" s="18">
        <v>154.5500</v>
      </c>
      <c r="H2779" s="18">
        <v>0</v>
      </c>
      <c r="I2779" s="18">
        <f ca="1">((I2778 + G2779) - H2779)</f>
        <v>0</v>
      </c>
      <c r="J2779" s="18">
        <v>0</v>
      </c>
      <c r="K2779" s="19">
        <v>0</v>
      </c>
      <c r="L2779" s="17"/>
    </row>
    <row r="2780" ht="10.95" customHeight="true" customFormat="true" s="9">
      <c r="A2780" s="16">
        <v>45152</v>
      </c>
      <c r="B2780" s="17" t="s">
        <v>578</v>
      </c>
      <c r="C2780" s="17" t="s">
        <v>572</v>
      </c>
      <c r="D2780" s="17" t="s">
        <v>19</v>
      </c>
      <c r="E2780" s="17" t="s">
        <v>24</v>
      </c>
      <c r="F2780" s="17"/>
      <c r="G2780" s="18">
        <v>0</v>
      </c>
      <c r="H2780" s="18">
        <v>13.6500</v>
      </c>
      <c r="I2780" s="18">
        <f ca="1">((I2779 + G2780) - H2780)</f>
        <v>0</v>
      </c>
      <c r="J2780" s="18">
        <v>0</v>
      </c>
      <c r="K2780" s="19">
        <v>0</v>
      </c>
      <c r="L2780" s="17"/>
    </row>
    <row r="2781" ht="10.95" customHeight="true" customFormat="true" s="9">
      <c r="A2781" s="16">
        <v>45152</v>
      </c>
      <c r="B2781" s="17" t="s">
        <v>578</v>
      </c>
      <c r="C2781" s="17" t="s">
        <v>572</v>
      </c>
      <c r="D2781" s="17" t="s">
        <v>19</v>
      </c>
      <c r="E2781" s="17" t="s">
        <v>428</v>
      </c>
      <c r="F2781" s="17"/>
      <c r="G2781" s="18">
        <v>0</v>
      </c>
      <c r="H2781" s="18">
        <v>566.8100</v>
      </c>
      <c r="I2781" s="18">
        <f ca="1">((I2780 + G2781) - H2781)</f>
        <v>0</v>
      </c>
      <c r="J2781" s="18">
        <v>0</v>
      </c>
      <c r="K2781" s="19">
        <v>0</v>
      </c>
      <c r="L2781" s="17"/>
    </row>
    <row r="2782" ht="10.95" customHeight="true" customFormat="true" s="9">
      <c r="A2782" s="16">
        <v>45152</v>
      </c>
      <c r="B2782" s="17" t="s">
        <v>578</v>
      </c>
      <c r="C2782" s="17" t="s">
        <v>572</v>
      </c>
      <c r="D2782" s="17" t="s">
        <v>19</v>
      </c>
      <c r="E2782" s="17" t="s">
        <v>428</v>
      </c>
      <c r="F2782" s="17"/>
      <c r="G2782" s="18">
        <v>0</v>
      </c>
      <c r="H2782" s="18">
        <v>492.6000</v>
      </c>
      <c r="I2782" s="18">
        <f ca="1">((I2781 + G2782) - H2782)</f>
        <v>0</v>
      </c>
      <c r="J2782" s="18">
        <v>0</v>
      </c>
      <c r="K2782" s="19">
        <v>0</v>
      </c>
      <c r="L2782" s="17"/>
    </row>
    <row r="2783" ht="10.95" customHeight="true" customFormat="true" s="9">
      <c r="A2783" s="16">
        <v>45152</v>
      </c>
      <c r="B2783" s="17" t="s">
        <v>578</v>
      </c>
      <c r="C2783" s="17" t="s">
        <v>572</v>
      </c>
      <c r="D2783" s="17" t="s">
        <v>19</v>
      </c>
      <c r="E2783" s="17" t="s">
        <v>428</v>
      </c>
      <c r="F2783" s="17"/>
      <c r="G2783" s="18">
        <v>0</v>
      </c>
      <c r="H2783" s="18">
        <v>262.4500</v>
      </c>
      <c r="I2783" s="18">
        <f ca="1">((I2782 + G2783) - H2783)</f>
        <v>0</v>
      </c>
      <c r="J2783" s="18">
        <v>0</v>
      </c>
      <c r="K2783" s="19">
        <v>0</v>
      </c>
      <c r="L2783" s="17"/>
    </row>
    <row r="2784" ht="10.95" customHeight="true" customFormat="true" s="9">
      <c r="A2784" s="16">
        <v>45153</v>
      </c>
      <c r="B2784" s="17" t="s">
        <v>578</v>
      </c>
      <c r="C2784" s="17" t="s">
        <v>572</v>
      </c>
      <c r="D2784" s="17" t="s">
        <v>22</v>
      </c>
      <c r="E2784" s="17" t="s">
        <v>430</v>
      </c>
      <c r="F2784" s="17"/>
      <c r="G2784" s="18">
        <v>146.8300</v>
      </c>
      <c r="H2784" s="18">
        <v>0</v>
      </c>
      <c r="I2784" s="18">
        <f ca="1">((I2783 + G2784) - H2784)</f>
        <v>0</v>
      </c>
      <c r="J2784" s="18">
        <v>0</v>
      </c>
      <c r="K2784" s="19">
        <v>0</v>
      </c>
      <c r="L2784" s="17"/>
    </row>
    <row r="2785" ht="10.95" customHeight="true" customFormat="true" s="9">
      <c r="A2785" s="16">
        <v>45154</v>
      </c>
      <c r="B2785" s="17" t="s">
        <v>578</v>
      </c>
      <c r="C2785" s="17" t="s">
        <v>572</v>
      </c>
      <c r="D2785" s="17" t="s">
        <v>19</v>
      </c>
      <c r="E2785" s="17" t="s">
        <v>428</v>
      </c>
      <c r="F2785" s="17"/>
      <c r="G2785" s="18">
        <v>0</v>
      </c>
      <c r="H2785" s="18">
        <v>214.9500</v>
      </c>
      <c r="I2785" s="18">
        <f ca="1">((I2784 + G2785) - H2785)</f>
        <v>0</v>
      </c>
      <c r="J2785" s="18">
        <v>0</v>
      </c>
      <c r="K2785" s="19">
        <v>0</v>
      </c>
      <c r="L2785" s="17"/>
    </row>
    <row r="2786" ht="10.95" customHeight="true" customFormat="true" s="9">
      <c r="A2786" s="16">
        <v>45154</v>
      </c>
      <c r="B2786" s="17" t="s">
        <v>578</v>
      </c>
      <c r="C2786" s="17" t="s">
        <v>572</v>
      </c>
      <c r="D2786" s="17" t="s">
        <v>22</v>
      </c>
      <c r="E2786" s="17" t="s">
        <v>451</v>
      </c>
      <c r="F2786" s="17"/>
      <c r="G2786" s="18">
        <v>50.0000</v>
      </c>
      <c r="H2786" s="18">
        <v>0</v>
      </c>
      <c r="I2786" s="18">
        <f ca="1">((I2785 + G2786) - H2786)</f>
        <v>0</v>
      </c>
      <c r="J2786" s="18">
        <v>0</v>
      </c>
      <c r="K2786" s="19">
        <v>0</v>
      </c>
      <c r="L2786" s="17"/>
    </row>
    <row r="2787" ht="10.95" customHeight="true" customFormat="true" s="9">
      <c r="A2787" s="16">
        <v>45155</v>
      </c>
      <c r="B2787" s="17" t="s">
        <v>578</v>
      </c>
      <c r="C2787" s="17" t="s">
        <v>572</v>
      </c>
      <c r="D2787" s="17" t="s">
        <v>19</v>
      </c>
      <c r="E2787" s="17" t="s">
        <v>428</v>
      </c>
      <c r="F2787" s="17"/>
      <c r="G2787" s="18">
        <v>0</v>
      </c>
      <c r="H2787" s="18">
        <v>204.7300</v>
      </c>
      <c r="I2787" s="18">
        <f ca="1">((I2786 + G2787) - H2787)</f>
        <v>0</v>
      </c>
      <c r="J2787" s="18">
        <v>0</v>
      </c>
      <c r="K2787" s="19">
        <v>0</v>
      </c>
      <c r="L2787" s="17"/>
    </row>
    <row r="2788" ht="10.95" customHeight="true" customFormat="true" s="9">
      <c r="A2788" s="16">
        <v>45155</v>
      </c>
      <c r="B2788" s="17" t="s">
        <v>578</v>
      </c>
      <c r="C2788" s="17" t="s">
        <v>572</v>
      </c>
      <c r="D2788" s="17" t="s">
        <v>22</v>
      </c>
      <c r="E2788" s="17" t="s">
        <v>436</v>
      </c>
      <c r="F2788" s="17"/>
      <c r="G2788" s="18">
        <v>9.8200</v>
      </c>
      <c r="H2788" s="18">
        <v>0</v>
      </c>
      <c r="I2788" s="18">
        <f ca="1">((I2787 + G2788) - H2788)</f>
        <v>0</v>
      </c>
      <c r="J2788" s="18">
        <v>0</v>
      </c>
      <c r="K2788" s="19">
        <v>0</v>
      </c>
      <c r="L2788" s="17"/>
    </row>
    <row r="2789" ht="10.95" customHeight="true" customFormat="true" s="9">
      <c r="A2789" s="16">
        <v>45155</v>
      </c>
      <c r="B2789" s="17" t="s">
        <v>578</v>
      </c>
      <c r="C2789" s="17" t="s">
        <v>572</v>
      </c>
      <c r="D2789" s="17" t="s">
        <v>22</v>
      </c>
      <c r="E2789" s="17" t="s">
        <v>452</v>
      </c>
      <c r="F2789" s="17"/>
      <c r="G2789" s="18">
        <v>24.0000</v>
      </c>
      <c r="H2789" s="18">
        <v>0</v>
      </c>
      <c r="I2789" s="18">
        <f ca="1">((I2788 + G2789) - H2789)</f>
        <v>0</v>
      </c>
      <c r="J2789" s="18">
        <v>0</v>
      </c>
      <c r="K2789" s="19">
        <v>0</v>
      </c>
      <c r="L2789" s="17"/>
    </row>
    <row r="2790" ht="10.95" customHeight="true" customFormat="true" s="9">
      <c r="A2790" s="16">
        <v>45156</v>
      </c>
      <c r="B2790" s="17" t="s">
        <v>578</v>
      </c>
      <c r="C2790" s="17" t="s">
        <v>572</v>
      </c>
      <c r="D2790" s="17" t="s">
        <v>19</v>
      </c>
      <c r="E2790" s="17" t="s">
        <v>428</v>
      </c>
      <c r="F2790" s="17"/>
      <c r="G2790" s="18">
        <v>0</v>
      </c>
      <c r="H2790" s="18">
        <v>215.4800</v>
      </c>
      <c r="I2790" s="18">
        <f ca="1">((I2789 + G2790) - H2790)</f>
        <v>0</v>
      </c>
      <c r="J2790" s="18">
        <v>0</v>
      </c>
      <c r="K2790" s="19">
        <v>0</v>
      </c>
      <c r="L2790" s="17"/>
    </row>
    <row r="2791" ht="10.95" customHeight="true" customFormat="true" s="9">
      <c r="A2791" s="16">
        <v>45156</v>
      </c>
      <c r="B2791" s="17" t="s">
        <v>578</v>
      </c>
      <c r="C2791" s="17" t="s">
        <v>572</v>
      </c>
      <c r="D2791" s="17" t="s">
        <v>22</v>
      </c>
      <c r="E2791" s="17" t="s">
        <v>430</v>
      </c>
      <c r="F2791" s="17"/>
      <c r="G2791" s="18">
        <v>181.5600</v>
      </c>
      <c r="H2791" s="18">
        <v>0</v>
      </c>
      <c r="I2791" s="18">
        <f ca="1">((I2790 + G2791) - H2791)</f>
        <v>0</v>
      </c>
      <c r="J2791" s="18">
        <v>0</v>
      </c>
      <c r="K2791" s="19">
        <v>0</v>
      </c>
      <c r="L2791" s="17"/>
    </row>
    <row r="2792" ht="10.95" customHeight="true" customFormat="true" s="9">
      <c r="A2792" s="16">
        <v>45156</v>
      </c>
      <c r="B2792" s="17" t="s">
        <v>578</v>
      </c>
      <c r="C2792" s="17" t="s">
        <v>572</v>
      </c>
      <c r="D2792" s="17" t="s">
        <v>22</v>
      </c>
      <c r="E2792" s="17" t="s">
        <v>453</v>
      </c>
      <c r="F2792" s="17"/>
      <c r="G2792" s="18">
        <v>50.0000</v>
      </c>
      <c r="H2792" s="18">
        <v>0</v>
      </c>
      <c r="I2792" s="18">
        <f ca="1">((I2791 + G2792) - H2792)</f>
        <v>0</v>
      </c>
      <c r="J2792" s="18">
        <v>0</v>
      </c>
      <c r="K2792" s="19">
        <v>0</v>
      </c>
      <c r="L2792" s="17"/>
    </row>
    <row r="2793" ht="10.95" customHeight="true" customFormat="true" s="9">
      <c r="A2793" s="16">
        <v>45156</v>
      </c>
      <c r="B2793" s="17" t="s">
        <v>578</v>
      </c>
      <c r="C2793" s="17" t="s">
        <v>572</v>
      </c>
      <c r="D2793" s="17" t="s">
        <v>22</v>
      </c>
      <c r="E2793" s="17" t="s">
        <v>298</v>
      </c>
      <c r="F2793" s="17"/>
      <c r="G2793" s="18">
        <v>544.0000</v>
      </c>
      <c r="H2793" s="18">
        <v>0</v>
      </c>
      <c r="I2793" s="18">
        <f ca="1">((I2792 + G2793) - H2793)</f>
        <v>0</v>
      </c>
      <c r="J2793" s="18">
        <v>0</v>
      </c>
      <c r="K2793" s="19">
        <v>0</v>
      </c>
      <c r="L2793" s="17"/>
    </row>
    <row r="2794" ht="10.95" customHeight="true" customFormat="true" s="9">
      <c r="A2794" s="16">
        <v>45159</v>
      </c>
      <c r="B2794" s="17" t="s">
        <v>578</v>
      </c>
      <c r="C2794" s="17" t="s">
        <v>572</v>
      </c>
      <c r="D2794" s="17" t="s">
        <v>19</v>
      </c>
      <c r="E2794" s="17" t="s">
        <v>428</v>
      </c>
      <c r="F2794" s="17"/>
      <c r="G2794" s="18">
        <v>0</v>
      </c>
      <c r="H2794" s="18">
        <v>312.8200</v>
      </c>
      <c r="I2794" s="18">
        <f ca="1">((I2793 + G2794) - H2794)</f>
        <v>0</v>
      </c>
      <c r="J2794" s="18">
        <v>0</v>
      </c>
      <c r="K2794" s="19">
        <v>0</v>
      </c>
      <c r="L2794" s="17"/>
    </row>
    <row r="2795" ht="10.95" customHeight="true" customFormat="true" s="9">
      <c r="A2795" s="16">
        <v>45159</v>
      </c>
      <c r="B2795" s="17" t="s">
        <v>578</v>
      </c>
      <c r="C2795" s="17" t="s">
        <v>572</v>
      </c>
      <c r="D2795" s="17" t="s">
        <v>19</v>
      </c>
      <c r="E2795" s="17" t="s">
        <v>428</v>
      </c>
      <c r="F2795" s="17"/>
      <c r="G2795" s="18">
        <v>0</v>
      </c>
      <c r="H2795" s="18">
        <v>513.8900</v>
      </c>
      <c r="I2795" s="18">
        <f ca="1">((I2794 + G2795) - H2795)</f>
        <v>0</v>
      </c>
      <c r="J2795" s="18">
        <v>0</v>
      </c>
      <c r="K2795" s="19">
        <v>0</v>
      </c>
      <c r="L2795" s="17"/>
    </row>
    <row r="2796" ht="10.95" customHeight="true" customFormat="true" s="9">
      <c r="A2796" s="16">
        <v>45159</v>
      </c>
      <c r="B2796" s="17" t="s">
        <v>578</v>
      </c>
      <c r="C2796" s="17" t="s">
        <v>572</v>
      </c>
      <c r="D2796" s="17" t="s">
        <v>19</v>
      </c>
      <c r="E2796" s="17" t="s">
        <v>24</v>
      </c>
      <c r="F2796" s="17"/>
      <c r="G2796" s="18">
        <v>0</v>
      </c>
      <c r="H2796" s="18">
        <v>18.1800</v>
      </c>
      <c r="I2796" s="18">
        <f ca="1">((I2795 + G2796) - H2796)</f>
        <v>0</v>
      </c>
      <c r="J2796" s="18">
        <v>0</v>
      </c>
      <c r="K2796" s="19">
        <v>0</v>
      </c>
      <c r="L2796" s="17"/>
    </row>
    <row r="2797" ht="10.95" customHeight="true" customFormat="true" s="9">
      <c r="A2797" s="16">
        <v>45159</v>
      </c>
      <c r="B2797" s="17" t="s">
        <v>578</v>
      </c>
      <c r="C2797" s="17" t="s">
        <v>572</v>
      </c>
      <c r="D2797" s="17" t="s">
        <v>19</v>
      </c>
      <c r="E2797" s="17" t="s">
        <v>428</v>
      </c>
      <c r="F2797" s="17"/>
      <c r="G2797" s="18">
        <v>0</v>
      </c>
      <c r="H2797" s="18">
        <v>587.7400</v>
      </c>
      <c r="I2797" s="18">
        <f ca="1">((I2796 + G2797) - H2797)</f>
        <v>0</v>
      </c>
      <c r="J2797" s="18">
        <v>0</v>
      </c>
      <c r="K2797" s="19">
        <v>0</v>
      </c>
      <c r="L2797" s="17"/>
    </row>
    <row r="2798" ht="10.95" customHeight="true" customFormat="true" s="9">
      <c r="A2798" s="16">
        <v>45159</v>
      </c>
      <c r="B2798" s="17" t="s">
        <v>578</v>
      </c>
      <c r="C2798" s="17" t="s">
        <v>572</v>
      </c>
      <c r="D2798" s="17" t="s">
        <v>22</v>
      </c>
      <c r="E2798" s="17" t="s">
        <v>34</v>
      </c>
      <c r="F2798" s="17"/>
      <c r="G2798" s="18">
        <v>181.8200</v>
      </c>
      <c r="H2798" s="18">
        <v>0</v>
      </c>
      <c r="I2798" s="18">
        <f ca="1">((I2797 + G2798) - H2798)</f>
        <v>0</v>
      </c>
      <c r="J2798" s="18">
        <v>0</v>
      </c>
      <c r="K2798" s="19">
        <v>0</v>
      </c>
      <c r="L2798" s="17"/>
    </row>
    <row r="2799" ht="10.95" customHeight="true" customFormat="true" s="9">
      <c r="A2799" s="16">
        <v>45160</v>
      </c>
      <c r="B2799" s="17" t="s">
        <v>578</v>
      </c>
      <c r="C2799" s="17" t="s">
        <v>572</v>
      </c>
      <c r="D2799" s="17" t="s">
        <v>22</v>
      </c>
      <c r="E2799" s="17" t="s">
        <v>430</v>
      </c>
      <c r="F2799" s="17"/>
      <c r="G2799" s="18">
        <v>193.1100</v>
      </c>
      <c r="H2799" s="18">
        <v>0</v>
      </c>
      <c r="I2799" s="18">
        <f ca="1">((I2798 + G2799) - H2799)</f>
        <v>0</v>
      </c>
      <c r="J2799" s="18">
        <v>0</v>
      </c>
      <c r="K2799" s="19">
        <v>0</v>
      </c>
      <c r="L2799" s="17"/>
    </row>
    <row r="2800" ht="10.95" customHeight="true" customFormat="true" s="9">
      <c r="A2800" s="16">
        <v>45160</v>
      </c>
      <c r="B2800" s="17" t="s">
        <v>578</v>
      </c>
      <c r="C2800" s="17" t="s">
        <v>572</v>
      </c>
      <c r="D2800" s="17" t="s">
        <v>22</v>
      </c>
      <c r="E2800" s="17" t="s">
        <v>434</v>
      </c>
      <c r="F2800" s="17"/>
      <c r="G2800" s="18">
        <v>46.2700</v>
      </c>
      <c r="H2800" s="18">
        <v>0</v>
      </c>
      <c r="I2800" s="18">
        <f ca="1">((I2799 + G2800) - H2800)</f>
        <v>0</v>
      </c>
      <c r="J2800" s="18">
        <v>0</v>
      </c>
      <c r="K2800" s="19">
        <v>0</v>
      </c>
      <c r="L2800" s="17"/>
    </row>
    <row r="2801" ht="10.95" customHeight="true" customFormat="true" s="9">
      <c r="A2801" s="16">
        <v>45161</v>
      </c>
      <c r="B2801" s="17" t="s">
        <v>578</v>
      </c>
      <c r="C2801" s="17" t="s">
        <v>572</v>
      </c>
      <c r="D2801" s="17" t="s">
        <v>19</v>
      </c>
      <c r="E2801" s="17" t="s">
        <v>428</v>
      </c>
      <c r="F2801" s="17"/>
      <c r="G2801" s="18">
        <v>0</v>
      </c>
      <c r="H2801" s="18">
        <v>216.3500</v>
      </c>
      <c r="I2801" s="18">
        <f ca="1">((I2800 + G2801) - H2801)</f>
        <v>0</v>
      </c>
      <c r="J2801" s="18">
        <v>0</v>
      </c>
      <c r="K2801" s="19">
        <v>0</v>
      </c>
      <c r="L2801" s="17"/>
    </row>
    <row r="2802" ht="10.95" customHeight="true" customFormat="true" s="9">
      <c r="A2802" s="16">
        <v>45162</v>
      </c>
      <c r="B2802" s="17" t="s">
        <v>578</v>
      </c>
      <c r="C2802" s="17" t="s">
        <v>572</v>
      </c>
      <c r="D2802" s="17" t="s">
        <v>22</v>
      </c>
      <c r="E2802" s="17" t="s">
        <v>442</v>
      </c>
      <c r="F2802" s="17"/>
      <c r="G2802" s="18">
        <v>15.4200</v>
      </c>
      <c r="H2802" s="18">
        <v>0</v>
      </c>
      <c r="I2802" s="18">
        <f ca="1">((I2801 + G2802) - H2802)</f>
        <v>0</v>
      </c>
      <c r="J2802" s="18">
        <v>0</v>
      </c>
      <c r="K2802" s="19">
        <v>0</v>
      </c>
      <c r="L2802" s="17"/>
    </row>
    <row r="2803" ht="10.95" customHeight="true" customFormat="true" s="9">
      <c r="A2803" s="16">
        <v>45162</v>
      </c>
      <c r="B2803" s="17" t="s">
        <v>578</v>
      </c>
      <c r="C2803" s="17" t="s">
        <v>572</v>
      </c>
      <c r="D2803" s="17" t="s">
        <v>19</v>
      </c>
      <c r="E2803" s="17" t="s">
        <v>428</v>
      </c>
      <c r="F2803" s="17"/>
      <c r="G2803" s="18">
        <v>0</v>
      </c>
      <c r="H2803" s="18">
        <v>209.4300</v>
      </c>
      <c r="I2803" s="18">
        <f ca="1">((I2802 + G2803) - H2803)</f>
        <v>0</v>
      </c>
      <c r="J2803" s="18">
        <v>0</v>
      </c>
      <c r="K2803" s="19">
        <v>0</v>
      </c>
      <c r="L2803" s="17"/>
    </row>
    <row r="2804" ht="10.95" customHeight="true" customFormat="true" s="9">
      <c r="A2804" s="16">
        <v>45163</v>
      </c>
      <c r="B2804" s="17" t="s">
        <v>578</v>
      </c>
      <c r="C2804" s="17" t="s">
        <v>572</v>
      </c>
      <c r="D2804" s="17" t="s">
        <v>22</v>
      </c>
      <c r="E2804" s="17" t="s">
        <v>430</v>
      </c>
      <c r="F2804" s="17"/>
      <c r="G2804" s="18">
        <v>139.3300</v>
      </c>
      <c r="H2804" s="18">
        <v>0</v>
      </c>
      <c r="I2804" s="18">
        <f ca="1">((I2803 + G2804) - H2804)</f>
        <v>0</v>
      </c>
      <c r="J2804" s="18">
        <v>0</v>
      </c>
      <c r="K2804" s="19">
        <v>0</v>
      </c>
      <c r="L2804" s="17"/>
    </row>
    <row r="2805" ht="10.95" customHeight="true" customFormat="true" s="9">
      <c r="A2805" s="16">
        <v>45163</v>
      </c>
      <c r="B2805" s="17" t="s">
        <v>578</v>
      </c>
      <c r="C2805" s="17" t="s">
        <v>572</v>
      </c>
      <c r="D2805" s="17" t="s">
        <v>19</v>
      </c>
      <c r="E2805" s="17" t="s">
        <v>428</v>
      </c>
      <c r="F2805" s="17"/>
      <c r="G2805" s="18">
        <v>0</v>
      </c>
      <c r="H2805" s="18">
        <v>226.9900</v>
      </c>
      <c r="I2805" s="18">
        <f ca="1">((I2804 + G2805) - H2805)</f>
        <v>0</v>
      </c>
      <c r="J2805" s="18">
        <v>0</v>
      </c>
      <c r="K2805" s="19">
        <v>0</v>
      </c>
      <c r="L2805" s="17"/>
    </row>
    <row r="2806" ht="10.95" customHeight="true" customFormat="true" s="9">
      <c r="A2806" s="16">
        <v>45166</v>
      </c>
      <c r="B2806" s="17" t="s">
        <v>578</v>
      </c>
      <c r="C2806" s="17" t="s">
        <v>572</v>
      </c>
      <c r="D2806" s="17" t="s">
        <v>19</v>
      </c>
      <c r="E2806" s="17" t="s">
        <v>428</v>
      </c>
      <c r="F2806" s="17"/>
      <c r="G2806" s="18">
        <v>0</v>
      </c>
      <c r="H2806" s="18">
        <v>290.7600</v>
      </c>
      <c r="I2806" s="18">
        <f ca="1">((I2805 + G2806) - H2806)</f>
        <v>0</v>
      </c>
      <c r="J2806" s="18">
        <v>0</v>
      </c>
      <c r="K2806" s="19">
        <v>0</v>
      </c>
      <c r="L2806" s="17"/>
    </row>
    <row r="2807" ht="10.95" customHeight="true" customFormat="true" s="9">
      <c r="A2807" s="16">
        <v>45166</v>
      </c>
      <c r="B2807" s="17" t="s">
        <v>578</v>
      </c>
      <c r="C2807" s="17" t="s">
        <v>572</v>
      </c>
      <c r="D2807" s="17" t="s">
        <v>22</v>
      </c>
      <c r="E2807" s="17" t="s">
        <v>34</v>
      </c>
      <c r="F2807" s="17"/>
      <c r="G2807" s="18">
        <v>209.0900</v>
      </c>
      <c r="H2807" s="18">
        <v>0</v>
      </c>
      <c r="I2807" s="18">
        <f ca="1">((I2806 + G2807) - H2807)</f>
        <v>0</v>
      </c>
      <c r="J2807" s="18">
        <v>0</v>
      </c>
      <c r="K2807" s="19">
        <v>0</v>
      </c>
      <c r="L2807" s="17"/>
    </row>
    <row r="2808" ht="10.95" customHeight="true" customFormat="true" s="9">
      <c r="A2808" s="16">
        <v>45166</v>
      </c>
      <c r="B2808" s="17" t="s">
        <v>578</v>
      </c>
      <c r="C2808" s="17" t="s">
        <v>572</v>
      </c>
      <c r="D2808" s="17" t="s">
        <v>19</v>
      </c>
      <c r="E2808" s="17" t="s">
        <v>428</v>
      </c>
      <c r="F2808" s="17"/>
      <c r="G2808" s="18">
        <v>0</v>
      </c>
      <c r="H2808" s="18">
        <v>486.3700</v>
      </c>
      <c r="I2808" s="18">
        <f ca="1">((I2807 + G2808) - H2808)</f>
        <v>0</v>
      </c>
      <c r="J2808" s="18">
        <v>0</v>
      </c>
      <c r="K2808" s="19">
        <v>0</v>
      </c>
      <c r="L2808" s="17"/>
    </row>
    <row r="2809" ht="10.95" customHeight="true" customFormat="true" s="9">
      <c r="A2809" s="16">
        <v>45166</v>
      </c>
      <c r="B2809" s="17" t="s">
        <v>578</v>
      </c>
      <c r="C2809" s="17" t="s">
        <v>572</v>
      </c>
      <c r="D2809" s="17" t="s">
        <v>19</v>
      </c>
      <c r="E2809" s="17" t="s">
        <v>428</v>
      </c>
      <c r="F2809" s="17"/>
      <c r="G2809" s="18">
        <v>0</v>
      </c>
      <c r="H2809" s="18">
        <v>584.6500</v>
      </c>
      <c r="I2809" s="18">
        <f ca="1">((I2808 + G2809) - H2809)</f>
        <v>0</v>
      </c>
      <c r="J2809" s="18">
        <v>0</v>
      </c>
      <c r="K2809" s="19">
        <v>0</v>
      </c>
      <c r="L2809" s="17"/>
    </row>
    <row r="2810" ht="10.95" customHeight="true" customFormat="true" s="9">
      <c r="A2810" s="16">
        <v>45166</v>
      </c>
      <c r="B2810" s="17" t="s">
        <v>578</v>
      </c>
      <c r="C2810" s="17" t="s">
        <v>572</v>
      </c>
      <c r="D2810" s="17" t="s">
        <v>19</v>
      </c>
      <c r="E2810" s="17" t="s">
        <v>24</v>
      </c>
      <c r="F2810" s="17"/>
      <c r="G2810" s="18">
        <v>0</v>
      </c>
      <c r="H2810" s="18">
        <v>22.7300</v>
      </c>
      <c r="I2810" s="18">
        <f ca="1">((I2809 + G2810) - H2810)</f>
        <v>0</v>
      </c>
      <c r="J2810" s="18">
        <v>0</v>
      </c>
      <c r="K2810" s="19">
        <v>0</v>
      </c>
      <c r="L2810" s="17"/>
    </row>
    <row r="2811" ht="10.95" customHeight="true" customFormat="true" s="9">
      <c r="A2811" s="16">
        <v>45166</v>
      </c>
      <c r="B2811" s="17" t="s">
        <v>578</v>
      </c>
      <c r="C2811" s="17" t="s">
        <v>572</v>
      </c>
      <c r="D2811" s="17" t="s">
        <v>22</v>
      </c>
      <c r="E2811" s="17" t="s">
        <v>443</v>
      </c>
      <c r="F2811" s="17"/>
      <c r="G2811" s="18">
        <v>18.6200</v>
      </c>
      <c r="H2811" s="18">
        <v>0</v>
      </c>
      <c r="I2811" s="18">
        <f ca="1">((I2810 + G2811) - H2811)</f>
        <v>0</v>
      </c>
      <c r="J2811" s="18">
        <v>0</v>
      </c>
      <c r="K2811" s="19">
        <v>0</v>
      </c>
      <c r="L2811" s="17"/>
    </row>
    <row r="2812" ht="10.95" customHeight="true" customFormat="true" s="9">
      <c r="A2812" s="16">
        <v>45166</v>
      </c>
      <c r="B2812" s="17" t="s">
        <v>578</v>
      </c>
      <c r="C2812" s="17" t="s">
        <v>572</v>
      </c>
      <c r="D2812" s="17" t="s">
        <v>22</v>
      </c>
      <c r="E2812" s="17" t="s">
        <v>443</v>
      </c>
      <c r="F2812" s="17"/>
      <c r="G2812" s="18">
        <v>21.7400</v>
      </c>
      <c r="H2812" s="18">
        <v>0</v>
      </c>
      <c r="I2812" s="18">
        <f ca="1">((I2811 + G2812) - H2812)</f>
        <v>0</v>
      </c>
      <c r="J2812" s="18">
        <v>0</v>
      </c>
      <c r="K2812" s="19">
        <v>0</v>
      </c>
      <c r="L2812" s="17"/>
    </row>
    <row r="2813" ht="10.95" customHeight="true" customFormat="true" s="9">
      <c r="A2813" s="16">
        <v>45167</v>
      </c>
      <c r="B2813" s="17" t="s">
        <v>578</v>
      </c>
      <c r="C2813" s="17" t="s">
        <v>572</v>
      </c>
      <c r="D2813" s="17" t="s">
        <v>22</v>
      </c>
      <c r="E2813" s="17" t="s">
        <v>430</v>
      </c>
      <c r="F2813" s="17"/>
      <c r="G2813" s="18">
        <v>214.2800</v>
      </c>
      <c r="H2813" s="18">
        <v>0</v>
      </c>
      <c r="I2813" s="18">
        <f ca="1">((I2812 + G2813) - H2813)</f>
        <v>0</v>
      </c>
      <c r="J2813" s="18">
        <v>0</v>
      </c>
      <c r="K2813" s="19">
        <v>0</v>
      </c>
      <c r="L2813" s="17"/>
    </row>
    <row r="2814" ht="10.95" customHeight="true" customFormat="true" s="9">
      <c r="A2814" s="16">
        <v>45168</v>
      </c>
      <c r="B2814" s="17" t="s">
        <v>578</v>
      </c>
      <c r="C2814" s="17" t="s">
        <v>572</v>
      </c>
      <c r="D2814" s="17" t="s">
        <v>19</v>
      </c>
      <c r="E2814" s="17" t="s">
        <v>428</v>
      </c>
      <c r="F2814" s="17"/>
      <c r="G2814" s="18">
        <v>0</v>
      </c>
      <c r="H2814" s="18">
        <v>231.4500</v>
      </c>
      <c r="I2814" s="18">
        <f ca="1">((I2813 + G2814) - H2814)</f>
        <v>0</v>
      </c>
      <c r="J2814" s="18">
        <v>0</v>
      </c>
      <c r="K2814" s="19">
        <v>0</v>
      </c>
      <c r="L2814" s="17"/>
    </row>
    <row r="2815" ht="10.95" customHeight="true" customFormat="true" s="9">
      <c r="A2815" s="16">
        <v>45169</v>
      </c>
      <c r="B2815" s="17" t="s">
        <v>578</v>
      </c>
      <c r="C2815" s="17" t="s">
        <v>572</v>
      </c>
      <c r="D2815" s="17" t="s">
        <v>19</v>
      </c>
      <c r="E2815" s="17" t="s">
        <v>428</v>
      </c>
      <c r="F2815" s="17"/>
      <c r="G2815" s="18">
        <v>0</v>
      </c>
      <c r="H2815" s="18">
        <v>211.3800</v>
      </c>
      <c r="I2815" s="18">
        <f ca="1">((I2814 + G2815) - H2815)</f>
        <v>0</v>
      </c>
      <c r="J2815" s="18">
        <v>0</v>
      </c>
      <c r="K2815" s="19">
        <v>0</v>
      </c>
      <c r="L2815" s="17"/>
    </row>
    <row r="2816" ht="10.95" customHeight="true" customFormat="true" s="9">
      <c r="A2816" s="16">
        <v>45169</v>
      </c>
      <c r="B2816" s="17" t="s">
        <v>578</v>
      </c>
      <c r="C2816" s="17" t="s">
        <v>572</v>
      </c>
      <c r="D2816" s="17" t="s">
        <v>22</v>
      </c>
      <c r="E2816" s="17" t="s">
        <v>438</v>
      </c>
      <c r="F2816" s="17"/>
      <c r="G2816" s="18">
        <v>1.3600</v>
      </c>
      <c r="H2816" s="18">
        <v>0</v>
      </c>
      <c r="I2816" s="18">
        <f ca="1">((I2815 + G2816) - H2816)</f>
        <v>0</v>
      </c>
      <c r="J2816" s="18">
        <v>0</v>
      </c>
      <c r="K2816" s="19">
        <v>0</v>
      </c>
      <c r="L2816" s="17"/>
    </row>
    <row r="2817" ht="10.95" customHeight="true" customFormat="true" s="9">
      <c r="A2817" s="16">
        <v>45170</v>
      </c>
      <c r="B2817" s="17" t="s">
        <v>578</v>
      </c>
      <c r="C2817" s="17" t="s">
        <v>572</v>
      </c>
      <c r="D2817" s="17" t="s">
        <v>19</v>
      </c>
      <c r="E2817" s="17" t="s">
        <v>428</v>
      </c>
      <c r="F2817" s="17"/>
      <c r="G2817" s="18">
        <v>0</v>
      </c>
      <c r="H2817" s="18">
        <v>306.2600</v>
      </c>
      <c r="I2817" s="18">
        <f ca="1">((I2816 + G2817) - H2817)</f>
        <v>0</v>
      </c>
      <c r="J2817" s="18">
        <v>0</v>
      </c>
      <c r="K2817" s="19">
        <v>0</v>
      </c>
      <c r="L2817" s="17"/>
    </row>
    <row r="2818" ht="10.95" customHeight="true" customFormat="true" s="9">
      <c r="A2818" s="16">
        <v>45170</v>
      </c>
      <c r="B2818" s="17" t="s">
        <v>578</v>
      </c>
      <c r="C2818" s="17" t="s">
        <v>572</v>
      </c>
      <c r="D2818" s="17" t="s">
        <v>22</v>
      </c>
      <c r="E2818" s="17" t="s">
        <v>430</v>
      </c>
      <c r="F2818" s="17"/>
      <c r="G2818" s="18">
        <v>199.6600</v>
      </c>
      <c r="H2818" s="18">
        <v>0</v>
      </c>
      <c r="I2818" s="18">
        <f ca="1">((I2817 + G2818) - H2818)</f>
        <v>0</v>
      </c>
      <c r="J2818" s="18">
        <v>0</v>
      </c>
      <c r="K2818" s="19">
        <v>0</v>
      </c>
      <c r="L2818" s="17"/>
    </row>
    <row r="2819" ht="10.95" customHeight="true" customFormat="true" s="9">
      <c r="A2819" s="16">
        <v>45173</v>
      </c>
      <c r="B2819" s="17" t="s">
        <v>578</v>
      </c>
      <c r="C2819" s="17" t="s">
        <v>572</v>
      </c>
      <c r="D2819" s="17" t="s">
        <v>19</v>
      </c>
      <c r="E2819" s="17" t="s">
        <v>24</v>
      </c>
      <c r="F2819" s="17"/>
      <c r="G2819" s="18">
        <v>0</v>
      </c>
      <c r="H2819" s="18">
        <v>9.0900</v>
      </c>
      <c r="I2819" s="18">
        <f ca="1">((I2818 + G2819) - H2819)</f>
        <v>0</v>
      </c>
      <c r="J2819" s="18">
        <v>0</v>
      </c>
      <c r="K2819" s="19">
        <v>0</v>
      </c>
      <c r="L2819" s="17"/>
    </row>
    <row r="2820" ht="10.95" customHeight="true" customFormat="true" s="9">
      <c r="A2820" s="16">
        <v>45173</v>
      </c>
      <c r="B2820" s="17" t="s">
        <v>578</v>
      </c>
      <c r="C2820" s="17" t="s">
        <v>572</v>
      </c>
      <c r="D2820" s="17" t="s">
        <v>22</v>
      </c>
      <c r="E2820" s="17" t="s">
        <v>34</v>
      </c>
      <c r="F2820" s="17"/>
      <c r="G2820" s="18">
        <v>254.5500</v>
      </c>
      <c r="H2820" s="18">
        <v>0</v>
      </c>
      <c r="I2820" s="18">
        <f ca="1">((I2819 + G2820) - H2820)</f>
        <v>0</v>
      </c>
      <c r="J2820" s="18">
        <v>0</v>
      </c>
      <c r="K2820" s="19">
        <v>0</v>
      </c>
      <c r="L2820" s="17"/>
    </row>
    <row r="2821" ht="10.95" customHeight="true" customFormat="true" s="9">
      <c r="A2821" s="16">
        <v>45173</v>
      </c>
      <c r="B2821" s="17" t="s">
        <v>578</v>
      </c>
      <c r="C2821" s="17" t="s">
        <v>572</v>
      </c>
      <c r="D2821" s="17" t="s">
        <v>19</v>
      </c>
      <c r="E2821" s="17" t="s">
        <v>428</v>
      </c>
      <c r="F2821" s="17"/>
      <c r="G2821" s="18">
        <v>0</v>
      </c>
      <c r="H2821" s="18">
        <v>554.4000</v>
      </c>
      <c r="I2821" s="18">
        <f ca="1">((I2820 + G2821) - H2821)</f>
        <v>0</v>
      </c>
      <c r="J2821" s="18">
        <v>0</v>
      </c>
      <c r="K2821" s="19">
        <v>0</v>
      </c>
      <c r="L2821" s="17"/>
    </row>
    <row r="2822" ht="10.95" customHeight="true" customFormat="true" s="9">
      <c r="A2822" s="16">
        <v>45173</v>
      </c>
      <c r="B2822" s="17" t="s">
        <v>578</v>
      </c>
      <c r="C2822" s="17" t="s">
        <v>572</v>
      </c>
      <c r="D2822" s="17" t="s">
        <v>19</v>
      </c>
      <c r="E2822" s="17" t="s">
        <v>428</v>
      </c>
      <c r="F2822" s="17"/>
      <c r="G2822" s="18">
        <v>0</v>
      </c>
      <c r="H2822" s="18">
        <v>288.5400</v>
      </c>
      <c r="I2822" s="18">
        <f ca="1">((I2821 + G2822) - H2822)</f>
        <v>0</v>
      </c>
      <c r="J2822" s="18">
        <v>0</v>
      </c>
      <c r="K2822" s="19">
        <v>0</v>
      </c>
      <c r="L2822" s="17"/>
    </row>
    <row r="2823" ht="10.95" customHeight="true" customFormat="true" s="9">
      <c r="A2823" s="16">
        <v>45173</v>
      </c>
      <c r="B2823" s="17" t="s">
        <v>578</v>
      </c>
      <c r="C2823" s="17" t="s">
        <v>572</v>
      </c>
      <c r="D2823" s="17" t="s">
        <v>19</v>
      </c>
      <c r="E2823" s="17" t="s">
        <v>428</v>
      </c>
      <c r="F2823" s="17"/>
      <c r="G2823" s="18">
        <v>0</v>
      </c>
      <c r="H2823" s="18">
        <v>702.0400</v>
      </c>
      <c r="I2823" s="18">
        <f ca="1">((I2822 + G2823) - H2823)</f>
        <v>0</v>
      </c>
      <c r="J2823" s="18">
        <v>0</v>
      </c>
      <c r="K2823" s="19">
        <v>0</v>
      </c>
      <c r="L2823" s="17"/>
    </row>
    <row r="2824" ht="10.95" customHeight="true" customFormat="true" s="9">
      <c r="A2824" s="16">
        <v>45174</v>
      </c>
      <c r="B2824" s="17" t="s">
        <v>578</v>
      </c>
      <c r="C2824" s="17" t="s">
        <v>572</v>
      </c>
      <c r="D2824" s="17" t="s">
        <v>19</v>
      </c>
      <c r="E2824" s="17" t="s">
        <v>428</v>
      </c>
      <c r="F2824" s="17"/>
      <c r="G2824" s="18">
        <v>0</v>
      </c>
      <c r="H2824" s="18">
        <v>1.2300</v>
      </c>
      <c r="I2824" s="18">
        <f ca="1">((I2823 + G2824) - H2824)</f>
        <v>0</v>
      </c>
      <c r="J2824" s="18">
        <v>0</v>
      </c>
      <c r="K2824" s="19">
        <v>0</v>
      </c>
      <c r="L2824" s="17"/>
    </row>
    <row r="2825" ht="10.95" customHeight="true" customFormat="true" s="9">
      <c r="A2825" s="16">
        <v>45174</v>
      </c>
      <c r="B2825" s="17" t="s">
        <v>578</v>
      </c>
      <c r="C2825" s="17" t="s">
        <v>572</v>
      </c>
      <c r="D2825" s="17" t="s">
        <v>22</v>
      </c>
      <c r="E2825" s="17" t="s">
        <v>430</v>
      </c>
      <c r="F2825" s="17"/>
      <c r="G2825" s="18">
        <v>150.9600</v>
      </c>
      <c r="H2825" s="18">
        <v>0</v>
      </c>
      <c r="I2825" s="18">
        <f ca="1">((I2824 + G2825) - H2825)</f>
        <v>0</v>
      </c>
      <c r="J2825" s="18">
        <v>0</v>
      </c>
      <c r="K2825" s="19">
        <v>0</v>
      </c>
      <c r="L2825" s="17"/>
    </row>
    <row r="2826" ht="10.95" customHeight="true" customFormat="true" s="9">
      <c r="A2826" s="16">
        <v>45175</v>
      </c>
      <c r="B2826" s="17" t="s">
        <v>578</v>
      </c>
      <c r="C2826" s="17" t="s">
        <v>572</v>
      </c>
      <c r="D2826" s="17" t="s">
        <v>19</v>
      </c>
      <c r="E2826" s="17" t="s">
        <v>428</v>
      </c>
      <c r="F2826" s="17"/>
      <c r="G2826" s="18">
        <v>0</v>
      </c>
      <c r="H2826" s="18">
        <v>217.5500</v>
      </c>
      <c r="I2826" s="18">
        <f ca="1">((I2825 + G2826) - H2826)</f>
        <v>0</v>
      </c>
      <c r="J2826" s="18">
        <v>0</v>
      </c>
      <c r="K2826" s="19">
        <v>0</v>
      </c>
      <c r="L2826" s="17"/>
    </row>
    <row r="2827" ht="10.95" customHeight="true" customFormat="true" s="9">
      <c r="A2827" s="16">
        <v>45176</v>
      </c>
      <c r="B2827" s="17" t="s">
        <v>578</v>
      </c>
      <c r="C2827" s="17" t="s">
        <v>572</v>
      </c>
      <c r="D2827" s="17" t="s">
        <v>19</v>
      </c>
      <c r="E2827" s="17" t="s">
        <v>428</v>
      </c>
      <c r="F2827" s="17"/>
      <c r="G2827" s="18">
        <v>0</v>
      </c>
      <c r="H2827" s="18">
        <v>210.8200</v>
      </c>
      <c r="I2827" s="18">
        <f ca="1">((I2826 + G2827) - H2827)</f>
        <v>0</v>
      </c>
      <c r="J2827" s="18">
        <v>0</v>
      </c>
      <c r="K2827" s="19">
        <v>0</v>
      </c>
      <c r="L2827" s="17"/>
    </row>
    <row r="2828" ht="10.95" customHeight="true" customFormat="true" s="9">
      <c r="A2828" s="16">
        <v>45177</v>
      </c>
      <c r="B2828" s="17" t="s">
        <v>578</v>
      </c>
      <c r="C2828" s="17" t="s">
        <v>572</v>
      </c>
      <c r="D2828" s="17" t="s">
        <v>22</v>
      </c>
      <c r="E2828" s="17" t="s">
        <v>430</v>
      </c>
      <c r="F2828" s="17"/>
      <c r="G2828" s="18">
        <v>188.2600</v>
      </c>
      <c r="H2828" s="18">
        <v>0</v>
      </c>
      <c r="I2828" s="18">
        <f ca="1">((I2827 + G2828) - H2828)</f>
        <v>0</v>
      </c>
      <c r="J2828" s="18">
        <v>0</v>
      </c>
      <c r="K2828" s="19">
        <v>0</v>
      </c>
      <c r="L2828" s="17"/>
    </row>
    <row r="2829" ht="10.95" customHeight="true" customFormat="true" s="9">
      <c r="A2829" s="16">
        <v>45177</v>
      </c>
      <c r="B2829" s="17" t="s">
        <v>578</v>
      </c>
      <c r="C2829" s="17" t="s">
        <v>572</v>
      </c>
      <c r="D2829" s="17" t="s">
        <v>19</v>
      </c>
      <c r="E2829" s="17" t="s">
        <v>428</v>
      </c>
      <c r="F2829" s="17"/>
      <c r="G2829" s="18">
        <v>0</v>
      </c>
      <c r="H2829" s="18">
        <v>257.0000</v>
      </c>
      <c r="I2829" s="18">
        <f ca="1">((I2828 + G2829) - H2829)</f>
        <v>0</v>
      </c>
      <c r="J2829" s="18">
        <v>0</v>
      </c>
      <c r="K2829" s="19">
        <v>0</v>
      </c>
      <c r="L2829" s="17"/>
    </row>
    <row r="2830" ht="10.95" customHeight="true" customFormat="true" s="9">
      <c r="A2830" s="16">
        <v>45180</v>
      </c>
      <c r="B2830" s="17" t="s">
        <v>578</v>
      </c>
      <c r="C2830" s="17" t="s">
        <v>572</v>
      </c>
      <c r="D2830" s="17" t="s">
        <v>22</v>
      </c>
      <c r="E2830" s="17" t="s">
        <v>34</v>
      </c>
      <c r="F2830" s="17"/>
      <c r="G2830" s="18">
        <v>168.1800</v>
      </c>
      <c r="H2830" s="18">
        <v>0</v>
      </c>
      <c r="I2830" s="18">
        <f ca="1">((I2829 + G2830) - H2830)</f>
        <v>0</v>
      </c>
      <c r="J2830" s="18">
        <v>0</v>
      </c>
      <c r="K2830" s="19">
        <v>0</v>
      </c>
      <c r="L2830" s="17"/>
    </row>
    <row r="2831" ht="10.95" customHeight="true" customFormat="true" s="9">
      <c r="A2831" s="16">
        <v>45180</v>
      </c>
      <c r="B2831" s="17" t="s">
        <v>578</v>
      </c>
      <c r="C2831" s="17" t="s">
        <v>572</v>
      </c>
      <c r="D2831" s="17" t="s">
        <v>22</v>
      </c>
      <c r="E2831" s="17" t="s">
        <v>438</v>
      </c>
      <c r="F2831" s="17"/>
      <c r="G2831" s="18">
        <v>1.5100</v>
      </c>
      <c r="H2831" s="18">
        <v>0</v>
      </c>
      <c r="I2831" s="18">
        <f ca="1">((I2830 + G2831) - H2831)</f>
        <v>0</v>
      </c>
      <c r="J2831" s="18">
        <v>0</v>
      </c>
      <c r="K2831" s="19">
        <v>0</v>
      </c>
      <c r="L2831" s="17"/>
    </row>
    <row r="2832" ht="10.95" customHeight="true" customFormat="true" s="9">
      <c r="A2832" s="16">
        <v>45180</v>
      </c>
      <c r="B2832" s="17" t="s">
        <v>578</v>
      </c>
      <c r="C2832" s="17" t="s">
        <v>572</v>
      </c>
      <c r="D2832" s="17" t="s">
        <v>19</v>
      </c>
      <c r="E2832" s="17" t="s">
        <v>428</v>
      </c>
      <c r="F2832" s="17"/>
      <c r="G2832" s="18">
        <v>0</v>
      </c>
      <c r="H2832" s="18">
        <v>275.2100</v>
      </c>
      <c r="I2832" s="18">
        <f ca="1">((I2831 + G2832) - H2832)</f>
        <v>0</v>
      </c>
      <c r="J2832" s="18">
        <v>0</v>
      </c>
      <c r="K2832" s="19">
        <v>0</v>
      </c>
      <c r="L2832" s="17"/>
    </row>
    <row r="2833" ht="10.95" customHeight="true" customFormat="true" s="9">
      <c r="A2833" s="16">
        <v>45180</v>
      </c>
      <c r="B2833" s="17" t="s">
        <v>578</v>
      </c>
      <c r="C2833" s="17" t="s">
        <v>572</v>
      </c>
      <c r="D2833" s="17" t="s">
        <v>19</v>
      </c>
      <c r="E2833" s="17" t="s">
        <v>428</v>
      </c>
      <c r="F2833" s="17"/>
      <c r="G2833" s="18">
        <v>0</v>
      </c>
      <c r="H2833" s="18">
        <v>583.6200</v>
      </c>
      <c r="I2833" s="18">
        <f ca="1">((I2832 + G2833) - H2833)</f>
        <v>0</v>
      </c>
      <c r="J2833" s="18">
        <v>0</v>
      </c>
      <c r="K2833" s="19">
        <v>0</v>
      </c>
      <c r="L2833" s="17"/>
    </row>
    <row r="2834" ht="10.95" customHeight="true" customFormat="true" s="9">
      <c r="A2834" s="16">
        <v>45180</v>
      </c>
      <c r="B2834" s="17" t="s">
        <v>578</v>
      </c>
      <c r="C2834" s="17" t="s">
        <v>572</v>
      </c>
      <c r="D2834" s="17" t="s">
        <v>19</v>
      </c>
      <c r="E2834" s="17" t="s">
        <v>428</v>
      </c>
      <c r="F2834" s="17"/>
      <c r="G2834" s="18">
        <v>0</v>
      </c>
      <c r="H2834" s="18">
        <v>510.7500</v>
      </c>
      <c r="I2834" s="18">
        <f ca="1">((I2833 + G2834) - H2834)</f>
        <v>0</v>
      </c>
      <c r="J2834" s="18">
        <v>0</v>
      </c>
      <c r="K2834" s="19">
        <v>0</v>
      </c>
      <c r="L2834" s="17"/>
    </row>
    <row r="2835" ht="10.95" customHeight="true" customFormat="true" s="9">
      <c r="A2835" s="16">
        <v>45181</v>
      </c>
      <c r="B2835" s="17" t="s">
        <v>578</v>
      </c>
      <c r="C2835" s="17" t="s">
        <v>572</v>
      </c>
      <c r="D2835" s="17" t="s">
        <v>22</v>
      </c>
      <c r="E2835" s="17" t="s">
        <v>430</v>
      </c>
      <c r="F2835" s="17"/>
      <c r="G2835" s="18">
        <v>167.7600</v>
      </c>
      <c r="H2835" s="18">
        <v>0</v>
      </c>
      <c r="I2835" s="18">
        <f ca="1">((I2834 + G2835) - H2835)</f>
        <v>0</v>
      </c>
      <c r="J2835" s="18">
        <v>0</v>
      </c>
      <c r="K2835" s="19">
        <v>0</v>
      </c>
      <c r="L2835" s="17"/>
    </row>
    <row r="2836" ht="10.95" customHeight="true" customFormat="true" s="9">
      <c r="A2836" s="16">
        <v>45182</v>
      </c>
      <c r="B2836" s="17" t="s">
        <v>578</v>
      </c>
      <c r="C2836" s="17" t="s">
        <v>572</v>
      </c>
      <c r="D2836" s="17" t="s">
        <v>19</v>
      </c>
      <c r="E2836" s="17" t="s">
        <v>428</v>
      </c>
      <c r="F2836" s="17"/>
      <c r="G2836" s="18">
        <v>0</v>
      </c>
      <c r="H2836" s="18">
        <v>238.5200</v>
      </c>
      <c r="I2836" s="18">
        <f ca="1">((I2835 + G2836) - H2836)</f>
        <v>0</v>
      </c>
      <c r="J2836" s="18">
        <v>0</v>
      </c>
      <c r="K2836" s="19">
        <v>0</v>
      </c>
      <c r="L2836" s="17"/>
    </row>
    <row r="2837" ht="10.95" customHeight="true" customFormat="true" s="9">
      <c r="A2837" s="16">
        <v>45182</v>
      </c>
      <c r="B2837" s="17" t="s">
        <v>578</v>
      </c>
      <c r="C2837" s="17" t="s">
        <v>572</v>
      </c>
      <c r="D2837" s="17" t="s">
        <v>22</v>
      </c>
      <c r="E2837" s="17" t="s">
        <v>458</v>
      </c>
      <c r="F2837" s="17"/>
      <c r="G2837" s="18">
        <v>841.6800</v>
      </c>
      <c r="H2837" s="18">
        <v>0</v>
      </c>
      <c r="I2837" s="18">
        <f ca="1">((I2836 + G2837) - H2837)</f>
        <v>0</v>
      </c>
      <c r="J2837" s="18">
        <v>0</v>
      </c>
      <c r="K2837" s="19">
        <v>0</v>
      </c>
      <c r="L2837" s="17"/>
    </row>
    <row r="2838" ht="10.95" customHeight="true" customFormat="true" s="9">
      <c r="A2838" s="16">
        <v>45183</v>
      </c>
      <c r="B2838" s="17" t="s">
        <v>578</v>
      </c>
      <c r="C2838" s="17" t="s">
        <v>572</v>
      </c>
      <c r="D2838" s="17" t="s">
        <v>19</v>
      </c>
      <c r="E2838" s="17" t="s">
        <v>24</v>
      </c>
      <c r="F2838" s="17"/>
      <c r="G2838" s="18">
        <v>0</v>
      </c>
      <c r="H2838" s="18">
        <v>18.1800</v>
      </c>
      <c r="I2838" s="18">
        <f ca="1">((I2837 + G2838) - H2838)</f>
        <v>0</v>
      </c>
      <c r="J2838" s="18">
        <v>0</v>
      </c>
      <c r="K2838" s="19">
        <v>0</v>
      </c>
      <c r="L2838" s="17"/>
    </row>
    <row r="2839" ht="10.95" customHeight="true" customFormat="true" s="9">
      <c r="A2839" s="16">
        <v>45183</v>
      </c>
      <c r="B2839" s="17" t="s">
        <v>578</v>
      </c>
      <c r="C2839" s="17" t="s">
        <v>572</v>
      </c>
      <c r="D2839" s="17" t="s">
        <v>22</v>
      </c>
      <c r="E2839" s="17" t="s">
        <v>298</v>
      </c>
      <c r="F2839" s="17"/>
      <c r="G2839" s="18">
        <v>544.0000</v>
      </c>
      <c r="H2839" s="18">
        <v>0</v>
      </c>
      <c r="I2839" s="18">
        <f ca="1">((I2838 + G2839) - H2839)</f>
        <v>0</v>
      </c>
      <c r="J2839" s="18">
        <v>0</v>
      </c>
      <c r="K2839" s="19">
        <v>0</v>
      </c>
      <c r="L2839" s="17"/>
    </row>
    <row r="2840" ht="10.95" customHeight="true" customFormat="true" s="9">
      <c r="A2840" s="16">
        <v>45183</v>
      </c>
      <c r="B2840" s="17" t="s">
        <v>578</v>
      </c>
      <c r="C2840" s="17" t="s">
        <v>572</v>
      </c>
      <c r="D2840" s="17" t="s">
        <v>19</v>
      </c>
      <c r="E2840" s="17" t="s">
        <v>428</v>
      </c>
      <c r="F2840" s="17"/>
      <c r="G2840" s="18">
        <v>0</v>
      </c>
      <c r="H2840" s="18">
        <v>238.3000</v>
      </c>
      <c r="I2840" s="18">
        <f ca="1">((I2839 + G2840) - H2840)</f>
        <v>0</v>
      </c>
      <c r="J2840" s="18">
        <v>0</v>
      </c>
      <c r="K2840" s="19">
        <v>0</v>
      </c>
      <c r="L2840" s="17"/>
    </row>
    <row r="2841" ht="10.95" customHeight="true" customFormat="true" s="9">
      <c r="A2841" s="16">
        <v>45184</v>
      </c>
      <c r="B2841" s="17" t="s">
        <v>578</v>
      </c>
      <c r="C2841" s="17" t="s">
        <v>572</v>
      </c>
      <c r="D2841" s="17" t="s">
        <v>22</v>
      </c>
      <c r="E2841" s="17" t="s">
        <v>430</v>
      </c>
      <c r="F2841" s="17"/>
      <c r="G2841" s="18">
        <v>176.1500</v>
      </c>
      <c r="H2841" s="18">
        <v>0</v>
      </c>
      <c r="I2841" s="18">
        <f ca="1">((I2840 + G2841) - H2841)</f>
        <v>0</v>
      </c>
      <c r="J2841" s="18">
        <v>0</v>
      </c>
      <c r="K2841" s="19">
        <v>0</v>
      </c>
      <c r="L2841" s="17"/>
    </row>
    <row r="2842" ht="10.95" customHeight="true" customFormat="true" s="9">
      <c r="A2842" s="16">
        <v>45184</v>
      </c>
      <c r="B2842" s="17" t="s">
        <v>578</v>
      </c>
      <c r="C2842" s="17" t="s">
        <v>572</v>
      </c>
      <c r="D2842" s="17" t="s">
        <v>22</v>
      </c>
      <c r="E2842" s="17" t="s">
        <v>459</v>
      </c>
      <c r="F2842" s="17"/>
      <c r="G2842" s="18">
        <v>18.9000</v>
      </c>
      <c r="H2842" s="18">
        <v>0</v>
      </c>
      <c r="I2842" s="18">
        <f ca="1">((I2841 + G2842) - H2842)</f>
        <v>0</v>
      </c>
      <c r="J2842" s="18">
        <v>0</v>
      </c>
      <c r="K2842" s="19">
        <v>0</v>
      </c>
      <c r="L2842" s="17"/>
    </row>
    <row r="2843" ht="10.95" customHeight="true" customFormat="true" s="9">
      <c r="A2843" s="16">
        <v>45184</v>
      </c>
      <c r="B2843" s="17" t="s">
        <v>578</v>
      </c>
      <c r="C2843" s="17" t="s">
        <v>572</v>
      </c>
      <c r="D2843" s="17" t="s">
        <v>22</v>
      </c>
      <c r="E2843" s="17" t="s">
        <v>434</v>
      </c>
      <c r="F2843" s="17"/>
      <c r="G2843" s="18">
        <v>33.1800</v>
      </c>
      <c r="H2843" s="18">
        <v>0</v>
      </c>
      <c r="I2843" s="18">
        <f ca="1">((I2842 + G2843) - H2843)</f>
        <v>0</v>
      </c>
      <c r="J2843" s="18">
        <v>0</v>
      </c>
      <c r="K2843" s="19">
        <v>0</v>
      </c>
      <c r="L2843" s="17"/>
    </row>
    <row r="2844" ht="10.95" customHeight="true" customFormat="true" s="9">
      <c r="A2844" s="16">
        <v>45184</v>
      </c>
      <c r="B2844" s="17" t="s">
        <v>578</v>
      </c>
      <c r="C2844" s="17" t="s">
        <v>572</v>
      </c>
      <c r="D2844" s="17" t="s">
        <v>19</v>
      </c>
      <c r="E2844" s="17" t="s">
        <v>428</v>
      </c>
      <c r="F2844" s="17"/>
      <c r="G2844" s="18">
        <v>0</v>
      </c>
      <c r="H2844" s="18">
        <v>234.0100</v>
      </c>
      <c r="I2844" s="18">
        <f ca="1">((I2843 + G2844) - H2844)</f>
        <v>0</v>
      </c>
      <c r="J2844" s="18">
        <v>0</v>
      </c>
      <c r="K2844" s="19">
        <v>0</v>
      </c>
      <c r="L2844" s="17"/>
    </row>
    <row r="2845" ht="10.95" customHeight="true" customFormat="true" s="9">
      <c r="A2845" s="16">
        <v>45187</v>
      </c>
      <c r="B2845" s="17" t="s">
        <v>578</v>
      </c>
      <c r="C2845" s="17" t="s">
        <v>572</v>
      </c>
      <c r="D2845" s="17" t="s">
        <v>19</v>
      </c>
      <c r="E2845" s="17" t="s">
        <v>24</v>
      </c>
      <c r="F2845" s="17"/>
      <c r="G2845" s="18">
        <v>0</v>
      </c>
      <c r="H2845" s="18">
        <v>22.7300</v>
      </c>
      <c r="I2845" s="18">
        <f ca="1">((I2844 + G2845) - H2845)</f>
        <v>0</v>
      </c>
      <c r="J2845" s="18">
        <v>0</v>
      </c>
      <c r="K2845" s="19">
        <v>0</v>
      </c>
      <c r="L2845" s="17"/>
    </row>
    <row r="2846" ht="10.95" customHeight="true" customFormat="true" s="9">
      <c r="A2846" s="16">
        <v>45187</v>
      </c>
      <c r="B2846" s="17" t="s">
        <v>578</v>
      </c>
      <c r="C2846" s="17" t="s">
        <v>572</v>
      </c>
      <c r="D2846" s="17" t="s">
        <v>19</v>
      </c>
      <c r="E2846" s="17" t="s">
        <v>428</v>
      </c>
      <c r="F2846" s="17"/>
      <c r="G2846" s="18">
        <v>0</v>
      </c>
      <c r="H2846" s="18">
        <v>568.8400</v>
      </c>
      <c r="I2846" s="18">
        <f ca="1">((I2845 + G2846) - H2846)</f>
        <v>0</v>
      </c>
      <c r="J2846" s="18">
        <v>0</v>
      </c>
      <c r="K2846" s="19">
        <v>0</v>
      </c>
      <c r="L2846" s="17"/>
    </row>
    <row r="2847" ht="10.95" customHeight="true" customFormat="true" s="9">
      <c r="A2847" s="16">
        <v>45187</v>
      </c>
      <c r="B2847" s="17" t="s">
        <v>578</v>
      </c>
      <c r="C2847" s="17" t="s">
        <v>572</v>
      </c>
      <c r="D2847" s="17" t="s">
        <v>22</v>
      </c>
      <c r="E2847" s="17" t="s">
        <v>436</v>
      </c>
      <c r="F2847" s="17"/>
      <c r="G2847" s="18">
        <v>9.8200</v>
      </c>
      <c r="H2847" s="18">
        <v>0</v>
      </c>
      <c r="I2847" s="18">
        <f ca="1">((I2846 + G2847) - H2847)</f>
        <v>0</v>
      </c>
      <c r="J2847" s="18">
        <v>0</v>
      </c>
      <c r="K2847" s="19">
        <v>0</v>
      </c>
      <c r="L2847" s="17"/>
    </row>
    <row r="2848" ht="10.95" customHeight="true" customFormat="true" s="9">
      <c r="A2848" s="16">
        <v>45187</v>
      </c>
      <c r="B2848" s="17" t="s">
        <v>578</v>
      </c>
      <c r="C2848" s="17" t="s">
        <v>572</v>
      </c>
      <c r="D2848" s="17" t="s">
        <v>22</v>
      </c>
      <c r="E2848" s="17" t="s">
        <v>34</v>
      </c>
      <c r="F2848" s="17"/>
      <c r="G2848" s="18">
        <v>172.7300</v>
      </c>
      <c r="H2848" s="18">
        <v>0</v>
      </c>
      <c r="I2848" s="18">
        <f ca="1">((I2847 + G2848) - H2848)</f>
        <v>0</v>
      </c>
      <c r="J2848" s="18">
        <v>0</v>
      </c>
      <c r="K2848" s="19">
        <v>0</v>
      </c>
      <c r="L2848" s="17"/>
    </row>
    <row r="2849" ht="10.95" customHeight="true" customFormat="true" s="9">
      <c r="A2849" s="16">
        <v>45187</v>
      </c>
      <c r="B2849" s="17" t="s">
        <v>578</v>
      </c>
      <c r="C2849" s="17" t="s">
        <v>572</v>
      </c>
      <c r="D2849" s="17" t="s">
        <v>19</v>
      </c>
      <c r="E2849" s="17" t="s">
        <v>428</v>
      </c>
      <c r="F2849" s="17"/>
      <c r="G2849" s="18">
        <v>0</v>
      </c>
      <c r="H2849" s="18">
        <v>471.8900</v>
      </c>
      <c r="I2849" s="18">
        <f ca="1">((I2848 + G2849) - H2849)</f>
        <v>0</v>
      </c>
      <c r="J2849" s="18">
        <v>0</v>
      </c>
      <c r="K2849" s="19">
        <v>0</v>
      </c>
      <c r="L2849" s="17"/>
    </row>
    <row r="2850" ht="10.95" customHeight="true" customFormat="true" s="9">
      <c r="A2850" s="16">
        <v>45187</v>
      </c>
      <c r="B2850" s="17" t="s">
        <v>578</v>
      </c>
      <c r="C2850" s="17" t="s">
        <v>572</v>
      </c>
      <c r="D2850" s="17" t="s">
        <v>19</v>
      </c>
      <c r="E2850" s="17" t="s">
        <v>428</v>
      </c>
      <c r="F2850" s="17"/>
      <c r="G2850" s="18">
        <v>0</v>
      </c>
      <c r="H2850" s="18">
        <v>281.6200</v>
      </c>
      <c r="I2850" s="18">
        <f ca="1">((I2849 + G2850) - H2850)</f>
        <v>0</v>
      </c>
      <c r="J2850" s="18">
        <v>0</v>
      </c>
      <c r="K2850" s="19">
        <v>0</v>
      </c>
      <c r="L2850" s="17"/>
    </row>
    <row r="2851" ht="10.95" customHeight="true" customFormat="true" s="9">
      <c r="A2851" s="16">
        <v>45187</v>
      </c>
      <c r="B2851" s="17" t="s">
        <v>578</v>
      </c>
      <c r="C2851" s="17" t="s">
        <v>572</v>
      </c>
      <c r="D2851" s="17" t="s">
        <v>22</v>
      </c>
      <c r="E2851" s="17" t="s">
        <v>438</v>
      </c>
      <c r="F2851" s="17"/>
      <c r="G2851" s="18">
        <v>1.3600</v>
      </c>
      <c r="H2851" s="18">
        <v>0</v>
      </c>
      <c r="I2851" s="18">
        <f ca="1">((I2850 + G2851) - H2851)</f>
        <v>0</v>
      </c>
      <c r="J2851" s="18">
        <v>0</v>
      </c>
      <c r="K2851" s="19">
        <v>0</v>
      </c>
      <c r="L2851" s="17"/>
    </row>
    <row r="2852" ht="10.95" customHeight="true" customFormat="true" s="9">
      <c r="A2852" s="16">
        <v>45188</v>
      </c>
      <c r="B2852" s="17" t="s">
        <v>578</v>
      </c>
      <c r="C2852" s="17" t="s">
        <v>572</v>
      </c>
      <c r="D2852" s="17" t="s">
        <v>22</v>
      </c>
      <c r="E2852" s="17" t="s">
        <v>430</v>
      </c>
      <c r="F2852" s="17"/>
      <c r="G2852" s="18">
        <v>183.4000</v>
      </c>
      <c r="H2852" s="18">
        <v>0</v>
      </c>
      <c r="I2852" s="18">
        <f ca="1">((I2851 + G2852) - H2852)</f>
        <v>0</v>
      </c>
      <c r="J2852" s="18">
        <v>0</v>
      </c>
      <c r="K2852" s="19">
        <v>0</v>
      </c>
      <c r="L2852" s="17"/>
    </row>
    <row r="2853" ht="10.95" customHeight="true" customFormat="true" s="9">
      <c r="A2853" s="16">
        <v>45189</v>
      </c>
      <c r="B2853" s="17" t="s">
        <v>578</v>
      </c>
      <c r="C2853" s="17" t="s">
        <v>572</v>
      </c>
      <c r="D2853" s="17" t="s">
        <v>19</v>
      </c>
      <c r="E2853" s="17" t="s">
        <v>24</v>
      </c>
      <c r="F2853" s="17"/>
      <c r="G2853" s="18">
        <v>0</v>
      </c>
      <c r="H2853" s="18">
        <v>31.3600</v>
      </c>
      <c r="I2853" s="18">
        <f ca="1">((I2852 + G2853) - H2853)</f>
        <v>0</v>
      </c>
      <c r="J2853" s="18">
        <v>0</v>
      </c>
      <c r="K2853" s="19">
        <v>0</v>
      </c>
      <c r="L2853" s="17"/>
    </row>
    <row r="2854" ht="10.95" customHeight="true" customFormat="true" s="9">
      <c r="A2854" s="16">
        <v>45189</v>
      </c>
      <c r="B2854" s="17" t="s">
        <v>578</v>
      </c>
      <c r="C2854" s="17" t="s">
        <v>572</v>
      </c>
      <c r="D2854" s="17" t="s">
        <v>19</v>
      </c>
      <c r="E2854" s="17" t="s">
        <v>428</v>
      </c>
      <c r="F2854" s="17"/>
      <c r="G2854" s="18">
        <v>0</v>
      </c>
      <c r="H2854" s="18">
        <v>205.8200</v>
      </c>
      <c r="I2854" s="18">
        <f ca="1">((I2853 + G2854) - H2854)</f>
        <v>0</v>
      </c>
      <c r="J2854" s="18">
        <v>0</v>
      </c>
      <c r="K2854" s="19">
        <v>0</v>
      </c>
      <c r="L2854" s="17"/>
    </row>
    <row r="2855" ht="10.95" customHeight="true" customFormat="true" s="9">
      <c r="A2855" s="16">
        <v>45190</v>
      </c>
      <c r="B2855" s="17" t="s">
        <v>578</v>
      </c>
      <c r="C2855" s="17" t="s">
        <v>572</v>
      </c>
      <c r="D2855" s="17" t="s">
        <v>19</v>
      </c>
      <c r="E2855" s="17" t="s">
        <v>428</v>
      </c>
      <c r="F2855" s="17"/>
      <c r="G2855" s="18">
        <v>0</v>
      </c>
      <c r="H2855" s="18">
        <v>192.4000</v>
      </c>
      <c r="I2855" s="18">
        <f ca="1">((I2854 + G2855) - H2855)</f>
        <v>0</v>
      </c>
      <c r="J2855" s="18">
        <v>0</v>
      </c>
      <c r="K2855" s="19">
        <v>0</v>
      </c>
      <c r="L2855" s="17"/>
    </row>
    <row r="2856" ht="10.95" customHeight="true" customFormat="true" s="9">
      <c r="A2856" s="16">
        <v>45191</v>
      </c>
      <c r="B2856" s="17" t="s">
        <v>578</v>
      </c>
      <c r="C2856" s="17" t="s">
        <v>572</v>
      </c>
      <c r="D2856" s="17" t="s">
        <v>19</v>
      </c>
      <c r="E2856" s="17" t="s">
        <v>428</v>
      </c>
      <c r="F2856" s="17"/>
      <c r="G2856" s="18">
        <v>0</v>
      </c>
      <c r="H2856" s="18">
        <v>226.9100</v>
      </c>
      <c r="I2856" s="18">
        <f ca="1">((I2855 + G2856) - H2856)</f>
        <v>0</v>
      </c>
      <c r="J2856" s="18">
        <v>0</v>
      </c>
      <c r="K2856" s="19">
        <v>0</v>
      </c>
      <c r="L2856" s="17"/>
    </row>
    <row r="2857" ht="10.95" customHeight="true" customFormat="true" s="9">
      <c r="A2857" s="16">
        <v>45191</v>
      </c>
      <c r="B2857" s="17" t="s">
        <v>578</v>
      </c>
      <c r="C2857" s="17" t="s">
        <v>572</v>
      </c>
      <c r="D2857" s="17" t="s">
        <v>22</v>
      </c>
      <c r="E2857" s="17" t="s">
        <v>461</v>
      </c>
      <c r="F2857" s="17"/>
      <c r="G2857" s="18">
        <v>300.2300</v>
      </c>
      <c r="H2857" s="18">
        <v>0</v>
      </c>
      <c r="I2857" s="18">
        <f ca="1">((I2856 + G2857) - H2857)</f>
        <v>0</v>
      </c>
      <c r="J2857" s="18">
        <v>0</v>
      </c>
      <c r="K2857" s="19">
        <v>0</v>
      </c>
      <c r="L2857" s="17"/>
    </row>
    <row r="2858" ht="10.95" customHeight="true" customFormat="true" s="9">
      <c r="A2858" s="16">
        <v>45191</v>
      </c>
      <c r="B2858" s="17" t="s">
        <v>578</v>
      </c>
      <c r="C2858" s="17" t="s">
        <v>572</v>
      </c>
      <c r="D2858" s="17" t="s">
        <v>22</v>
      </c>
      <c r="E2858" s="17" t="s">
        <v>430</v>
      </c>
      <c r="F2858" s="17"/>
      <c r="G2858" s="18">
        <v>147.6000</v>
      </c>
      <c r="H2858" s="18">
        <v>0</v>
      </c>
      <c r="I2858" s="18">
        <f ca="1">((I2857 + G2858) - H2858)</f>
        <v>0</v>
      </c>
      <c r="J2858" s="18">
        <v>0</v>
      </c>
      <c r="K2858" s="19">
        <v>0</v>
      </c>
      <c r="L2858" s="17"/>
    </row>
    <row r="2859" ht="10.95" customHeight="true" customFormat="true" s="9">
      <c r="A2859" s="16">
        <v>45194</v>
      </c>
      <c r="B2859" s="17" t="s">
        <v>578</v>
      </c>
      <c r="C2859" s="17" t="s">
        <v>572</v>
      </c>
      <c r="D2859" s="17" t="s">
        <v>22</v>
      </c>
      <c r="E2859" s="17" t="s">
        <v>34</v>
      </c>
      <c r="F2859" s="17"/>
      <c r="G2859" s="18">
        <v>228.3200</v>
      </c>
      <c r="H2859" s="18">
        <v>0</v>
      </c>
      <c r="I2859" s="18">
        <f ca="1">((I2858 + G2859) - H2859)</f>
        <v>0</v>
      </c>
      <c r="J2859" s="18">
        <v>0</v>
      </c>
      <c r="K2859" s="19">
        <v>0</v>
      </c>
      <c r="L2859" s="17"/>
    </row>
    <row r="2860" ht="10.95" customHeight="true" customFormat="true" s="9">
      <c r="A2860" s="16">
        <v>45194</v>
      </c>
      <c r="B2860" s="17" t="s">
        <v>578</v>
      </c>
      <c r="C2860" s="17" t="s">
        <v>572</v>
      </c>
      <c r="D2860" s="17" t="s">
        <v>19</v>
      </c>
      <c r="E2860" s="17" t="s">
        <v>428</v>
      </c>
      <c r="F2860" s="17"/>
      <c r="G2860" s="18">
        <v>0</v>
      </c>
      <c r="H2860" s="18">
        <v>324.3800</v>
      </c>
      <c r="I2860" s="18">
        <f ca="1">((I2859 + G2860) - H2860)</f>
        <v>0</v>
      </c>
      <c r="J2860" s="18">
        <v>0</v>
      </c>
      <c r="K2860" s="19">
        <v>0</v>
      </c>
      <c r="L2860" s="17"/>
    </row>
    <row r="2861" ht="10.95" customHeight="true" customFormat="true" s="9">
      <c r="A2861" s="16">
        <v>45194</v>
      </c>
      <c r="B2861" s="17" t="s">
        <v>578</v>
      </c>
      <c r="C2861" s="17" t="s">
        <v>572</v>
      </c>
      <c r="D2861" s="17" t="s">
        <v>19</v>
      </c>
      <c r="E2861" s="17" t="s">
        <v>428</v>
      </c>
      <c r="F2861" s="17"/>
      <c r="G2861" s="18">
        <v>0</v>
      </c>
      <c r="H2861" s="18">
        <v>540.4100</v>
      </c>
      <c r="I2861" s="18">
        <f ca="1">((I2860 + G2861) - H2861)</f>
        <v>0</v>
      </c>
      <c r="J2861" s="18">
        <v>0</v>
      </c>
      <c r="K2861" s="19">
        <v>0</v>
      </c>
      <c r="L2861" s="17"/>
    </row>
    <row r="2862" ht="10.95" customHeight="true" customFormat="true" s="9">
      <c r="A2862" s="16">
        <v>45194</v>
      </c>
      <c r="B2862" s="17" t="s">
        <v>578</v>
      </c>
      <c r="C2862" s="17" t="s">
        <v>572</v>
      </c>
      <c r="D2862" s="17" t="s">
        <v>19</v>
      </c>
      <c r="E2862" s="17" t="s">
        <v>428</v>
      </c>
      <c r="F2862" s="17"/>
      <c r="G2862" s="18">
        <v>0</v>
      </c>
      <c r="H2862" s="18">
        <v>585.5300</v>
      </c>
      <c r="I2862" s="18">
        <f ca="1">((I2861 + G2862) - H2862)</f>
        <v>0</v>
      </c>
      <c r="J2862" s="18">
        <v>0</v>
      </c>
      <c r="K2862" s="19">
        <v>0</v>
      </c>
      <c r="L2862" s="17"/>
    </row>
    <row r="2863" ht="10.95" customHeight="true" customFormat="true" s="9">
      <c r="A2863" s="16">
        <v>45194</v>
      </c>
      <c r="B2863" s="17" t="s">
        <v>578</v>
      </c>
      <c r="C2863" s="17" t="s">
        <v>572</v>
      </c>
      <c r="D2863" s="17" t="s">
        <v>22</v>
      </c>
      <c r="E2863" s="17" t="s">
        <v>442</v>
      </c>
      <c r="F2863" s="17"/>
      <c r="G2863" s="18">
        <v>15.4200</v>
      </c>
      <c r="H2863" s="18">
        <v>0</v>
      </c>
      <c r="I2863" s="18">
        <f ca="1">((I2862 + G2863) - H2863)</f>
        <v>0</v>
      </c>
      <c r="J2863" s="18">
        <v>0</v>
      </c>
      <c r="K2863" s="19">
        <v>0</v>
      </c>
      <c r="L2863" s="17"/>
    </row>
    <row r="2864" ht="10.95" customHeight="true" customFormat="true" s="9">
      <c r="A2864" s="16">
        <v>45196</v>
      </c>
      <c r="B2864" s="17" t="s">
        <v>578</v>
      </c>
      <c r="C2864" s="17" t="s">
        <v>572</v>
      </c>
      <c r="D2864" s="17" t="s">
        <v>22</v>
      </c>
      <c r="E2864" s="17" t="s">
        <v>430</v>
      </c>
      <c r="F2864" s="17"/>
      <c r="G2864" s="18">
        <v>184.6700</v>
      </c>
      <c r="H2864" s="18">
        <v>0</v>
      </c>
      <c r="I2864" s="18">
        <f ca="1">((I2863 + G2864) - H2864)</f>
        <v>0</v>
      </c>
      <c r="J2864" s="18">
        <v>0</v>
      </c>
      <c r="K2864" s="19">
        <v>0</v>
      </c>
      <c r="L2864" s="17"/>
    </row>
    <row r="2865" ht="10.95" customHeight="true" customFormat="true" s="9">
      <c r="A2865" s="16">
        <v>45196</v>
      </c>
      <c r="B2865" s="17" t="s">
        <v>578</v>
      </c>
      <c r="C2865" s="17" t="s">
        <v>572</v>
      </c>
      <c r="D2865" s="17" t="s">
        <v>19</v>
      </c>
      <c r="E2865" s="17" t="s">
        <v>428</v>
      </c>
      <c r="F2865" s="17"/>
      <c r="G2865" s="18">
        <v>0</v>
      </c>
      <c r="H2865" s="18">
        <v>226.2100</v>
      </c>
      <c r="I2865" s="18">
        <f ca="1">((I2864 + G2865) - H2865)</f>
        <v>0</v>
      </c>
      <c r="J2865" s="18">
        <v>0</v>
      </c>
      <c r="K2865" s="19">
        <v>0</v>
      </c>
      <c r="L2865" s="17"/>
    </row>
    <row r="2866" ht="10.95" customHeight="true" customFormat="true" s="9">
      <c r="A2866" s="16">
        <v>45197</v>
      </c>
      <c r="B2866" s="17" t="s">
        <v>578</v>
      </c>
      <c r="C2866" s="17" t="s">
        <v>572</v>
      </c>
      <c r="D2866" s="17" t="s">
        <v>19</v>
      </c>
      <c r="E2866" s="17" t="s">
        <v>428</v>
      </c>
      <c r="F2866" s="17"/>
      <c r="G2866" s="18">
        <v>0</v>
      </c>
      <c r="H2866" s="18">
        <v>225.2500</v>
      </c>
      <c r="I2866" s="18">
        <f ca="1">((I2865 + G2866) - H2866)</f>
        <v>0</v>
      </c>
      <c r="J2866" s="18">
        <v>0</v>
      </c>
      <c r="K2866" s="19">
        <v>0</v>
      </c>
      <c r="L2866" s="17"/>
    </row>
    <row r="2867" ht="10.95" customHeight="true" customFormat="true" s="9">
      <c r="A2867" s="16">
        <v>45198</v>
      </c>
      <c r="B2867" s="17" t="s">
        <v>578</v>
      </c>
      <c r="C2867" s="17" t="s">
        <v>572</v>
      </c>
      <c r="D2867" s="17" t="s">
        <v>19</v>
      </c>
      <c r="E2867" s="17" t="s">
        <v>428</v>
      </c>
      <c r="F2867" s="17"/>
      <c r="G2867" s="18">
        <v>0</v>
      </c>
      <c r="H2867" s="18">
        <v>258.9400</v>
      </c>
      <c r="I2867" s="18">
        <f ca="1">((I2866 + G2867) - H2867)</f>
        <v>0</v>
      </c>
      <c r="J2867" s="18">
        <v>0</v>
      </c>
      <c r="K2867" s="19">
        <v>0</v>
      </c>
      <c r="L2867" s="17"/>
    </row>
    <row r="2868" ht="10.95" customHeight="true" customFormat="true" s="9">
      <c r="A2868" s="16">
        <v>45199</v>
      </c>
      <c r="B2868" s="17" t="s">
        <v>578</v>
      </c>
      <c r="C2868" s="17" t="s">
        <v>572</v>
      </c>
      <c r="D2868" s="17" t="s">
        <v>25</v>
      </c>
      <c r="E2868" s="17" t="s">
        <v>29</v>
      </c>
      <c r="F2868" s="17" t="s">
        <v>27</v>
      </c>
      <c r="G2868" s="18">
        <v>7929.4100</v>
      </c>
      <c r="H2868" s="18">
        <v>0</v>
      </c>
      <c r="I2868" s="18">
        <f ca="1">((I2867 + G2868) - H2868)</f>
        <v>0</v>
      </c>
      <c r="J2868" s="18">
        <v>0</v>
      </c>
      <c r="K2868" s="19">
        <v>0</v>
      </c>
      <c r="L2868" s="17" t="s">
        <v>28</v>
      </c>
    </row>
    <row r="2869" ht="10.95" customHeight="true" customFormat="true" s="9">
      <c r="A2869" s="16">
        <v>45199</v>
      </c>
      <c r="B2869" s="17" t="s">
        <v>578</v>
      </c>
      <c r="C2869" s="17" t="s">
        <v>572</v>
      </c>
      <c r="D2869" s="17" t="s">
        <v>25</v>
      </c>
      <c r="E2869" s="17" t="s">
        <v>579</v>
      </c>
      <c r="F2869" s="17" t="s">
        <v>27</v>
      </c>
      <c r="G2869" s="18">
        <v>8973.0000</v>
      </c>
      <c r="H2869" s="18">
        <v>0</v>
      </c>
      <c r="I2869" s="18">
        <f ca="1">((I2868 + G2869) - H2869)</f>
        <v>0</v>
      </c>
      <c r="J2869" s="18">
        <v>0</v>
      </c>
      <c r="K2869" s="19">
        <v>0</v>
      </c>
      <c r="L2869" s="17" t="s">
        <v>28</v>
      </c>
    </row>
    <row r="2870" ht="10.95" customHeight="true" customFormat="true" s="9">
      <c r="A2870" s="16">
        <v>45199</v>
      </c>
      <c r="B2870" s="17" t="s">
        <v>578</v>
      </c>
      <c r="C2870" s="17" t="s">
        <v>572</v>
      </c>
      <c r="D2870" s="17" t="s">
        <v>25</v>
      </c>
      <c r="E2870" s="17" t="s">
        <v>580</v>
      </c>
      <c r="F2870" s="17" t="s">
        <v>27</v>
      </c>
      <c r="G2870" s="18">
        <v>0</v>
      </c>
      <c r="H2870" s="18">
        <v>649.7800</v>
      </c>
      <c r="I2870" s="18">
        <f ca="1">((I2869 + G2870) - H2870)</f>
        <v>0</v>
      </c>
      <c r="J2870" s="18">
        <v>0</v>
      </c>
      <c r="K2870" s="19">
        <v>0</v>
      </c>
      <c r="L2870" s="17"/>
    </row>
    <row r="2871" ht="10.95" customHeight="true" customFormat="true" s="9">
      <c r="A2871" s="16">
        <v>45201</v>
      </c>
      <c r="B2871" s="17" t="s">
        <v>578</v>
      </c>
      <c r="C2871" s="17" t="s">
        <v>572</v>
      </c>
      <c r="D2871" s="17" t="s">
        <v>22</v>
      </c>
      <c r="E2871" s="17" t="s">
        <v>430</v>
      </c>
      <c r="F2871" s="17"/>
      <c r="G2871" s="18">
        <v>217.4000</v>
      </c>
      <c r="H2871" s="18">
        <v>0</v>
      </c>
      <c r="I2871" s="18">
        <f ca="1">((I2870 + G2871) - H2871)</f>
        <v>0</v>
      </c>
      <c r="J2871" s="18">
        <v>0</v>
      </c>
      <c r="K2871" s="19">
        <v>0</v>
      </c>
      <c r="L2871" s="17"/>
    </row>
    <row r="2872" ht="10.95" customHeight="true" customFormat="true" s="9">
      <c r="A2872" s="16">
        <v>45201</v>
      </c>
      <c r="B2872" s="17" t="s">
        <v>578</v>
      </c>
      <c r="C2872" s="17" t="s">
        <v>572</v>
      </c>
      <c r="D2872" s="17" t="s">
        <v>19</v>
      </c>
      <c r="E2872" s="17" t="s">
        <v>428</v>
      </c>
      <c r="F2872" s="17"/>
      <c r="G2872" s="18">
        <v>0</v>
      </c>
      <c r="H2872" s="18">
        <v>407.0200</v>
      </c>
      <c r="I2872" s="18">
        <f ca="1">((I2871 + G2872) - H2872)</f>
        <v>0</v>
      </c>
      <c r="J2872" s="18">
        <v>0</v>
      </c>
      <c r="K2872" s="19">
        <v>0</v>
      </c>
      <c r="L2872" s="17"/>
    </row>
    <row r="2873" ht="10.95" customHeight="true" customFormat="true" s="9">
      <c r="A2873" s="16">
        <v>45201</v>
      </c>
      <c r="B2873" s="17" t="s">
        <v>578</v>
      </c>
      <c r="C2873" s="17" t="s">
        <v>572</v>
      </c>
      <c r="D2873" s="17" t="s">
        <v>19</v>
      </c>
      <c r="E2873" s="17" t="s">
        <v>428</v>
      </c>
      <c r="F2873" s="17"/>
      <c r="G2873" s="18">
        <v>0</v>
      </c>
      <c r="H2873" s="18">
        <v>306.2500</v>
      </c>
      <c r="I2873" s="18">
        <f ca="1">((I2872 + G2873) - H2873)</f>
        <v>0</v>
      </c>
      <c r="J2873" s="18">
        <v>0</v>
      </c>
      <c r="K2873" s="19">
        <v>0</v>
      </c>
      <c r="L2873" s="17"/>
    </row>
    <row r="2874" ht="10.95" customHeight="true" customFormat="true" s="9">
      <c r="A2874" s="16">
        <v>45201</v>
      </c>
      <c r="B2874" s="17" t="s">
        <v>578</v>
      </c>
      <c r="C2874" s="17" t="s">
        <v>572</v>
      </c>
      <c r="D2874" s="17" t="s">
        <v>19</v>
      </c>
      <c r="E2874" s="17" t="s">
        <v>428</v>
      </c>
      <c r="F2874" s="17"/>
      <c r="G2874" s="18">
        <v>0</v>
      </c>
      <c r="H2874" s="18">
        <v>500.4500</v>
      </c>
      <c r="I2874" s="18">
        <f ca="1">((I2873 + G2874) - H2874)</f>
        <v>0</v>
      </c>
      <c r="J2874" s="18">
        <v>0</v>
      </c>
      <c r="K2874" s="19">
        <v>0</v>
      </c>
      <c r="L2874" s="17"/>
    </row>
    <row r="2875" ht="10.95" customHeight="true" customFormat="true" s="9">
      <c r="A2875" s="16">
        <v>45201</v>
      </c>
      <c r="B2875" s="17" t="s">
        <v>578</v>
      </c>
      <c r="C2875" s="17" t="s">
        <v>572</v>
      </c>
      <c r="D2875" s="17" t="s">
        <v>22</v>
      </c>
      <c r="E2875" s="17" t="s">
        <v>34</v>
      </c>
      <c r="F2875" s="17"/>
      <c r="G2875" s="18">
        <v>127.2700</v>
      </c>
      <c r="H2875" s="18">
        <v>0</v>
      </c>
      <c r="I2875" s="18">
        <f ca="1">((I2874 + G2875) - H2875)</f>
        <v>0</v>
      </c>
      <c r="J2875" s="18">
        <v>0</v>
      </c>
      <c r="K2875" s="19">
        <v>0</v>
      </c>
      <c r="L2875" s="17"/>
    </row>
    <row r="2876" ht="10.95" customHeight="true" customFormat="true" s="9">
      <c r="A2876" s="16">
        <v>45201</v>
      </c>
      <c r="B2876" s="17" t="s">
        <v>578</v>
      </c>
      <c r="C2876" s="17" t="s">
        <v>572</v>
      </c>
      <c r="D2876" s="17" t="s">
        <v>22</v>
      </c>
      <c r="E2876" s="17" t="s">
        <v>429</v>
      </c>
      <c r="F2876" s="17"/>
      <c r="G2876" s="18">
        <v>358.7500</v>
      </c>
      <c r="H2876" s="18">
        <v>0</v>
      </c>
      <c r="I2876" s="18">
        <f ca="1">((I2875 + G2876) - H2876)</f>
        <v>0</v>
      </c>
      <c r="J2876" s="18">
        <v>0</v>
      </c>
      <c r="K2876" s="19">
        <v>0</v>
      </c>
      <c r="L2876" s="17"/>
    </row>
    <row r="2877" ht="10.95" customHeight="true" customFormat="true" s="9">
      <c r="A2877" s="16">
        <v>45201</v>
      </c>
      <c r="B2877" s="17" t="s">
        <v>578</v>
      </c>
      <c r="C2877" s="17" t="s">
        <v>572</v>
      </c>
      <c r="D2877" s="17" t="s">
        <v>22</v>
      </c>
      <c r="E2877" s="17" t="s">
        <v>438</v>
      </c>
      <c r="F2877" s="17"/>
      <c r="G2877" s="18">
        <v>0.7800</v>
      </c>
      <c r="H2877" s="18">
        <v>0</v>
      </c>
      <c r="I2877" s="18">
        <f ca="1">((I2876 + G2877) - H2877)</f>
        <v>0</v>
      </c>
      <c r="J2877" s="18">
        <v>0</v>
      </c>
      <c r="K2877" s="19">
        <v>0</v>
      </c>
      <c r="L2877" s="17"/>
    </row>
    <row r="2878" ht="10.95" customHeight="true" customFormat="true" s="9">
      <c r="A2878" s="16">
        <v>45202</v>
      </c>
      <c r="B2878" s="17" t="s">
        <v>578</v>
      </c>
      <c r="C2878" s="17" t="s">
        <v>572</v>
      </c>
      <c r="D2878" s="17" t="s">
        <v>22</v>
      </c>
      <c r="E2878" s="17" t="s">
        <v>430</v>
      </c>
      <c r="F2878" s="17"/>
      <c r="G2878" s="18">
        <v>145.9400</v>
      </c>
      <c r="H2878" s="18">
        <v>0</v>
      </c>
      <c r="I2878" s="18">
        <f ca="1">((I2877 + G2878) - H2878)</f>
        <v>0</v>
      </c>
      <c r="J2878" s="18">
        <v>0</v>
      </c>
      <c r="K2878" s="19">
        <v>0</v>
      </c>
      <c r="L2878" s="17"/>
    </row>
    <row r="2879" ht="10.95" customHeight="true" customFormat="true" s="9">
      <c r="A2879" s="16">
        <v>45203</v>
      </c>
      <c r="B2879" s="17" t="s">
        <v>578</v>
      </c>
      <c r="C2879" s="17" t="s">
        <v>572</v>
      </c>
      <c r="D2879" s="17" t="s">
        <v>19</v>
      </c>
      <c r="E2879" s="17" t="s">
        <v>24</v>
      </c>
      <c r="F2879" s="17"/>
      <c r="G2879" s="18">
        <v>0</v>
      </c>
      <c r="H2879" s="18">
        <v>20.0100</v>
      </c>
      <c r="I2879" s="18">
        <f ca="1">((I2878 + G2879) - H2879)</f>
        <v>0</v>
      </c>
      <c r="J2879" s="18">
        <v>0</v>
      </c>
      <c r="K2879" s="19">
        <v>0</v>
      </c>
      <c r="L2879" s="17"/>
    </row>
    <row r="2880" ht="10.95" customHeight="true" customFormat="true" s="9">
      <c r="A2880" s="16">
        <v>45203</v>
      </c>
      <c r="B2880" s="17" t="s">
        <v>578</v>
      </c>
      <c r="C2880" s="17" t="s">
        <v>572</v>
      </c>
      <c r="D2880" s="17" t="s">
        <v>19</v>
      </c>
      <c r="E2880" s="17" t="s">
        <v>428</v>
      </c>
      <c r="F2880" s="17"/>
      <c r="G2880" s="18">
        <v>0</v>
      </c>
      <c r="H2880" s="18">
        <v>218.3300</v>
      </c>
      <c r="I2880" s="18">
        <f ca="1">((I2879 + G2880) - H2880)</f>
        <v>0</v>
      </c>
      <c r="J2880" s="18">
        <v>0</v>
      </c>
      <c r="K2880" s="19">
        <v>0</v>
      </c>
      <c r="L2880" s="17"/>
    </row>
    <row r="2881" ht="10.95" customHeight="true" customFormat="true" s="9">
      <c r="A2881" s="16">
        <v>45204</v>
      </c>
      <c r="B2881" s="17" t="s">
        <v>578</v>
      </c>
      <c r="C2881" s="17" t="s">
        <v>572</v>
      </c>
      <c r="D2881" s="17" t="s">
        <v>19</v>
      </c>
      <c r="E2881" s="17" t="s">
        <v>428</v>
      </c>
      <c r="F2881" s="17"/>
      <c r="G2881" s="18">
        <v>0</v>
      </c>
      <c r="H2881" s="18">
        <v>223.1800</v>
      </c>
      <c r="I2881" s="18">
        <f ca="1">((I2880 + G2881) - H2881)</f>
        <v>0</v>
      </c>
      <c r="J2881" s="18">
        <v>0</v>
      </c>
      <c r="K2881" s="19">
        <v>0</v>
      </c>
      <c r="L2881" s="17"/>
    </row>
    <row r="2882" ht="10.95" customHeight="true" customFormat="true" s="9">
      <c r="A2882" s="16">
        <v>45205</v>
      </c>
      <c r="B2882" s="17" t="s">
        <v>578</v>
      </c>
      <c r="C2882" s="17" t="s">
        <v>572</v>
      </c>
      <c r="D2882" s="17" t="s">
        <v>22</v>
      </c>
      <c r="E2882" s="17" t="s">
        <v>430</v>
      </c>
      <c r="F2882" s="17"/>
      <c r="G2882" s="18">
        <v>195.0100</v>
      </c>
      <c r="H2882" s="18">
        <v>0</v>
      </c>
      <c r="I2882" s="18">
        <f ca="1">((I2881 + G2882) - H2882)</f>
        <v>0</v>
      </c>
      <c r="J2882" s="18">
        <v>0</v>
      </c>
      <c r="K2882" s="19">
        <v>0</v>
      </c>
      <c r="L2882" s="17"/>
    </row>
    <row r="2883" ht="10.95" customHeight="true" customFormat="true" s="9">
      <c r="A2883" s="16">
        <v>45205</v>
      </c>
      <c r="B2883" s="17" t="s">
        <v>578</v>
      </c>
      <c r="C2883" s="17" t="s">
        <v>572</v>
      </c>
      <c r="D2883" s="17" t="s">
        <v>19</v>
      </c>
      <c r="E2883" s="17" t="s">
        <v>428</v>
      </c>
      <c r="F2883" s="17"/>
      <c r="G2883" s="18">
        <v>0</v>
      </c>
      <c r="H2883" s="18">
        <v>232.1700</v>
      </c>
      <c r="I2883" s="18">
        <f ca="1">((I2882 + G2883) - H2883)</f>
        <v>0</v>
      </c>
      <c r="J2883" s="18">
        <v>0</v>
      </c>
      <c r="K2883" s="19">
        <v>0</v>
      </c>
      <c r="L2883" s="17"/>
    </row>
    <row r="2884" ht="10.95" customHeight="true" customFormat="true" s="9">
      <c r="A2884" s="16">
        <v>45208</v>
      </c>
      <c r="B2884" s="17" t="s">
        <v>578</v>
      </c>
      <c r="C2884" s="17" t="s">
        <v>572</v>
      </c>
      <c r="D2884" s="17" t="s">
        <v>19</v>
      </c>
      <c r="E2884" s="17" t="s">
        <v>428</v>
      </c>
      <c r="F2884" s="17"/>
      <c r="G2884" s="18">
        <v>0</v>
      </c>
      <c r="H2884" s="18">
        <v>505.4300</v>
      </c>
      <c r="I2884" s="18">
        <f ca="1">((I2883 + G2884) - H2884)</f>
        <v>0</v>
      </c>
      <c r="J2884" s="18">
        <v>0</v>
      </c>
      <c r="K2884" s="19">
        <v>0</v>
      </c>
      <c r="L2884" s="17"/>
    </row>
    <row r="2885" ht="10.95" customHeight="true" customFormat="true" s="9">
      <c r="A2885" s="16">
        <v>45208</v>
      </c>
      <c r="B2885" s="17" t="s">
        <v>578</v>
      </c>
      <c r="C2885" s="17" t="s">
        <v>572</v>
      </c>
      <c r="D2885" s="17" t="s">
        <v>19</v>
      </c>
      <c r="E2885" s="17" t="s">
        <v>428</v>
      </c>
      <c r="F2885" s="17"/>
      <c r="G2885" s="18">
        <v>0</v>
      </c>
      <c r="H2885" s="18">
        <v>287.6500</v>
      </c>
      <c r="I2885" s="18">
        <f ca="1">((I2884 + G2885) - H2885)</f>
        <v>0</v>
      </c>
      <c r="J2885" s="18">
        <v>0</v>
      </c>
      <c r="K2885" s="19">
        <v>0</v>
      </c>
      <c r="L2885" s="17"/>
    </row>
    <row r="2886" ht="10.95" customHeight="true" customFormat="true" s="9">
      <c r="A2886" s="16">
        <v>45208</v>
      </c>
      <c r="B2886" s="17" t="s">
        <v>578</v>
      </c>
      <c r="C2886" s="17" t="s">
        <v>572</v>
      </c>
      <c r="D2886" s="17" t="s">
        <v>22</v>
      </c>
      <c r="E2886" s="17" t="s">
        <v>34</v>
      </c>
      <c r="F2886" s="17"/>
      <c r="G2886" s="18">
        <v>186.3600</v>
      </c>
      <c r="H2886" s="18">
        <v>0</v>
      </c>
      <c r="I2886" s="18">
        <f ca="1">((I2885 + G2886) - H2886)</f>
        <v>0</v>
      </c>
      <c r="J2886" s="18">
        <v>0</v>
      </c>
      <c r="K2886" s="19">
        <v>0</v>
      </c>
      <c r="L2886" s="17"/>
    </row>
    <row r="2887" ht="10.95" customHeight="true" customFormat="true" s="9">
      <c r="A2887" s="16">
        <v>45208</v>
      </c>
      <c r="B2887" s="17" t="s">
        <v>578</v>
      </c>
      <c r="C2887" s="17" t="s">
        <v>572</v>
      </c>
      <c r="D2887" s="17" t="s">
        <v>19</v>
      </c>
      <c r="E2887" s="17" t="s">
        <v>428</v>
      </c>
      <c r="F2887" s="17"/>
      <c r="G2887" s="18">
        <v>0</v>
      </c>
      <c r="H2887" s="18">
        <v>533.1300</v>
      </c>
      <c r="I2887" s="18">
        <f ca="1">((I2886 + G2887) - H2887)</f>
        <v>0</v>
      </c>
      <c r="J2887" s="18">
        <v>0</v>
      </c>
      <c r="K2887" s="19">
        <v>0</v>
      </c>
      <c r="L2887" s="17"/>
    </row>
    <row r="2888" ht="10.95" customHeight="true" customFormat="true" s="9">
      <c r="A2888" s="16">
        <v>45208</v>
      </c>
      <c r="B2888" s="17" t="s">
        <v>578</v>
      </c>
      <c r="C2888" s="17" t="s">
        <v>572</v>
      </c>
      <c r="D2888" s="17" t="s">
        <v>22</v>
      </c>
      <c r="E2888" s="17" t="s">
        <v>469</v>
      </c>
      <c r="F2888" s="17"/>
      <c r="G2888" s="18">
        <v>3.0000</v>
      </c>
      <c r="H2888" s="18">
        <v>0</v>
      </c>
      <c r="I2888" s="18">
        <f ca="1">((I2887 + G2888) - H2888)</f>
        <v>0</v>
      </c>
      <c r="J2888" s="18">
        <v>0</v>
      </c>
      <c r="K2888" s="19">
        <v>0</v>
      </c>
      <c r="L2888" s="17"/>
    </row>
    <row r="2889" ht="10.95" customHeight="true" customFormat="true" s="9">
      <c r="A2889" s="16">
        <v>45209</v>
      </c>
      <c r="B2889" s="17" t="s">
        <v>578</v>
      </c>
      <c r="C2889" s="17" t="s">
        <v>572</v>
      </c>
      <c r="D2889" s="17" t="s">
        <v>22</v>
      </c>
      <c r="E2889" s="17" t="s">
        <v>430</v>
      </c>
      <c r="F2889" s="17"/>
      <c r="G2889" s="18">
        <v>162.4600</v>
      </c>
      <c r="H2889" s="18">
        <v>0</v>
      </c>
      <c r="I2889" s="18">
        <f ca="1">((I2888 + G2889) - H2889)</f>
        <v>0</v>
      </c>
      <c r="J2889" s="18">
        <v>0</v>
      </c>
      <c r="K2889" s="19">
        <v>0</v>
      </c>
      <c r="L2889" s="17"/>
    </row>
    <row r="2890" ht="10.95" customHeight="true" customFormat="true" s="9">
      <c r="A2890" s="16">
        <v>45209</v>
      </c>
      <c r="B2890" s="17" t="s">
        <v>578</v>
      </c>
      <c r="C2890" s="17" t="s">
        <v>572</v>
      </c>
      <c r="D2890" s="17" t="s">
        <v>22</v>
      </c>
      <c r="E2890" s="17" t="s">
        <v>449</v>
      </c>
      <c r="F2890" s="17"/>
      <c r="G2890" s="18">
        <v>182.9900</v>
      </c>
      <c r="H2890" s="18">
        <v>0</v>
      </c>
      <c r="I2890" s="18">
        <f ca="1">((I2889 + G2890) - H2890)</f>
        <v>0</v>
      </c>
      <c r="J2890" s="18">
        <v>0</v>
      </c>
      <c r="K2890" s="19">
        <v>0</v>
      </c>
      <c r="L2890" s="17"/>
    </row>
    <row r="2891" ht="10.95" customHeight="true" customFormat="true" s="9">
      <c r="A2891" s="16">
        <v>45210</v>
      </c>
      <c r="B2891" s="17" t="s">
        <v>578</v>
      </c>
      <c r="C2891" s="17" t="s">
        <v>572</v>
      </c>
      <c r="D2891" s="17" t="s">
        <v>19</v>
      </c>
      <c r="E2891" s="17" t="s">
        <v>428</v>
      </c>
      <c r="F2891" s="17"/>
      <c r="G2891" s="18">
        <v>0</v>
      </c>
      <c r="H2891" s="18">
        <v>221.2900</v>
      </c>
      <c r="I2891" s="18">
        <f ca="1">((I2890 + G2891) - H2891)</f>
        <v>0</v>
      </c>
      <c r="J2891" s="18">
        <v>0</v>
      </c>
      <c r="K2891" s="19">
        <v>0</v>
      </c>
      <c r="L2891" s="17"/>
    </row>
    <row r="2892" ht="10.95" customHeight="true" customFormat="true" s="9">
      <c r="A2892" s="16">
        <v>45210</v>
      </c>
      <c r="B2892" s="17" t="s">
        <v>578</v>
      </c>
      <c r="C2892" s="17" t="s">
        <v>572</v>
      </c>
      <c r="D2892" s="17" t="s">
        <v>19</v>
      </c>
      <c r="E2892" s="17" t="s">
        <v>24</v>
      </c>
      <c r="F2892" s="17"/>
      <c r="G2892" s="18">
        <v>0</v>
      </c>
      <c r="H2892" s="18">
        <v>18.1800</v>
      </c>
      <c r="I2892" s="18">
        <f ca="1">((I2891 + G2892) - H2892)</f>
        <v>0</v>
      </c>
      <c r="J2892" s="18">
        <v>0</v>
      </c>
      <c r="K2892" s="19">
        <v>0</v>
      </c>
      <c r="L2892" s="17"/>
    </row>
    <row r="2893" ht="10.95" customHeight="true" customFormat="true" s="9">
      <c r="A2893" s="16">
        <v>45211</v>
      </c>
      <c r="B2893" s="17" t="s">
        <v>578</v>
      </c>
      <c r="C2893" s="17" t="s">
        <v>572</v>
      </c>
      <c r="D2893" s="17" t="s">
        <v>19</v>
      </c>
      <c r="E2893" s="17" t="s">
        <v>428</v>
      </c>
      <c r="F2893" s="17"/>
      <c r="G2893" s="18">
        <v>0</v>
      </c>
      <c r="H2893" s="18">
        <v>193.6400</v>
      </c>
      <c r="I2893" s="18">
        <f ca="1">((I2892 + G2893) - H2893)</f>
        <v>0</v>
      </c>
      <c r="J2893" s="18">
        <v>0</v>
      </c>
      <c r="K2893" s="19">
        <v>0</v>
      </c>
      <c r="L2893" s="17"/>
    </row>
    <row r="2894" ht="10.95" customHeight="true" customFormat="true" s="9">
      <c r="A2894" s="16">
        <v>45212</v>
      </c>
      <c r="B2894" s="17" t="s">
        <v>578</v>
      </c>
      <c r="C2894" s="17" t="s">
        <v>572</v>
      </c>
      <c r="D2894" s="17" t="s">
        <v>22</v>
      </c>
      <c r="E2894" s="17" t="s">
        <v>298</v>
      </c>
      <c r="F2894" s="17"/>
      <c r="G2894" s="18">
        <v>544.0000</v>
      </c>
      <c r="H2894" s="18">
        <v>0</v>
      </c>
      <c r="I2894" s="18">
        <f ca="1">((I2893 + G2894) - H2894)</f>
        <v>0</v>
      </c>
      <c r="J2894" s="18">
        <v>0</v>
      </c>
      <c r="K2894" s="19">
        <v>0</v>
      </c>
      <c r="L2894" s="17"/>
    </row>
    <row r="2895" ht="10.95" customHeight="true" customFormat="true" s="9">
      <c r="A2895" s="16">
        <v>45212</v>
      </c>
      <c r="B2895" s="17" t="s">
        <v>578</v>
      </c>
      <c r="C2895" s="17" t="s">
        <v>572</v>
      </c>
      <c r="D2895" s="17" t="s">
        <v>19</v>
      </c>
      <c r="E2895" s="17" t="s">
        <v>428</v>
      </c>
      <c r="F2895" s="17"/>
      <c r="G2895" s="18">
        <v>0</v>
      </c>
      <c r="H2895" s="18">
        <v>232.6900</v>
      </c>
      <c r="I2895" s="18">
        <f ca="1">((I2894 + G2895) - H2895)</f>
        <v>0</v>
      </c>
      <c r="J2895" s="18">
        <v>0</v>
      </c>
      <c r="K2895" s="19">
        <v>0</v>
      </c>
      <c r="L2895" s="17"/>
    </row>
    <row r="2896" ht="10.95" customHeight="true" customFormat="true" s="9">
      <c r="A2896" s="16">
        <v>45215</v>
      </c>
      <c r="B2896" s="17" t="s">
        <v>578</v>
      </c>
      <c r="C2896" s="17" t="s">
        <v>572</v>
      </c>
      <c r="D2896" s="17" t="s">
        <v>22</v>
      </c>
      <c r="E2896" s="17" t="s">
        <v>34</v>
      </c>
      <c r="F2896" s="17"/>
      <c r="G2896" s="18">
        <v>181.8200</v>
      </c>
      <c r="H2896" s="18">
        <v>0</v>
      </c>
      <c r="I2896" s="18">
        <f ca="1">((I2895 + G2896) - H2896)</f>
        <v>0</v>
      </c>
      <c r="J2896" s="18">
        <v>0</v>
      </c>
      <c r="K2896" s="19">
        <v>0</v>
      </c>
      <c r="L2896" s="17"/>
    </row>
    <row r="2897" ht="10.95" customHeight="true" customFormat="true" s="9">
      <c r="A2897" s="16">
        <v>45215</v>
      </c>
      <c r="B2897" s="17" t="s">
        <v>578</v>
      </c>
      <c r="C2897" s="17" t="s">
        <v>572</v>
      </c>
      <c r="D2897" s="17" t="s">
        <v>19</v>
      </c>
      <c r="E2897" s="17" t="s">
        <v>428</v>
      </c>
      <c r="F2897" s="17"/>
      <c r="G2897" s="18">
        <v>0</v>
      </c>
      <c r="H2897" s="18">
        <v>492.2400</v>
      </c>
      <c r="I2897" s="18">
        <f ca="1">((I2896 + G2897) - H2897)</f>
        <v>0</v>
      </c>
      <c r="J2897" s="18">
        <v>0</v>
      </c>
      <c r="K2897" s="19">
        <v>0</v>
      </c>
      <c r="L2897" s="17"/>
    </row>
    <row r="2898" ht="10.95" customHeight="true" customFormat="true" s="9">
      <c r="A2898" s="16">
        <v>45215</v>
      </c>
      <c r="B2898" s="17" t="s">
        <v>578</v>
      </c>
      <c r="C2898" s="17" t="s">
        <v>572</v>
      </c>
      <c r="D2898" s="17" t="s">
        <v>19</v>
      </c>
      <c r="E2898" s="17" t="s">
        <v>428</v>
      </c>
      <c r="F2898" s="17"/>
      <c r="G2898" s="18">
        <v>0</v>
      </c>
      <c r="H2898" s="18">
        <v>526.4600</v>
      </c>
      <c r="I2898" s="18">
        <f ca="1">((I2897 + G2898) - H2898)</f>
        <v>0</v>
      </c>
      <c r="J2898" s="18">
        <v>0</v>
      </c>
      <c r="K2898" s="19">
        <v>0</v>
      </c>
      <c r="L2898" s="17"/>
    </row>
    <row r="2899" ht="10.95" customHeight="true" customFormat="true" s="9">
      <c r="A2899" s="16">
        <v>45215</v>
      </c>
      <c r="B2899" s="17" t="s">
        <v>578</v>
      </c>
      <c r="C2899" s="17" t="s">
        <v>572</v>
      </c>
      <c r="D2899" s="17" t="s">
        <v>19</v>
      </c>
      <c r="E2899" s="17" t="s">
        <v>428</v>
      </c>
      <c r="F2899" s="17"/>
      <c r="G2899" s="18">
        <v>0</v>
      </c>
      <c r="H2899" s="18">
        <v>262.6000</v>
      </c>
      <c r="I2899" s="18">
        <f ca="1">((I2898 + G2899) - H2899)</f>
        <v>0</v>
      </c>
      <c r="J2899" s="18">
        <v>0</v>
      </c>
      <c r="K2899" s="19">
        <v>0</v>
      </c>
      <c r="L2899" s="17"/>
    </row>
    <row r="2900" ht="10.95" customHeight="true" customFormat="true" s="9">
      <c r="A2900" s="16">
        <v>45216</v>
      </c>
      <c r="B2900" s="17" t="s">
        <v>578</v>
      </c>
      <c r="C2900" s="17" t="s">
        <v>572</v>
      </c>
      <c r="D2900" s="17" t="s">
        <v>22</v>
      </c>
      <c r="E2900" s="17" t="s">
        <v>430</v>
      </c>
      <c r="F2900" s="17"/>
      <c r="G2900" s="18">
        <v>162.9000</v>
      </c>
      <c r="H2900" s="18">
        <v>0</v>
      </c>
      <c r="I2900" s="18">
        <f ca="1">((I2899 + G2900) - H2900)</f>
        <v>0</v>
      </c>
      <c r="J2900" s="18">
        <v>0</v>
      </c>
      <c r="K2900" s="19">
        <v>0</v>
      </c>
      <c r="L2900" s="17"/>
    </row>
    <row r="2901" ht="10.95" customHeight="true" customFormat="true" s="9">
      <c r="A2901" s="16">
        <v>45217</v>
      </c>
      <c r="B2901" s="17" t="s">
        <v>578</v>
      </c>
      <c r="C2901" s="17" t="s">
        <v>572</v>
      </c>
      <c r="D2901" s="17" t="s">
        <v>19</v>
      </c>
      <c r="E2901" s="17" t="s">
        <v>24</v>
      </c>
      <c r="F2901" s="17"/>
      <c r="G2901" s="18">
        <v>0</v>
      </c>
      <c r="H2901" s="18">
        <v>13.6400</v>
      </c>
      <c r="I2901" s="18">
        <f ca="1">((I2900 + G2901) - H2901)</f>
        <v>0</v>
      </c>
      <c r="J2901" s="18">
        <v>0</v>
      </c>
      <c r="K2901" s="19">
        <v>0</v>
      </c>
      <c r="L2901" s="17"/>
    </row>
    <row r="2902" ht="10.95" customHeight="true" customFormat="true" s="9">
      <c r="A2902" s="16">
        <v>45217</v>
      </c>
      <c r="B2902" s="17" t="s">
        <v>578</v>
      </c>
      <c r="C2902" s="17" t="s">
        <v>572</v>
      </c>
      <c r="D2902" s="17" t="s">
        <v>22</v>
      </c>
      <c r="E2902" s="17" t="s">
        <v>436</v>
      </c>
      <c r="F2902" s="17"/>
      <c r="G2902" s="18">
        <v>9.8200</v>
      </c>
      <c r="H2902" s="18">
        <v>0</v>
      </c>
      <c r="I2902" s="18">
        <f ca="1">((I2901 + G2902) - H2902)</f>
        <v>0</v>
      </c>
      <c r="J2902" s="18">
        <v>0</v>
      </c>
      <c r="K2902" s="19">
        <v>0</v>
      </c>
      <c r="L2902" s="17"/>
    </row>
    <row r="2903" ht="10.95" customHeight="true" customFormat="true" s="9">
      <c r="A2903" s="16">
        <v>45217</v>
      </c>
      <c r="B2903" s="17" t="s">
        <v>578</v>
      </c>
      <c r="C2903" s="17" t="s">
        <v>572</v>
      </c>
      <c r="D2903" s="17" t="s">
        <v>22</v>
      </c>
      <c r="E2903" s="17" t="s">
        <v>472</v>
      </c>
      <c r="F2903" s="17"/>
      <c r="G2903" s="18">
        <v>4.7600</v>
      </c>
      <c r="H2903" s="18">
        <v>0</v>
      </c>
      <c r="I2903" s="18">
        <f ca="1">((I2902 + G2903) - H2903)</f>
        <v>0</v>
      </c>
      <c r="J2903" s="18">
        <v>0</v>
      </c>
      <c r="K2903" s="19">
        <v>0</v>
      </c>
      <c r="L2903" s="17"/>
    </row>
    <row r="2904" ht="10.95" customHeight="true" customFormat="true" s="9">
      <c r="A2904" s="16">
        <v>45217</v>
      </c>
      <c r="B2904" s="17" t="s">
        <v>578</v>
      </c>
      <c r="C2904" s="17" t="s">
        <v>572</v>
      </c>
      <c r="D2904" s="17" t="s">
        <v>19</v>
      </c>
      <c r="E2904" s="17" t="s">
        <v>428</v>
      </c>
      <c r="F2904" s="17"/>
      <c r="G2904" s="18">
        <v>0</v>
      </c>
      <c r="H2904" s="18">
        <v>242.7700</v>
      </c>
      <c r="I2904" s="18">
        <f ca="1">((I2903 + G2904) - H2904)</f>
        <v>0</v>
      </c>
      <c r="J2904" s="18">
        <v>0</v>
      </c>
      <c r="K2904" s="19">
        <v>0</v>
      </c>
      <c r="L2904" s="17"/>
    </row>
    <row r="2905" ht="10.95" customHeight="true" customFormat="true" s="9">
      <c r="A2905" s="16">
        <v>45218</v>
      </c>
      <c r="B2905" s="17" t="s">
        <v>578</v>
      </c>
      <c r="C2905" s="17" t="s">
        <v>572</v>
      </c>
      <c r="D2905" s="17" t="s">
        <v>19</v>
      </c>
      <c r="E2905" s="17" t="s">
        <v>428</v>
      </c>
      <c r="F2905" s="17"/>
      <c r="G2905" s="18">
        <v>0</v>
      </c>
      <c r="H2905" s="18">
        <v>225.6100</v>
      </c>
      <c r="I2905" s="18">
        <f ca="1">((I2904 + G2905) - H2905)</f>
        <v>0</v>
      </c>
      <c r="J2905" s="18">
        <v>0</v>
      </c>
      <c r="K2905" s="19">
        <v>0</v>
      </c>
      <c r="L2905" s="17"/>
    </row>
    <row r="2906" ht="10.95" customHeight="true" customFormat="true" s="9">
      <c r="A2906" s="16">
        <v>45218</v>
      </c>
      <c r="B2906" s="17" t="s">
        <v>578</v>
      </c>
      <c r="C2906" s="17" t="s">
        <v>572</v>
      </c>
      <c r="D2906" s="17" t="s">
        <v>22</v>
      </c>
      <c r="E2906" s="17" t="s">
        <v>430</v>
      </c>
      <c r="F2906" s="17"/>
      <c r="G2906" s="18">
        <v>156.1900</v>
      </c>
      <c r="H2906" s="18">
        <v>0</v>
      </c>
      <c r="I2906" s="18">
        <f ca="1">((I2905 + G2906) - H2906)</f>
        <v>0</v>
      </c>
      <c r="J2906" s="18">
        <v>0</v>
      </c>
      <c r="K2906" s="19">
        <v>0</v>
      </c>
      <c r="L2906" s="17"/>
    </row>
    <row r="2907" ht="10.95" customHeight="true" customFormat="true" s="9">
      <c r="A2907" s="16">
        <v>45219</v>
      </c>
      <c r="B2907" s="17" t="s">
        <v>578</v>
      </c>
      <c r="C2907" s="17" t="s">
        <v>572</v>
      </c>
      <c r="D2907" s="17" t="s">
        <v>22</v>
      </c>
      <c r="E2907" s="17" t="s">
        <v>459</v>
      </c>
      <c r="F2907" s="17"/>
      <c r="G2907" s="18">
        <v>25.9000</v>
      </c>
      <c r="H2907" s="18">
        <v>0</v>
      </c>
      <c r="I2907" s="18">
        <f ca="1">((I2906 + G2907) - H2907)</f>
        <v>0</v>
      </c>
      <c r="J2907" s="18">
        <v>0</v>
      </c>
      <c r="K2907" s="19">
        <v>0</v>
      </c>
      <c r="L2907" s="17"/>
    </row>
    <row r="2908" ht="10.95" customHeight="true" customFormat="true" s="9">
      <c r="A2908" s="16">
        <v>45219</v>
      </c>
      <c r="B2908" s="17" t="s">
        <v>578</v>
      </c>
      <c r="C2908" s="17" t="s">
        <v>572</v>
      </c>
      <c r="D2908" s="17" t="s">
        <v>19</v>
      </c>
      <c r="E2908" s="17" t="s">
        <v>428</v>
      </c>
      <c r="F2908" s="17"/>
      <c r="G2908" s="18">
        <v>0</v>
      </c>
      <c r="H2908" s="18">
        <v>244.3500</v>
      </c>
      <c r="I2908" s="18">
        <f ca="1">((I2907 + G2908) - H2908)</f>
        <v>0</v>
      </c>
      <c r="J2908" s="18">
        <v>0</v>
      </c>
      <c r="K2908" s="19">
        <v>0</v>
      </c>
      <c r="L2908" s="17"/>
    </row>
    <row r="2909" ht="10.95" customHeight="true" customFormat="true" s="9">
      <c r="A2909" s="16">
        <v>45219</v>
      </c>
      <c r="B2909" s="17" t="s">
        <v>578</v>
      </c>
      <c r="C2909" s="17" t="s">
        <v>572</v>
      </c>
      <c r="D2909" s="17" t="s">
        <v>22</v>
      </c>
      <c r="E2909" s="17" t="s">
        <v>430</v>
      </c>
      <c r="F2909" s="17"/>
      <c r="G2909" s="18">
        <v>172.0900</v>
      </c>
      <c r="H2909" s="18">
        <v>0</v>
      </c>
      <c r="I2909" s="18">
        <f ca="1">((I2908 + G2909) - H2909)</f>
        <v>0</v>
      </c>
      <c r="J2909" s="18">
        <v>0</v>
      </c>
      <c r="K2909" s="19">
        <v>0</v>
      </c>
      <c r="L2909" s="17"/>
    </row>
    <row r="2910" ht="10.95" customHeight="true" customFormat="true" s="9">
      <c r="A2910" s="16">
        <v>45222</v>
      </c>
      <c r="B2910" s="17" t="s">
        <v>578</v>
      </c>
      <c r="C2910" s="17" t="s">
        <v>572</v>
      </c>
      <c r="D2910" s="17" t="s">
        <v>19</v>
      </c>
      <c r="E2910" s="17" t="s">
        <v>428</v>
      </c>
      <c r="F2910" s="17"/>
      <c r="G2910" s="18">
        <v>0</v>
      </c>
      <c r="H2910" s="18">
        <v>523.4300</v>
      </c>
      <c r="I2910" s="18">
        <f ca="1">((I2909 + G2910) - H2910)</f>
        <v>0</v>
      </c>
      <c r="J2910" s="18">
        <v>0</v>
      </c>
      <c r="K2910" s="19">
        <v>0</v>
      </c>
      <c r="L2910" s="17"/>
    </row>
    <row r="2911" ht="10.95" customHeight="true" customFormat="true" s="9">
      <c r="A2911" s="16">
        <v>45222</v>
      </c>
      <c r="B2911" s="17" t="s">
        <v>578</v>
      </c>
      <c r="C2911" s="17" t="s">
        <v>572</v>
      </c>
      <c r="D2911" s="17" t="s">
        <v>19</v>
      </c>
      <c r="E2911" s="17" t="s">
        <v>428</v>
      </c>
      <c r="F2911" s="17"/>
      <c r="G2911" s="18">
        <v>0</v>
      </c>
      <c r="H2911" s="18">
        <v>285.1800</v>
      </c>
      <c r="I2911" s="18">
        <f ca="1">((I2910 + G2911) - H2911)</f>
        <v>0</v>
      </c>
      <c r="J2911" s="18">
        <v>0</v>
      </c>
      <c r="K2911" s="19">
        <v>0</v>
      </c>
      <c r="L2911" s="17"/>
    </row>
    <row r="2912" ht="10.95" customHeight="true" customFormat="true" s="9">
      <c r="A2912" s="16">
        <v>45222</v>
      </c>
      <c r="B2912" s="17" t="s">
        <v>578</v>
      </c>
      <c r="C2912" s="17" t="s">
        <v>572</v>
      </c>
      <c r="D2912" s="17" t="s">
        <v>19</v>
      </c>
      <c r="E2912" s="17" t="s">
        <v>428</v>
      </c>
      <c r="F2912" s="17"/>
      <c r="G2912" s="18">
        <v>0</v>
      </c>
      <c r="H2912" s="18">
        <v>446.1800</v>
      </c>
      <c r="I2912" s="18">
        <f ca="1">((I2911 + G2912) - H2912)</f>
        <v>0</v>
      </c>
      <c r="J2912" s="18">
        <v>0</v>
      </c>
      <c r="K2912" s="19">
        <v>0</v>
      </c>
      <c r="L2912" s="17"/>
    </row>
    <row r="2913" ht="10.95" customHeight="true" customFormat="true" s="9">
      <c r="A2913" s="16">
        <v>45222</v>
      </c>
      <c r="B2913" s="17" t="s">
        <v>578</v>
      </c>
      <c r="C2913" s="17" t="s">
        <v>572</v>
      </c>
      <c r="D2913" s="17" t="s">
        <v>22</v>
      </c>
      <c r="E2913" s="17" t="s">
        <v>34</v>
      </c>
      <c r="F2913" s="17"/>
      <c r="G2913" s="18">
        <v>159.4900</v>
      </c>
      <c r="H2913" s="18">
        <v>0</v>
      </c>
      <c r="I2913" s="18">
        <f ca="1">((I2912 + G2913) - H2913)</f>
        <v>0</v>
      </c>
      <c r="J2913" s="18">
        <v>0</v>
      </c>
      <c r="K2913" s="19">
        <v>0</v>
      </c>
      <c r="L2913" s="17"/>
    </row>
    <row r="2914" ht="10.95" customHeight="true" customFormat="true" s="9">
      <c r="A2914" s="16">
        <v>45223</v>
      </c>
      <c r="B2914" s="17" t="s">
        <v>578</v>
      </c>
      <c r="C2914" s="17" t="s">
        <v>572</v>
      </c>
      <c r="D2914" s="17" t="s">
        <v>22</v>
      </c>
      <c r="E2914" s="17" t="s">
        <v>430</v>
      </c>
      <c r="F2914" s="17"/>
      <c r="G2914" s="18">
        <v>155.8300</v>
      </c>
      <c r="H2914" s="18">
        <v>0</v>
      </c>
      <c r="I2914" s="18">
        <f ca="1">((I2913 + G2914) - H2914)</f>
        <v>0</v>
      </c>
      <c r="J2914" s="18">
        <v>0</v>
      </c>
      <c r="K2914" s="19">
        <v>0</v>
      </c>
      <c r="L2914" s="17"/>
    </row>
    <row r="2915" ht="10.95" customHeight="true" customFormat="true" s="9">
      <c r="A2915" s="16">
        <v>45223</v>
      </c>
      <c r="B2915" s="17" t="s">
        <v>578</v>
      </c>
      <c r="C2915" s="17" t="s">
        <v>572</v>
      </c>
      <c r="D2915" s="17" t="s">
        <v>22</v>
      </c>
      <c r="E2915" s="17" t="s">
        <v>442</v>
      </c>
      <c r="F2915" s="17"/>
      <c r="G2915" s="18">
        <v>15.4200</v>
      </c>
      <c r="H2915" s="18">
        <v>0</v>
      </c>
      <c r="I2915" s="18">
        <f ca="1">((I2914 + G2915) - H2915)</f>
        <v>0</v>
      </c>
      <c r="J2915" s="18">
        <v>0</v>
      </c>
      <c r="K2915" s="19">
        <v>0</v>
      </c>
      <c r="L2915" s="17"/>
    </row>
    <row r="2916" ht="10.95" customHeight="true" customFormat="true" s="9">
      <c r="A2916" s="16">
        <v>45224</v>
      </c>
      <c r="B2916" s="17" t="s">
        <v>578</v>
      </c>
      <c r="C2916" s="17" t="s">
        <v>572</v>
      </c>
      <c r="D2916" s="17" t="s">
        <v>19</v>
      </c>
      <c r="E2916" s="17" t="s">
        <v>428</v>
      </c>
      <c r="F2916" s="17"/>
      <c r="G2916" s="18">
        <v>0</v>
      </c>
      <c r="H2916" s="18">
        <v>244.7700</v>
      </c>
      <c r="I2916" s="18">
        <f ca="1">((I2915 + G2916) - H2916)</f>
        <v>0</v>
      </c>
      <c r="J2916" s="18">
        <v>0</v>
      </c>
      <c r="K2916" s="19">
        <v>0</v>
      </c>
      <c r="L2916" s="17"/>
    </row>
    <row r="2917" ht="10.95" customHeight="true" customFormat="true" s="9">
      <c r="A2917" s="16">
        <v>45225</v>
      </c>
      <c r="B2917" s="17" t="s">
        <v>578</v>
      </c>
      <c r="C2917" s="17" t="s">
        <v>572</v>
      </c>
      <c r="D2917" s="17" t="s">
        <v>19</v>
      </c>
      <c r="E2917" s="17" t="s">
        <v>428</v>
      </c>
      <c r="F2917" s="17"/>
      <c r="G2917" s="18">
        <v>0</v>
      </c>
      <c r="H2917" s="18">
        <v>224.0000</v>
      </c>
      <c r="I2917" s="18">
        <f ca="1">((I2916 + G2917) - H2917)</f>
        <v>0</v>
      </c>
      <c r="J2917" s="18">
        <v>0</v>
      </c>
      <c r="K2917" s="19">
        <v>0</v>
      </c>
      <c r="L2917" s="17"/>
    </row>
    <row r="2918" ht="10.95" customHeight="true" customFormat="true" s="9">
      <c r="A2918" s="16">
        <v>45226</v>
      </c>
      <c r="B2918" s="17" t="s">
        <v>578</v>
      </c>
      <c r="C2918" s="17" t="s">
        <v>572</v>
      </c>
      <c r="D2918" s="17" t="s">
        <v>19</v>
      </c>
      <c r="E2918" s="17" t="s">
        <v>428</v>
      </c>
      <c r="F2918" s="17"/>
      <c r="G2918" s="18">
        <v>0</v>
      </c>
      <c r="H2918" s="18">
        <v>254.2100</v>
      </c>
      <c r="I2918" s="18">
        <f ca="1">((I2917 + G2918) - H2918)</f>
        <v>0</v>
      </c>
      <c r="J2918" s="18">
        <v>0</v>
      </c>
      <c r="K2918" s="19">
        <v>0</v>
      </c>
      <c r="L2918" s="17"/>
    </row>
    <row r="2919" ht="10.95" customHeight="true" customFormat="true" s="9">
      <c r="A2919" s="16">
        <v>45229</v>
      </c>
      <c r="B2919" s="17" t="s">
        <v>578</v>
      </c>
      <c r="C2919" s="17" t="s">
        <v>572</v>
      </c>
      <c r="D2919" s="17" t="s">
        <v>22</v>
      </c>
      <c r="E2919" s="17" t="s">
        <v>474</v>
      </c>
      <c r="F2919" s="17"/>
      <c r="G2919" s="18">
        <v>5.0400</v>
      </c>
      <c r="H2919" s="18">
        <v>0</v>
      </c>
      <c r="I2919" s="18">
        <f ca="1">((I2918 + G2919) - H2919)</f>
        <v>0</v>
      </c>
      <c r="J2919" s="18">
        <v>0</v>
      </c>
      <c r="K2919" s="19">
        <v>0</v>
      </c>
      <c r="L2919" s="17"/>
    </row>
    <row r="2920" ht="10.95" customHeight="true" customFormat="true" s="9">
      <c r="A2920" s="16">
        <v>45229</v>
      </c>
      <c r="B2920" s="17" t="s">
        <v>578</v>
      </c>
      <c r="C2920" s="17" t="s">
        <v>572</v>
      </c>
      <c r="D2920" s="17" t="s">
        <v>19</v>
      </c>
      <c r="E2920" s="17" t="s">
        <v>428</v>
      </c>
      <c r="F2920" s="17"/>
      <c r="G2920" s="18">
        <v>0</v>
      </c>
      <c r="H2920" s="18">
        <v>475.3800</v>
      </c>
      <c r="I2920" s="18">
        <f ca="1">((I2919 + G2920) - H2920)</f>
        <v>0</v>
      </c>
      <c r="J2920" s="18">
        <v>0</v>
      </c>
      <c r="K2920" s="19">
        <v>0</v>
      </c>
      <c r="L2920" s="17"/>
    </row>
    <row r="2921" ht="10.95" customHeight="true" customFormat="true" s="9">
      <c r="A2921" s="16">
        <v>45229</v>
      </c>
      <c r="B2921" s="17" t="s">
        <v>578</v>
      </c>
      <c r="C2921" s="17" t="s">
        <v>572</v>
      </c>
      <c r="D2921" s="17" t="s">
        <v>19</v>
      </c>
      <c r="E2921" s="17" t="s">
        <v>428</v>
      </c>
      <c r="F2921" s="17"/>
      <c r="G2921" s="18">
        <v>0</v>
      </c>
      <c r="H2921" s="18">
        <v>298.8700</v>
      </c>
      <c r="I2921" s="18">
        <f ca="1">((I2920 + G2921) - H2921)</f>
        <v>0</v>
      </c>
      <c r="J2921" s="18">
        <v>0</v>
      </c>
      <c r="K2921" s="19">
        <v>0</v>
      </c>
      <c r="L2921" s="17"/>
    </row>
    <row r="2922" ht="10.95" customHeight="true" customFormat="true" s="9">
      <c r="A2922" s="16">
        <v>45229</v>
      </c>
      <c r="B2922" s="17" t="s">
        <v>578</v>
      </c>
      <c r="C2922" s="17" t="s">
        <v>572</v>
      </c>
      <c r="D2922" s="17" t="s">
        <v>22</v>
      </c>
      <c r="E2922" s="17" t="s">
        <v>430</v>
      </c>
      <c r="F2922" s="17"/>
      <c r="G2922" s="18">
        <v>158.3900</v>
      </c>
      <c r="H2922" s="18">
        <v>0</v>
      </c>
      <c r="I2922" s="18">
        <f ca="1">((I2921 + G2922) - H2922)</f>
        <v>0</v>
      </c>
      <c r="J2922" s="18">
        <v>0</v>
      </c>
      <c r="K2922" s="19">
        <v>0</v>
      </c>
      <c r="L2922" s="17"/>
    </row>
    <row r="2923" ht="10.95" customHeight="true" customFormat="true" s="9">
      <c r="A2923" s="16">
        <v>45229</v>
      </c>
      <c r="B2923" s="17" t="s">
        <v>578</v>
      </c>
      <c r="C2923" s="17" t="s">
        <v>572</v>
      </c>
      <c r="D2923" s="17" t="s">
        <v>22</v>
      </c>
      <c r="E2923" s="17" t="s">
        <v>34</v>
      </c>
      <c r="F2923" s="17"/>
      <c r="G2923" s="18">
        <v>158.4700</v>
      </c>
      <c r="H2923" s="18">
        <v>0</v>
      </c>
      <c r="I2923" s="18">
        <f ca="1">((I2922 + G2923) - H2923)</f>
        <v>0</v>
      </c>
      <c r="J2923" s="18">
        <v>0</v>
      </c>
      <c r="K2923" s="19">
        <v>0</v>
      </c>
      <c r="L2923" s="17"/>
    </row>
    <row r="2924" ht="10.95" customHeight="true" customFormat="true" s="9">
      <c r="A2924" s="16">
        <v>45229</v>
      </c>
      <c r="B2924" s="17" t="s">
        <v>578</v>
      </c>
      <c r="C2924" s="17" t="s">
        <v>572</v>
      </c>
      <c r="D2924" s="17" t="s">
        <v>19</v>
      </c>
      <c r="E2924" s="17" t="s">
        <v>428</v>
      </c>
      <c r="F2924" s="17"/>
      <c r="G2924" s="18">
        <v>0</v>
      </c>
      <c r="H2924" s="18">
        <v>589.4400</v>
      </c>
      <c r="I2924" s="18">
        <f ca="1">((I2923 + G2924) - H2924)</f>
        <v>0</v>
      </c>
      <c r="J2924" s="18">
        <v>0</v>
      </c>
      <c r="K2924" s="19">
        <v>0</v>
      </c>
      <c r="L2924" s="17"/>
    </row>
    <row r="2925" ht="10.95" customHeight="true" customFormat="true" s="9">
      <c r="A2925" s="16">
        <v>45230</v>
      </c>
      <c r="B2925" s="17" t="s">
        <v>578</v>
      </c>
      <c r="C2925" s="17" t="s">
        <v>572</v>
      </c>
      <c r="D2925" s="17" t="s">
        <v>19</v>
      </c>
      <c r="E2925" s="17" t="s">
        <v>24</v>
      </c>
      <c r="F2925" s="17"/>
      <c r="G2925" s="18">
        <v>0</v>
      </c>
      <c r="H2925" s="18">
        <v>27.2700</v>
      </c>
      <c r="I2925" s="18">
        <f ca="1">((I2924 + G2925) - H2925)</f>
        <v>0</v>
      </c>
      <c r="J2925" s="18">
        <v>0</v>
      </c>
      <c r="K2925" s="19">
        <v>0</v>
      </c>
      <c r="L2925" s="17"/>
    </row>
    <row r="2926" ht="10.95" customHeight="true" customFormat="true" s="9">
      <c r="A2926" s="16">
        <v>45231</v>
      </c>
      <c r="B2926" s="17" t="s">
        <v>578</v>
      </c>
      <c r="C2926" s="17" t="s">
        <v>572</v>
      </c>
      <c r="D2926" s="17" t="s">
        <v>22</v>
      </c>
      <c r="E2926" s="17" t="s">
        <v>430</v>
      </c>
      <c r="F2926" s="17"/>
      <c r="G2926" s="18">
        <v>160.6700</v>
      </c>
      <c r="H2926" s="18">
        <v>0</v>
      </c>
      <c r="I2926" s="18">
        <f ca="1">((I2925 + G2926) - H2926)</f>
        <v>0</v>
      </c>
      <c r="J2926" s="18">
        <v>0</v>
      </c>
      <c r="K2926" s="19">
        <v>0</v>
      </c>
      <c r="L2926" s="17"/>
    </row>
    <row r="2927" ht="10.95" customHeight="true" customFormat="true" s="9">
      <c r="A2927" s="16">
        <v>45231</v>
      </c>
      <c r="B2927" s="17" t="s">
        <v>578</v>
      </c>
      <c r="C2927" s="17" t="s">
        <v>572</v>
      </c>
      <c r="D2927" s="17" t="s">
        <v>19</v>
      </c>
      <c r="E2927" s="17" t="s">
        <v>428</v>
      </c>
      <c r="F2927" s="17"/>
      <c r="G2927" s="18">
        <v>0</v>
      </c>
      <c r="H2927" s="18">
        <v>232.1500</v>
      </c>
      <c r="I2927" s="18">
        <f ca="1">((I2926 + G2927) - H2927)</f>
        <v>0</v>
      </c>
      <c r="J2927" s="18">
        <v>0</v>
      </c>
      <c r="K2927" s="19">
        <v>0</v>
      </c>
      <c r="L2927" s="17"/>
    </row>
    <row r="2928" ht="10.95" customHeight="true" customFormat="true" s="9">
      <c r="A2928" s="16">
        <v>45231</v>
      </c>
      <c r="B2928" s="17" t="s">
        <v>578</v>
      </c>
      <c r="C2928" s="17" t="s">
        <v>572</v>
      </c>
      <c r="D2928" s="17" t="s">
        <v>22</v>
      </c>
      <c r="E2928" s="17" t="s">
        <v>438</v>
      </c>
      <c r="F2928" s="17"/>
      <c r="G2928" s="18">
        <v>0.2000</v>
      </c>
      <c r="H2928" s="18">
        <v>0</v>
      </c>
      <c r="I2928" s="18">
        <f ca="1">((I2927 + G2928) - H2928)</f>
        <v>0</v>
      </c>
      <c r="J2928" s="18">
        <v>0</v>
      </c>
      <c r="K2928" s="19">
        <v>0</v>
      </c>
      <c r="L2928" s="17"/>
    </row>
    <row r="2929" ht="10.95" customHeight="true" customFormat="true" s="9">
      <c r="A2929" s="16">
        <v>45232</v>
      </c>
      <c r="B2929" s="17" t="s">
        <v>578</v>
      </c>
      <c r="C2929" s="17" t="s">
        <v>572</v>
      </c>
      <c r="D2929" s="17" t="s">
        <v>19</v>
      </c>
      <c r="E2929" s="17" t="s">
        <v>428</v>
      </c>
      <c r="F2929" s="17"/>
      <c r="G2929" s="18">
        <v>0</v>
      </c>
      <c r="H2929" s="18">
        <v>216.4900</v>
      </c>
      <c r="I2929" s="18">
        <f ca="1">((I2928 + G2929) - H2929)</f>
        <v>0</v>
      </c>
      <c r="J2929" s="18">
        <v>0</v>
      </c>
      <c r="K2929" s="19">
        <v>0</v>
      </c>
      <c r="L2929" s="17"/>
    </row>
    <row r="2930" ht="10.95" customHeight="true" customFormat="true" s="9">
      <c r="A2930" s="16">
        <v>45233</v>
      </c>
      <c r="B2930" s="17" t="s">
        <v>578</v>
      </c>
      <c r="C2930" s="17" t="s">
        <v>572</v>
      </c>
      <c r="D2930" s="17" t="s">
        <v>19</v>
      </c>
      <c r="E2930" s="17" t="s">
        <v>428</v>
      </c>
      <c r="F2930" s="17"/>
      <c r="G2930" s="18">
        <v>0</v>
      </c>
      <c r="H2930" s="18">
        <v>246.4900</v>
      </c>
      <c r="I2930" s="18">
        <f ca="1">((I2929 + G2930) - H2930)</f>
        <v>0</v>
      </c>
      <c r="J2930" s="18">
        <v>0</v>
      </c>
      <c r="K2930" s="19">
        <v>0</v>
      </c>
      <c r="L2930" s="17"/>
    </row>
    <row r="2931" ht="10.95" customHeight="true" customFormat="true" s="9">
      <c r="A2931" s="16">
        <v>45233</v>
      </c>
      <c r="B2931" s="17" t="s">
        <v>578</v>
      </c>
      <c r="C2931" s="17" t="s">
        <v>572</v>
      </c>
      <c r="D2931" s="17" t="s">
        <v>22</v>
      </c>
      <c r="E2931" s="17" t="s">
        <v>474</v>
      </c>
      <c r="F2931" s="17"/>
      <c r="G2931" s="18">
        <v>5.4300</v>
      </c>
      <c r="H2931" s="18">
        <v>0</v>
      </c>
      <c r="I2931" s="18">
        <f ca="1">((I2930 + G2931) - H2931)</f>
        <v>0</v>
      </c>
      <c r="J2931" s="18">
        <v>0</v>
      </c>
      <c r="K2931" s="19">
        <v>0</v>
      </c>
      <c r="L2931" s="17"/>
    </row>
    <row r="2932" ht="10.95" customHeight="true" customFormat="true" s="9">
      <c r="A2932" s="16">
        <v>45233</v>
      </c>
      <c r="B2932" s="17" t="s">
        <v>578</v>
      </c>
      <c r="C2932" s="17" t="s">
        <v>572</v>
      </c>
      <c r="D2932" s="17" t="s">
        <v>22</v>
      </c>
      <c r="E2932" s="17" t="s">
        <v>430</v>
      </c>
      <c r="F2932" s="17"/>
      <c r="G2932" s="18">
        <v>182.8000</v>
      </c>
      <c r="H2932" s="18">
        <v>0</v>
      </c>
      <c r="I2932" s="18">
        <f ca="1">((I2931 + G2932) - H2932)</f>
        <v>0</v>
      </c>
      <c r="J2932" s="18">
        <v>0</v>
      </c>
      <c r="K2932" s="19">
        <v>0</v>
      </c>
      <c r="L2932" s="17"/>
    </row>
    <row r="2933" ht="10.95" customHeight="true" customFormat="true" s="9">
      <c r="A2933" s="16">
        <v>45236</v>
      </c>
      <c r="B2933" s="17" t="s">
        <v>578</v>
      </c>
      <c r="C2933" s="17" t="s">
        <v>572</v>
      </c>
      <c r="D2933" s="17" t="s">
        <v>19</v>
      </c>
      <c r="E2933" s="17" t="s">
        <v>428</v>
      </c>
      <c r="F2933" s="17"/>
      <c r="G2933" s="18">
        <v>0</v>
      </c>
      <c r="H2933" s="18">
        <v>504.5300</v>
      </c>
      <c r="I2933" s="18">
        <f ca="1">((I2932 + G2933) - H2933)</f>
        <v>0</v>
      </c>
      <c r="J2933" s="18">
        <v>0</v>
      </c>
      <c r="K2933" s="19">
        <v>0</v>
      </c>
      <c r="L2933" s="17"/>
    </row>
    <row r="2934" ht="10.95" customHeight="true" customFormat="true" s="9">
      <c r="A2934" s="16">
        <v>45236</v>
      </c>
      <c r="B2934" s="17" t="s">
        <v>578</v>
      </c>
      <c r="C2934" s="17" t="s">
        <v>572</v>
      </c>
      <c r="D2934" s="17" t="s">
        <v>19</v>
      </c>
      <c r="E2934" s="17" t="s">
        <v>24</v>
      </c>
      <c r="F2934" s="17"/>
      <c r="G2934" s="18">
        <v>0</v>
      </c>
      <c r="H2934" s="18">
        <v>18.1800</v>
      </c>
      <c r="I2934" s="18">
        <f ca="1">((I2933 + G2934) - H2934)</f>
        <v>0</v>
      </c>
      <c r="J2934" s="18">
        <v>0</v>
      </c>
      <c r="K2934" s="19">
        <v>0</v>
      </c>
      <c r="L2934" s="17"/>
    </row>
    <row r="2935" ht="10.95" customHeight="true" customFormat="true" s="9">
      <c r="A2935" s="16">
        <v>45236</v>
      </c>
      <c r="B2935" s="17" t="s">
        <v>578</v>
      </c>
      <c r="C2935" s="17" t="s">
        <v>572</v>
      </c>
      <c r="D2935" s="17" t="s">
        <v>19</v>
      </c>
      <c r="E2935" s="17" t="s">
        <v>428</v>
      </c>
      <c r="F2935" s="17"/>
      <c r="G2935" s="18">
        <v>0</v>
      </c>
      <c r="H2935" s="18">
        <v>513.1500</v>
      </c>
      <c r="I2935" s="18">
        <f ca="1">((I2934 + G2935) - H2935)</f>
        <v>0</v>
      </c>
      <c r="J2935" s="18">
        <v>0</v>
      </c>
      <c r="K2935" s="19">
        <v>0</v>
      </c>
      <c r="L2935" s="17"/>
    </row>
    <row r="2936" ht="10.95" customHeight="true" customFormat="true" s="9">
      <c r="A2936" s="16">
        <v>45236</v>
      </c>
      <c r="B2936" s="17" t="s">
        <v>578</v>
      </c>
      <c r="C2936" s="17" t="s">
        <v>572</v>
      </c>
      <c r="D2936" s="17" t="s">
        <v>19</v>
      </c>
      <c r="E2936" s="17" t="s">
        <v>428</v>
      </c>
      <c r="F2936" s="17"/>
      <c r="G2936" s="18">
        <v>0</v>
      </c>
      <c r="H2936" s="18">
        <v>307.2500</v>
      </c>
      <c r="I2936" s="18">
        <f ca="1">((I2935 + G2936) - H2936)</f>
        <v>0</v>
      </c>
      <c r="J2936" s="18">
        <v>0</v>
      </c>
      <c r="K2936" s="19">
        <v>0</v>
      </c>
      <c r="L2936" s="17"/>
    </row>
    <row r="2937" ht="10.95" customHeight="true" customFormat="true" s="9">
      <c r="A2937" s="16">
        <v>45236</v>
      </c>
      <c r="B2937" s="17" t="s">
        <v>578</v>
      </c>
      <c r="C2937" s="17" t="s">
        <v>572</v>
      </c>
      <c r="D2937" s="17" t="s">
        <v>22</v>
      </c>
      <c r="E2937" s="17" t="s">
        <v>34</v>
      </c>
      <c r="F2937" s="17"/>
      <c r="G2937" s="18">
        <v>227.2700</v>
      </c>
      <c r="H2937" s="18">
        <v>0</v>
      </c>
      <c r="I2937" s="18">
        <f ca="1">((I2936 + G2937) - H2937)</f>
        <v>0</v>
      </c>
      <c r="J2937" s="18">
        <v>0</v>
      </c>
      <c r="K2937" s="19">
        <v>0</v>
      </c>
      <c r="L2937" s="17"/>
    </row>
    <row r="2938" ht="10.95" customHeight="true" customFormat="true" s="9">
      <c r="A2938" s="16">
        <v>45236</v>
      </c>
      <c r="B2938" s="17" t="s">
        <v>578</v>
      </c>
      <c r="C2938" s="17" t="s">
        <v>572</v>
      </c>
      <c r="D2938" s="17" t="s">
        <v>22</v>
      </c>
      <c r="E2938" s="17" t="s">
        <v>431</v>
      </c>
      <c r="F2938" s="17"/>
      <c r="G2938" s="18">
        <v>0.4500</v>
      </c>
      <c r="H2938" s="18">
        <v>0</v>
      </c>
      <c r="I2938" s="18">
        <f ca="1">((I2937 + G2938) - H2938)</f>
        <v>0</v>
      </c>
      <c r="J2938" s="18">
        <v>0</v>
      </c>
      <c r="K2938" s="19">
        <v>0</v>
      </c>
      <c r="L2938" s="17"/>
    </row>
    <row r="2939" ht="10.95" customHeight="true" customFormat="true" s="9">
      <c r="A2939" s="16">
        <v>45238</v>
      </c>
      <c r="B2939" s="17" t="s">
        <v>578</v>
      </c>
      <c r="C2939" s="17" t="s">
        <v>572</v>
      </c>
      <c r="D2939" s="17" t="s">
        <v>19</v>
      </c>
      <c r="E2939" s="17" t="s">
        <v>428</v>
      </c>
      <c r="F2939" s="17"/>
      <c r="G2939" s="18">
        <v>0</v>
      </c>
      <c r="H2939" s="18">
        <v>265.9800</v>
      </c>
      <c r="I2939" s="18">
        <f ca="1">((I2938 + G2939) - H2939)</f>
        <v>0</v>
      </c>
      <c r="J2939" s="18">
        <v>0</v>
      </c>
      <c r="K2939" s="19">
        <v>0</v>
      </c>
      <c r="L2939" s="17"/>
    </row>
    <row r="2940" ht="10.95" customHeight="true" customFormat="true" s="9">
      <c r="A2940" s="16">
        <v>45239</v>
      </c>
      <c r="B2940" s="17" t="s">
        <v>578</v>
      </c>
      <c r="C2940" s="17" t="s">
        <v>572</v>
      </c>
      <c r="D2940" s="17" t="s">
        <v>19</v>
      </c>
      <c r="E2940" s="17" t="s">
        <v>428</v>
      </c>
      <c r="F2940" s="17"/>
      <c r="G2940" s="18">
        <v>0</v>
      </c>
      <c r="H2940" s="18">
        <v>204.6500</v>
      </c>
      <c r="I2940" s="18">
        <f ca="1">((I2939 + G2940) - H2940)</f>
        <v>0</v>
      </c>
      <c r="J2940" s="18">
        <v>0</v>
      </c>
      <c r="K2940" s="19">
        <v>0</v>
      </c>
      <c r="L2940" s="17"/>
    </row>
    <row r="2941" ht="10.95" customHeight="true" customFormat="true" s="9">
      <c r="A2941" s="16">
        <v>45240</v>
      </c>
      <c r="B2941" s="17" t="s">
        <v>578</v>
      </c>
      <c r="C2941" s="17" t="s">
        <v>572</v>
      </c>
      <c r="D2941" s="17" t="s">
        <v>19</v>
      </c>
      <c r="E2941" s="17" t="s">
        <v>428</v>
      </c>
      <c r="F2941" s="17"/>
      <c r="G2941" s="18">
        <v>0</v>
      </c>
      <c r="H2941" s="18">
        <v>212.4900</v>
      </c>
      <c r="I2941" s="18">
        <f ca="1">((I2940 + G2941) - H2941)</f>
        <v>0</v>
      </c>
      <c r="J2941" s="18">
        <v>0</v>
      </c>
      <c r="K2941" s="19">
        <v>0</v>
      </c>
      <c r="L2941" s="17"/>
    </row>
    <row r="2942" ht="10.95" customHeight="true" customFormat="true" s="9">
      <c r="A2942" s="16">
        <v>45243</v>
      </c>
      <c r="B2942" s="17" t="s">
        <v>578</v>
      </c>
      <c r="C2942" s="17" t="s">
        <v>572</v>
      </c>
      <c r="D2942" s="17" t="s">
        <v>19</v>
      </c>
      <c r="E2942" s="17" t="s">
        <v>428</v>
      </c>
      <c r="F2942" s="17"/>
      <c r="G2942" s="18">
        <v>0</v>
      </c>
      <c r="H2942" s="18">
        <v>545.1400</v>
      </c>
      <c r="I2942" s="18">
        <f ca="1">((I2941 + G2942) - H2942)</f>
        <v>0</v>
      </c>
      <c r="J2942" s="18">
        <v>0</v>
      </c>
      <c r="K2942" s="19">
        <v>0</v>
      </c>
      <c r="L2942" s="17"/>
    </row>
    <row r="2943" ht="10.95" customHeight="true" customFormat="true" s="9">
      <c r="A2943" s="16">
        <v>45243</v>
      </c>
      <c r="B2943" s="17" t="s">
        <v>578</v>
      </c>
      <c r="C2943" s="17" t="s">
        <v>572</v>
      </c>
      <c r="D2943" s="17" t="s">
        <v>22</v>
      </c>
      <c r="E2943" s="17" t="s">
        <v>459</v>
      </c>
      <c r="F2943" s="17"/>
      <c r="G2943" s="18">
        <v>29.7800</v>
      </c>
      <c r="H2943" s="18">
        <v>0</v>
      </c>
      <c r="I2943" s="18">
        <f ca="1">((I2942 + G2943) - H2943)</f>
        <v>0</v>
      </c>
      <c r="J2943" s="18">
        <v>0</v>
      </c>
      <c r="K2943" s="19">
        <v>0</v>
      </c>
      <c r="L2943" s="17"/>
    </row>
    <row r="2944" ht="10.95" customHeight="true" customFormat="true" s="9">
      <c r="A2944" s="16">
        <v>45243</v>
      </c>
      <c r="B2944" s="17" t="s">
        <v>578</v>
      </c>
      <c r="C2944" s="17" t="s">
        <v>572</v>
      </c>
      <c r="D2944" s="17" t="s">
        <v>22</v>
      </c>
      <c r="E2944" s="17" t="s">
        <v>298</v>
      </c>
      <c r="F2944" s="17"/>
      <c r="G2944" s="18">
        <v>544.0000</v>
      </c>
      <c r="H2944" s="18">
        <v>0</v>
      </c>
      <c r="I2944" s="18">
        <f ca="1">((I2943 + G2944) - H2944)</f>
        <v>0</v>
      </c>
      <c r="J2944" s="18">
        <v>0</v>
      </c>
      <c r="K2944" s="19">
        <v>0</v>
      </c>
      <c r="L2944" s="17"/>
    </row>
    <row r="2945" ht="10.95" customHeight="true" customFormat="true" s="9">
      <c r="A2945" s="16">
        <v>45243</v>
      </c>
      <c r="B2945" s="17" t="s">
        <v>578</v>
      </c>
      <c r="C2945" s="17" t="s">
        <v>572</v>
      </c>
      <c r="D2945" s="17" t="s">
        <v>22</v>
      </c>
      <c r="E2945" s="17" t="s">
        <v>430</v>
      </c>
      <c r="F2945" s="17"/>
      <c r="G2945" s="18">
        <v>219.0200</v>
      </c>
      <c r="H2945" s="18">
        <v>0</v>
      </c>
      <c r="I2945" s="18">
        <f ca="1">((I2944 + G2945) - H2945)</f>
        <v>0</v>
      </c>
      <c r="J2945" s="18">
        <v>0</v>
      </c>
      <c r="K2945" s="19">
        <v>0</v>
      </c>
      <c r="L2945" s="17"/>
    </row>
    <row r="2946" ht="10.95" customHeight="true" customFormat="true" s="9">
      <c r="A2946" s="16">
        <v>45243</v>
      </c>
      <c r="B2946" s="17" t="s">
        <v>578</v>
      </c>
      <c r="C2946" s="17" t="s">
        <v>572</v>
      </c>
      <c r="D2946" s="17" t="s">
        <v>19</v>
      </c>
      <c r="E2946" s="17" t="s">
        <v>428</v>
      </c>
      <c r="F2946" s="17"/>
      <c r="G2946" s="18">
        <v>0</v>
      </c>
      <c r="H2946" s="18">
        <v>252.0000</v>
      </c>
      <c r="I2946" s="18">
        <f ca="1">((I2945 + G2946) - H2946)</f>
        <v>0</v>
      </c>
      <c r="J2946" s="18">
        <v>0</v>
      </c>
      <c r="K2946" s="19">
        <v>0</v>
      </c>
      <c r="L2946" s="17"/>
    </row>
    <row r="2947" ht="10.95" customHeight="true" customFormat="true" s="9">
      <c r="A2947" s="16">
        <v>45243</v>
      </c>
      <c r="B2947" s="17" t="s">
        <v>578</v>
      </c>
      <c r="C2947" s="17" t="s">
        <v>572</v>
      </c>
      <c r="D2947" s="17" t="s">
        <v>22</v>
      </c>
      <c r="E2947" s="17" t="s">
        <v>430</v>
      </c>
      <c r="F2947" s="17"/>
      <c r="G2947" s="18">
        <v>173.9900</v>
      </c>
      <c r="H2947" s="18">
        <v>0</v>
      </c>
      <c r="I2947" s="18">
        <f ca="1">((I2946 + G2947) - H2947)</f>
        <v>0</v>
      </c>
      <c r="J2947" s="18">
        <v>0</v>
      </c>
      <c r="K2947" s="19">
        <v>0</v>
      </c>
      <c r="L2947" s="17"/>
    </row>
    <row r="2948" ht="10.95" customHeight="true" customFormat="true" s="9">
      <c r="A2948" s="16">
        <v>45243</v>
      </c>
      <c r="B2948" s="17" t="s">
        <v>578</v>
      </c>
      <c r="C2948" s="17" t="s">
        <v>572</v>
      </c>
      <c r="D2948" s="17" t="s">
        <v>19</v>
      </c>
      <c r="E2948" s="17" t="s">
        <v>24</v>
      </c>
      <c r="F2948" s="17"/>
      <c r="G2948" s="18">
        <v>0</v>
      </c>
      <c r="H2948" s="18">
        <v>22.7300</v>
      </c>
      <c r="I2948" s="18">
        <f ca="1">((I2947 + G2948) - H2948)</f>
        <v>0</v>
      </c>
      <c r="J2948" s="18">
        <v>0</v>
      </c>
      <c r="K2948" s="19">
        <v>0</v>
      </c>
      <c r="L2948" s="17"/>
    </row>
    <row r="2949" ht="10.95" customHeight="true" customFormat="true" s="9">
      <c r="A2949" s="16">
        <v>45243</v>
      </c>
      <c r="B2949" s="17" t="s">
        <v>578</v>
      </c>
      <c r="C2949" s="17" t="s">
        <v>572</v>
      </c>
      <c r="D2949" s="17" t="s">
        <v>19</v>
      </c>
      <c r="E2949" s="17" t="s">
        <v>428</v>
      </c>
      <c r="F2949" s="17"/>
      <c r="G2949" s="18">
        <v>0</v>
      </c>
      <c r="H2949" s="18">
        <v>482.1300</v>
      </c>
      <c r="I2949" s="18">
        <f ca="1">((I2948 + G2949) - H2949)</f>
        <v>0</v>
      </c>
      <c r="J2949" s="18">
        <v>0</v>
      </c>
      <c r="K2949" s="19">
        <v>0</v>
      </c>
      <c r="L2949" s="17"/>
    </row>
    <row r="2950" ht="10.95" customHeight="true" customFormat="true" s="9">
      <c r="A2950" s="16">
        <v>45243</v>
      </c>
      <c r="B2950" s="17" t="s">
        <v>578</v>
      </c>
      <c r="C2950" s="17" t="s">
        <v>572</v>
      </c>
      <c r="D2950" s="17" t="s">
        <v>22</v>
      </c>
      <c r="E2950" s="17" t="s">
        <v>34</v>
      </c>
      <c r="F2950" s="17"/>
      <c r="G2950" s="18">
        <v>191.6300</v>
      </c>
      <c r="H2950" s="18">
        <v>0</v>
      </c>
      <c r="I2950" s="18">
        <f ca="1">((I2949 + G2950) - H2950)</f>
        <v>0</v>
      </c>
      <c r="J2950" s="18">
        <v>0</v>
      </c>
      <c r="K2950" s="19">
        <v>0</v>
      </c>
      <c r="L2950" s="17"/>
    </row>
    <row r="2951" ht="10.95" customHeight="true" customFormat="true" s="9">
      <c r="A2951" s="16">
        <v>45244</v>
      </c>
      <c r="B2951" s="17" t="s">
        <v>578</v>
      </c>
      <c r="C2951" s="17" t="s">
        <v>572</v>
      </c>
      <c r="D2951" s="17" t="s">
        <v>22</v>
      </c>
      <c r="E2951" s="17" t="s">
        <v>430</v>
      </c>
      <c r="F2951" s="17"/>
      <c r="G2951" s="18">
        <v>135.7500</v>
      </c>
      <c r="H2951" s="18">
        <v>0</v>
      </c>
      <c r="I2951" s="18">
        <f ca="1">((I2950 + G2951) - H2951)</f>
        <v>0</v>
      </c>
      <c r="J2951" s="18">
        <v>0</v>
      </c>
      <c r="K2951" s="19">
        <v>0</v>
      </c>
      <c r="L2951" s="17"/>
    </row>
    <row r="2952" ht="10.95" customHeight="true" customFormat="true" s="9">
      <c r="A2952" s="16">
        <v>45244</v>
      </c>
      <c r="B2952" s="17" t="s">
        <v>578</v>
      </c>
      <c r="C2952" s="17" t="s">
        <v>572</v>
      </c>
      <c r="D2952" s="17" t="s">
        <v>22</v>
      </c>
      <c r="E2952" s="17" t="s">
        <v>452</v>
      </c>
      <c r="F2952" s="17"/>
      <c r="G2952" s="18">
        <v>24.0000</v>
      </c>
      <c r="H2952" s="18">
        <v>0</v>
      </c>
      <c r="I2952" s="18">
        <f ca="1">((I2951 + G2952) - H2952)</f>
        <v>0</v>
      </c>
      <c r="J2952" s="18">
        <v>0</v>
      </c>
      <c r="K2952" s="19">
        <v>0</v>
      </c>
      <c r="L2952" s="17"/>
    </row>
    <row r="2953" ht="10.95" customHeight="true" customFormat="true" s="9">
      <c r="A2953" s="16">
        <v>45245</v>
      </c>
      <c r="B2953" s="17" t="s">
        <v>578</v>
      </c>
      <c r="C2953" s="17" t="s">
        <v>572</v>
      </c>
      <c r="D2953" s="17" t="s">
        <v>22</v>
      </c>
      <c r="E2953" s="17" t="s">
        <v>478</v>
      </c>
      <c r="F2953" s="17"/>
      <c r="G2953" s="18">
        <v>29.5300</v>
      </c>
      <c r="H2953" s="18">
        <v>0</v>
      </c>
      <c r="I2953" s="18">
        <f ca="1">((I2952 + G2953) - H2953)</f>
        <v>0</v>
      </c>
      <c r="J2953" s="18">
        <v>0</v>
      </c>
      <c r="K2953" s="19">
        <v>0</v>
      </c>
      <c r="L2953" s="17"/>
    </row>
    <row r="2954" ht="10.95" customHeight="true" customFormat="true" s="9">
      <c r="A2954" s="16">
        <v>45245</v>
      </c>
      <c r="B2954" s="17" t="s">
        <v>578</v>
      </c>
      <c r="C2954" s="17" t="s">
        <v>572</v>
      </c>
      <c r="D2954" s="17" t="s">
        <v>19</v>
      </c>
      <c r="E2954" s="17" t="s">
        <v>428</v>
      </c>
      <c r="F2954" s="17"/>
      <c r="G2954" s="18">
        <v>0</v>
      </c>
      <c r="H2954" s="18">
        <v>202.1300</v>
      </c>
      <c r="I2954" s="18">
        <f ca="1">((I2953 + G2954) - H2954)</f>
        <v>0</v>
      </c>
      <c r="J2954" s="18">
        <v>0</v>
      </c>
      <c r="K2954" s="19">
        <v>0</v>
      </c>
      <c r="L2954" s="17"/>
    </row>
    <row r="2955" ht="10.95" customHeight="true" customFormat="true" s="9">
      <c r="A2955" s="16">
        <v>45246</v>
      </c>
      <c r="B2955" s="17" t="s">
        <v>578</v>
      </c>
      <c r="C2955" s="17" t="s">
        <v>572</v>
      </c>
      <c r="D2955" s="17" t="s">
        <v>19</v>
      </c>
      <c r="E2955" s="17" t="s">
        <v>428</v>
      </c>
      <c r="F2955" s="17"/>
      <c r="G2955" s="18">
        <v>0</v>
      </c>
      <c r="H2955" s="18">
        <v>295.9000</v>
      </c>
      <c r="I2955" s="18">
        <f ca="1">((I2954 + G2955) - H2955)</f>
        <v>0</v>
      </c>
      <c r="J2955" s="18">
        <v>0</v>
      </c>
      <c r="K2955" s="19">
        <v>0</v>
      </c>
      <c r="L2955" s="17"/>
    </row>
    <row r="2956" ht="10.95" customHeight="true" customFormat="true" s="9">
      <c r="A2956" s="16">
        <v>45247</v>
      </c>
      <c r="B2956" s="17" t="s">
        <v>578</v>
      </c>
      <c r="C2956" s="17" t="s">
        <v>572</v>
      </c>
      <c r="D2956" s="17" t="s">
        <v>22</v>
      </c>
      <c r="E2956" s="17" t="s">
        <v>479</v>
      </c>
      <c r="F2956" s="17"/>
      <c r="G2956" s="18">
        <v>1.8400</v>
      </c>
      <c r="H2956" s="18">
        <v>0</v>
      </c>
      <c r="I2956" s="18">
        <f ca="1">((I2955 + G2956) - H2956)</f>
        <v>0</v>
      </c>
      <c r="J2956" s="18">
        <v>0</v>
      </c>
      <c r="K2956" s="19">
        <v>0</v>
      </c>
      <c r="L2956" s="17"/>
    </row>
    <row r="2957" ht="10.95" customHeight="true" customFormat="true" s="9">
      <c r="A2957" s="16">
        <v>45247</v>
      </c>
      <c r="B2957" s="17" t="s">
        <v>578</v>
      </c>
      <c r="C2957" s="17" t="s">
        <v>572</v>
      </c>
      <c r="D2957" s="17" t="s">
        <v>22</v>
      </c>
      <c r="E2957" s="17" t="s">
        <v>430</v>
      </c>
      <c r="F2957" s="17"/>
      <c r="G2957" s="18">
        <v>152.7000</v>
      </c>
      <c r="H2957" s="18">
        <v>0</v>
      </c>
      <c r="I2957" s="18">
        <f ca="1">((I2956 + G2957) - H2957)</f>
        <v>0</v>
      </c>
      <c r="J2957" s="18">
        <v>0</v>
      </c>
      <c r="K2957" s="19">
        <v>0</v>
      </c>
      <c r="L2957" s="17"/>
    </row>
    <row r="2958" ht="10.95" customHeight="true" customFormat="true" s="9">
      <c r="A2958" s="16">
        <v>45247</v>
      </c>
      <c r="B2958" s="17" t="s">
        <v>578</v>
      </c>
      <c r="C2958" s="17" t="s">
        <v>572</v>
      </c>
      <c r="D2958" s="17" t="s">
        <v>19</v>
      </c>
      <c r="E2958" s="17" t="s">
        <v>428</v>
      </c>
      <c r="F2958" s="17"/>
      <c r="G2958" s="18">
        <v>0</v>
      </c>
      <c r="H2958" s="18">
        <v>199.9500</v>
      </c>
      <c r="I2958" s="18">
        <f ca="1">((I2957 + G2958) - H2958)</f>
        <v>0</v>
      </c>
      <c r="J2958" s="18">
        <v>0</v>
      </c>
      <c r="K2958" s="19">
        <v>0</v>
      </c>
      <c r="L2958" s="17"/>
    </row>
    <row r="2959" ht="10.95" customHeight="true" customFormat="true" s="9">
      <c r="A2959" s="16">
        <v>45247</v>
      </c>
      <c r="B2959" s="17" t="s">
        <v>578</v>
      </c>
      <c r="C2959" s="17" t="s">
        <v>572</v>
      </c>
      <c r="D2959" s="17" t="s">
        <v>22</v>
      </c>
      <c r="E2959" s="17" t="s">
        <v>436</v>
      </c>
      <c r="F2959" s="17"/>
      <c r="G2959" s="18">
        <v>9.8200</v>
      </c>
      <c r="H2959" s="18">
        <v>0</v>
      </c>
      <c r="I2959" s="18">
        <f ca="1">((I2958 + G2959) - H2959)</f>
        <v>0</v>
      </c>
      <c r="J2959" s="18">
        <v>0</v>
      </c>
      <c r="K2959" s="19">
        <v>0</v>
      </c>
      <c r="L2959" s="17"/>
    </row>
    <row r="2960" ht="10.95" customHeight="true" customFormat="true" s="9">
      <c r="A2960" s="16">
        <v>45250</v>
      </c>
      <c r="B2960" s="17" t="s">
        <v>578</v>
      </c>
      <c r="C2960" s="17" t="s">
        <v>572</v>
      </c>
      <c r="D2960" s="17" t="s">
        <v>22</v>
      </c>
      <c r="E2960" s="17" t="s">
        <v>34</v>
      </c>
      <c r="F2960" s="17"/>
      <c r="G2960" s="18">
        <v>208.8400</v>
      </c>
      <c r="H2960" s="18">
        <v>0</v>
      </c>
      <c r="I2960" s="18">
        <f ca="1">((I2959 + G2960) - H2960)</f>
        <v>0</v>
      </c>
      <c r="J2960" s="18">
        <v>0</v>
      </c>
      <c r="K2960" s="19">
        <v>0</v>
      </c>
      <c r="L2960" s="17"/>
    </row>
    <row r="2961" ht="10.95" customHeight="true" customFormat="true" s="9">
      <c r="A2961" s="16">
        <v>45250</v>
      </c>
      <c r="B2961" s="17" t="s">
        <v>578</v>
      </c>
      <c r="C2961" s="17" t="s">
        <v>572</v>
      </c>
      <c r="D2961" s="17" t="s">
        <v>19</v>
      </c>
      <c r="E2961" s="17" t="s">
        <v>428</v>
      </c>
      <c r="F2961" s="17"/>
      <c r="G2961" s="18">
        <v>0</v>
      </c>
      <c r="H2961" s="18">
        <v>511.3600</v>
      </c>
      <c r="I2961" s="18">
        <f ca="1">((I2960 + G2961) - H2961)</f>
        <v>0</v>
      </c>
      <c r="J2961" s="18">
        <v>0</v>
      </c>
      <c r="K2961" s="19">
        <v>0</v>
      </c>
      <c r="L2961" s="17"/>
    </row>
    <row r="2962" ht="10.95" customHeight="true" customFormat="true" s="9">
      <c r="A2962" s="16">
        <v>45250</v>
      </c>
      <c r="B2962" s="17" t="s">
        <v>578</v>
      </c>
      <c r="C2962" s="17" t="s">
        <v>572</v>
      </c>
      <c r="D2962" s="17" t="s">
        <v>19</v>
      </c>
      <c r="E2962" s="17" t="s">
        <v>428</v>
      </c>
      <c r="F2962" s="17"/>
      <c r="G2962" s="18">
        <v>0</v>
      </c>
      <c r="H2962" s="18">
        <v>514.3500</v>
      </c>
      <c r="I2962" s="18">
        <f ca="1">((I2961 + G2962) - H2962)</f>
        <v>0</v>
      </c>
      <c r="J2962" s="18">
        <v>0</v>
      </c>
      <c r="K2962" s="19">
        <v>0</v>
      </c>
      <c r="L2962" s="17"/>
    </row>
    <row r="2963" ht="10.95" customHeight="true" customFormat="true" s="9">
      <c r="A2963" s="16">
        <v>45250</v>
      </c>
      <c r="B2963" s="17" t="s">
        <v>578</v>
      </c>
      <c r="C2963" s="17" t="s">
        <v>572</v>
      </c>
      <c r="D2963" s="17" t="s">
        <v>19</v>
      </c>
      <c r="E2963" s="17" t="s">
        <v>24</v>
      </c>
      <c r="F2963" s="17"/>
      <c r="G2963" s="18">
        <v>0</v>
      </c>
      <c r="H2963" s="18">
        <v>18.1800</v>
      </c>
      <c r="I2963" s="18">
        <f ca="1">((I2962 + G2963) - H2963)</f>
        <v>0</v>
      </c>
      <c r="J2963" s="18">
        <v>0</v>
      </c>
      <c r="K2963" s="19">
        <v>0</v>
      </c>
      <c r="L2963" s="17"/>
    </row>
    <row r="2964" ht="10.95" customHeight="true" customFormat="true" s="9">
      <c r="A2964" s="16">
        <v>45250</v>
      </c>
      <c r="B2964" s="17" t="s">
        <v>578</v>
      </c>
      <c r="C2964" s="17" t="s">
        <v>572</v>
      </c>
      <c r="D2964" s="17" t="s">
        <v>19</v>
      </c>
      <c r="E2964" s="17" t="s">
        <v>428</v>
      </c>
      <c r="F2964" s="17"/>
      <c r="G2964" s="18">
        <v>0</v>
      </c>
      <c r="H2964" s="18">
        <v>307.2000</v>
      </c>
      <c r="I2964" s="18">
        <f ca="1">((I2963 + G2964) - H2964)</f>
        <v>0</v>
      </c>
      <c r="J2964" s="18">
        <v>0</v>
      </c>
      <c r="K2964" s="19">
        <v>0</v>
      </c>
      <c r="L2964" s="17"/>
    </row>
    <row r="2965" ht="10.95" customHeight="true" customFormat="true" s="9">
      <c r="A2965" s="16">
        <v>45251</v>
      </c>
      <c r="B2965" s="17" t="s">
        <v>578</v>
      </c>
      <c r="C2965" s="17" t="s">
        <v>572</v>
      </c>
      <c r="D2965" s="17" t="s">
        <v>22</v>
      </c>
      <c r="E2965" s="17" t="s">
        <v>430</v>
      </c>
      <c r="F2965" s="17"/>
      <c r="G2965" s="18">
        <v>155.6500</v>
      </c>
      <c r="H2965" s="18">
        <v>0</v>
      </c>
      <c r="I2965" s="18">
        <f ca="1">((I2964 + G2965) - H2965)</f>
        <v>0</v>
      </c>
      <c r="J2965" s="18">
        <v>0</v>
      </c>
      <c r="K2965" s="19">
        <v>0</v>
      </c>
      <c r="L2965" s="17"/>
    </row>
    <row r="2966" ht="10.95" customHeight="true" customFormat="true" s="9">
      <c r="A2966" s="16">
        <v>45252</v>
      </c>
      <c r="B2966" s="17" t="s">
        <v>578</v>
      </c>
      <c r="C2966" s="17" t="s">
        <v>572</v>
      </c>
      <c r="D2966" s="17" t="s">
        <v>19</v>
      </c>
      <c r="E2966" s="17" t="s">
        <v>428</v>
      </c>
      <c r="F2966" s="17"/>
      <c r="G2966" s="18">
        <v>0</v>
      </c>
      <c r="H2966" s="18">
        <v>217.4600</v>
      </c>
      <c r="I2966" s="18">
        <f ca="1">((I2965 + G2966) - H2966)</f>
        <v>0</v>
      </c>
      <c r="J2966" s="18">
        <v>0</v>
      </c>
      <c r="K2966" s="19">
        <v>0</v>
      </c>
      <c r="L2966" s="17"/>
    </row>
    <row r="2967" ht="10.95" customHeight="true" customFormat="true" s="9">
      <c r="A2967" s="16">
        <v>45253</v>
      </c>
      <c r="B2967" s="17" t="s">
        <v>578</v>
      </c>
      <c r="C2967" s="17" t="s">
        <v>572</v>
      </c>
      <c r="D2967" s="17" t="s">
        <v>19</v>
      </c>
      <c r="E2967" s="17" t="s">
        <v>428</v>
      </c>
      <c r="F2967" s="17"/>
      <c r="G2967" s="18">
        <v>0</v>
      </c>
      <c r="H2967" s="18">
        <v>218.2100</v>
      </c>
      <c r="I2967" s="18">
        <f ca="1">((I2966 + G2967) - H2967)</f>
        <v>0</v>
      </c>
      <c r="J2967" s="18">
        <v>0</v>
      </c>
      <c r="K2967" s="19">
        <v>0</v>
      </c>
      <c r="L2967" s="17"/>
    </row>
    <row r="2968" ht="10.95" customHeight="true" customFormat="true" s="9">
      <c r="A2968" s="16">
        <v>45253</v>
      </c>
      <c r="B2968" s="17" t="s">
        <v>578</v>
      </c>
      <c r="C2968" s="17" t="s">
        <v>572</v>
      </c>
      <c r="D2968" s="17" t="s">
        <v>22</v>
      </c>
      <c r="E2968" s="17" t="s">
        <v>459</v>
      </c>
      <c r="F2968" s="17"/>
      <c r="G2968" s="18">
        <v>12.6000</v>
      </c>
      <c r="H2968" s="18">
        <v>0</v>
      </c>
      <c r="I2968" s="18">
        <f ca="1">((I2967 + G2968) - H2968)</f>
        <v>0</v>
      </c>
      <c r="J2968" s="18">
        <v>0</v>
      </c>
      <c r="K2968" s="19">
        <v>0</v>
      </c>
      <c r="L2968" s="17"/>
    </row>
    <row r="2969" ht="10.95" customHeight="true" customFormat="true" s="9">
      <c r="A2969" s="16">
        <v>45254</v>
      </c>
      <c r="B2969" s="17" t="s">
        <v>578</v>
      </c>
      <c r="C2969" s="17" t="s">
        <v>572</v>
      </c>
      <c r="D2969" s="17" t="s">
        <v>22</v>
      </c>
      <c r="E2969" s="17" t="s">
        <v>442</v>
      </c>
      <c r="F2969" s="17"/>
      <c r="G2969" s="18">
        <v>16.7300</v>
      </c>
      <c r="H2969" s="18">
        <v>0</v>
      </c>
      <c r="I2969" s="18">
        <f ca="1">((I2968 + G2969) - H2969)</f>
        <v>0</v>
      </c>
      <c r="J2969" s="18">
        <v>0</v>
      </c>
      <c r="K2969" s="19">
        <v>0</v>
      </c>
      <c r="L2969" s="17"/>
    </row>
    <row r="2970" ht="10.95" customHeight="true" customFormat="true" s="9">
      <c r="A2970" s="16">
        <v>45254</v>
      </c>
      <c r="B2970" s="17" t="s">
        <v>578</v>
      </c>
      <c r="C2970" s="17" t="s">
        <v>572</v>
      </c>
      <c r="D2970" s="17" t="s">
        <v>19</v>
      </c>
      <c r="E2970" s="17" t="s">
        <v>428</v>
      </c>
      <c r="F2970" s="17"/>
      <c r="G2970" s="18">
        <v>0</v>
      </c>
      <c r="H2970" s="18">
        <v>264.3700</v>
      </c>
      <c r="I2970" s="18">
        <f ca="1">((I2969 + G2970) - H2970)</f>
        <v>0</v>
      </c>
      <c r="J2970" s="18">
        <v>0</v>
      </c>
      <c r="K2970" s="19">
        <v>0</v>
      </c>
      <c r="L2970" s="17"/>
    </row>
    <row r="2971" ht="10.95" customHeight="true" customFormat="true" s="9">
      <c r="A2971" s="16">
        <v>45257</v>
      </c>
      <c r="B2971" s="17" t="s">
        <v>578</v>
      </c>
      <c r="C2971" s="17" t="s">
        <v>572</v>
      </c>
      <c r="D2971" s="17" t="s">
        <v>22</v>
      </c>
      <c r="E2971" s="17" t="s">
        <v>430</v>
      </c>
      <c r="F2971" s="17"/>
      <c r="G2971" s="18">
        <v>161.9800</v>
      </c>
      <c r="H2971" s="18">
        <v>0</v>
      </c>
      <c r="I2971" s="18">
        <f ca="1">((I2970 + G2971) - H2971)</f>
        <v>0</v>
      </c>
      <c r="J2971" s="18">
        <v>0</v>
      </c>
      <c r="K2971" s="19">
        <v>0</v>
      </c>
      <c r="L2971" s="17"/>
    </row>
    <row r="2972" ht="10.95" customHeight="true" customFormat="true" s="9">
      <c r="A2972" s="16">
        <v>45257</v>
      </c>
      <c r="B2972" s="17" t="s">
        <v>578</v>
      </c>
      <c r="C2972" s="17" t="s">
        <v>572</v>
      </c>
      <c r="D2972" s="17" t="s">
        <v>19</v>
      </c>
      <c r="E2972" s="17" t="s">
        <v>24</v>
      </c>
      <c r="F2972" s="17"/>
      <c r="G2972" s="18">
        <v>0</v>
      </c>
      <c r="H2972" s="18">
        <v>18.1800</v>
      </c>
      <c r="I2972" s="18">
        <f ca="1">((I2971 + G2972) - H2972)</f>
        <v>0</v>
      </c>
      <c r="J2972" s="18">
        <v>0</v>
      </c>
      <c r="K2972" s="19">
        <v>0</v>
      </c>
      <c r="L2972" s="17"/>
    </row>
    <row r="2973" ht="10.95" customHeight="true" customFormat="true" s="9">
      <c r="A2973" s="16">
        <v>45257</v>
      </c>
      <c r="B2973" s="17" t="s">
        <v>578</v>
      </c>
      <c r="C2973" s="17" t="s">
        <v>572</v>
      </c>
      <c r="D2973" s="17" t="s">
        <v>19</v>
      </c>
      <c r="E2973" s="17" t="s">
        <v>428</v>
      </c>
      <c r="F2973" s="17"/>
      <c r="G2973" s="18">
        <v>0</v>
      </c>
      <c r="H2973" s="18">
        <v>563.4100</v>
      </c>
      <c r="I2973" s="18">
        <f ca="1">((I2972 + G2973) - H2973)</f>
        <v>0</v>
      </c>
      <c r="J2973" s="18">
        <v>0</v>
      </c>
      <c r="K2973" s="19">
        <v>0</v>
      </c>
      <c r="L2973" s="17"/>
    </row>
    <row r="2974" ht="10.95" customHeight="true" customFormat="true" s="9">
      <c r="A2974" s="16">
        <v>45257</v>
      </c>
      <c r="B2974" s="17" t="s">
        <v>578</v>
      </c>
      <c r="C2974" s="17" t="s">
        <v>572</v>
      </c>
      <c r="D2974" s="17" t="s">
        <v>22</v>
      </c>
      <c r="E2974" s="17" t="s">
        <v>34</v>
      </c>
      <c r="F2974" s="17"/>
      <c r="G2974" s="18">
        <v>231.9300</v>
      </c>
      <c r="H2974" s="18">
        <v>0</v>
      </c>
      <c r="I2974" s="18">
        <f ca="1">((I2973 + G2974) - H2974)</f>
        <v>0</v>
      </c>
      <c r="J2974" s="18">
        <v>0</v>
      </c>
      <c r="K2974" s="19">
        <v>0</v>
      </c>
      <c r="L2974" s="17"/>
    </row>
    <row r="2975" ht="10.95" customHeight="true" customFormat="true" s="9">
      <c r="A2975" s="16">
        <v>45257</v>
      </c>
      <c r="B2975" s="17" t="s">
        <v>578</v>
      </c>
      <c r="C2975" s="17" t="s">
        <v>572</v>
      </c>
      <c r="D2975" s="17" t="s">
        <v>19</v>
      </c>
      <c r="E2975" s="17" t="s">
        <v>428</v>
      </c>
      <c r="F2975" s="17"/>
      <c r="G2975" s="18">
        <v>0</v>
      </c>
      <c r="H2975" s="18">
        <v>282.1800</v>
      </c>
      <c r="I2975" s="18">
        <f ca="1">((I2974 + G2975) - H2975)</f>
        <v>0</v>
      </c>
      <c r="J2975" s="18">
        <v>0</v>
      </c>
      <c r="K2975" s="19">
        <v>0</v>
      </c>
      <c r="L2975" s="17"/>
    </row>
    <row r="2976" ht="10.95" customHeight="true" customFormat="true" s="9">
      <c r="A2976" s="16">
        <v>45257</v>
      </c>
      <c r="B2976" s="17" t="s">
        <v>578</v>
      </c>
      <c r="C2976" s="17" t="s">
        <v>572</v>
      </c>
      <c r="D2976" s="17" t="s">
        <v>22</v>
      </c>
      <c r="E2976" s="17" t="s">
        <v>482</v>
      </c>
      <c r="F2976" s="17"/>
      <c r="G2976" s="18">
        <v>6.5400</v>
      </c>
      <c r="H2976" s="18">
        <v>0</v>
      </c>
      <c r="I2976" s="18">
        <f ca="1">((I2975 + G2976) - H2976)</f>
        <v>0</v>
      </c>
      <c r="J2976" s="18">
        <v>0</v>
      </c>
      <c r="K2976" s="19">
        <v>0</v>
      </c>
      <c r="L2976" s="17"/>
    </row>
    <row r="2977" ht="10.95" customHeight="true" customFormat="true" s="9">
      <c r="A2977" s="16">
        <v>45257</v>
      </c>
      <c r="B2977" s="17" t="s">
        <v>578</v>
      </c>
      <c r="C2977" s="17" t="s">
        <v>572</v>
      </c>
      <c r="D2977" s="17" t="s">
        <v>19</v>
      </c>
      <c r="E2977" s="17" t="s">
        <v>428</v>
      </c>
      <c r="F2977" s="17"/>
      <c r="G2977" s="18">
        <v>0</v>
      </c>
      <c r="H2977" s="18">
        <v>519.5400</v>
      </c>
      <c r="I2977" s="18">
        <f ca="1">((I2976 + G2977) - H2977)</f>
        <v>0</v>
      </c>
      <c r="J2977" s="18">
        <v>0</v>
      </c>
      <c r="K2977" s="19">
        <v>0</v>
      </c>
      <c r="L2977" s="17"/>
    </row>
    <row r="2978" ht="10.95" customHeight="true" customFormat="true" s="9">
      <c r="A2978" s="16">
        <v>45259</v>
      </c>
      <c r="B2978" s="17" t="s">
        <v>578</v>
      </c>
      <c r="C2978" s="17" t="s">
        <v>572</v>
      </c>
      <c r="D2978" s="17" t="s">
        <v>22</v>
      </c>
      <c r="E2978" s="17" t="s">
        <v>430</v>
      </c>
      <c r="F2978" s="17"/>
      <c r="G2978" s="18">
        <v>145.4700</v>
      </c>
      <c r="H2978" s="18">
        <v>0</v>
      </c>
      <c r="I2978" s="18">
        <f ca="1">((I2977 + G2978) - H2978)</f>
        <v>0</v>
      </c>
      <c r="J2978" s="18">
        <v>0</v>
      </c>
      <c r="K2978" s="19">
        <v>0</v>
      </c>
      <c r="L2978" s="17"/>
    </row>
    <row r="2979" ht="10.95" customHeight="true" customFormat="true" s="9">
      <c r="A2979" s="16">
        <v>45259</v>
      </c>
      <c r="B2979" s="17" t="s">
        <v>578</v>
      </c>
      <c r="C2979" s="17" t="s">
        <v>572</v>
      </c>
      <c r="D2979" s="17" t="s">
        <v>19</v>
      </c>
      <c r="E2979" s="17" t="s">
        <v>428</v>
      </c>
      <c r="F2979" s="17"/>
      <c r="G2979" s="18">
        <v>0</v>
      </c>
      <c r="H2979" s="18">
        <v>234.7000</v>
      </c>
      <c r="I2979" s="18">
        <f ca="1">((I2978 + G2979) - H2979)</f>
        <v>0</v>
      </c>
      <c r="J2979" s="18">
        <v>0</v>
      </c>
      <c r="K2979" s="19">
        <v>0</v>
      </c>
      <c r="L2979" s="17"/>
    </row>
    <row r="2980" ht="10.95" customHeight="true" customFormat="true" s="9">
      <c r="A2980" s="16">
        <v>45260</v>
      </c>
      <c r="B2980" s="17" t="s">
        <v>578</v>
      </c>
      <c r="C2980" s="17" t="s">
        <v>572</v>
      </c>
      <c r="D2980" s="17" t="s">
        <v>19</v>
      </c>
      <c r="E2980" s="17" t="s">
        <v>428</v>
      </c>
      <c r="F2980" s="17"/>
      <c r="G2980" s="18">
        <v>0</v>
      </c>
      <c r="H2980" s="18">
        <v>222.2600</v>
      </c>
      <c r="I2980" s="18">
        <f ca="1">((I2979 + G2980) - H2980)</f>
        <v>0</v>
      </c>
      <c r="J2980" s="18">
        <v>0</v>
      </c>
      <c r="K2980" s="19">
        <v>0</v>
      </c>
      <c r="L2980" s="17"/>
    </row>
    <row r="2981" ht="10.95" customHeight="true" customFormat="true" s="9">
      <c r="A2981" s="16">
        <v>45261</v>
      </c>
      <c r="B2981" s="17" t="s">
        <v>578</v>
      </c>
      <c r="C2981" s="17" t="s">
        <v>572</v>
      </c>
      <c r="D2981" s="17" t="s">
        <v>22</v>
      </c>
      <c r="E2981" s="17" t="s">
        <v>474</v>
      </c>
      <c r="F2981" s="17"/>
      <c r="G2981" s="18">
        <v>9.0000</v>
      </c>
      <c r="H2981" s="18">
        <v>0</v>
      </c>
      <c r="I2981" s="18">
        <f ca="1">((I2980 + G2981) - H2981)</f>
        <v>0</v>
      </c>
      <c r="J2981" s="18">
        <v>0</v>
      </c>
      <c r="K2981" s="19">
        <v>0</v>
      </c>
      <c r="L2981" s="17"/>
    </row>
    <row r="2982" ht="10.95" customHeight="true" customFormat="true" s="9">
      <c r="A2982" s="16">
        <v>45261</v>
      </c>
      <c r="B2982" s="17" t="s">
        <v>578</v>
      </c>
      <c r="C2982" s="17" t="s">
        <v>572</v>
      </c>
      <c r="D2982" s="17" t="s">
        <v>19</v>
      </c>
      <c r="E2982" s="17" t="s">
        <v>428</v>
      </c>
      <c r="F2982" s="17"/>
      <c r="G2982" s="18">
        <v>0</v>
      </c>
      <c r="H2982" s="18">
        <v>219.7700</v>
      </c>
      <c r="I2982" s="18">
        <f ca="1">((I2981 + G2982) - H2982)</f>
        <v>0</v>
      </c>
      <c r="J2982" s="18">
        <v>0</v>
      </c>
      <c r="K2982" s="19">
        <v>0</v>
      </c>
      <c r="L2982" s="17"/>
    </row>
    <row r="2983" ht="10.95" customHeight="true" customFormat="true" s="9">
      <c r="A2983" s="16">
        <v>45261</v>
      </c>
      <c r="B2983" s="17" t="s">
        <v>578</v>
      </c>
      <c r="C2983" s="17" t="s">
        <v>572</v>
      </c>
      <c r="D2983" s="17" t="s">
        <v>22</v>
      </c>
      <c r="E2983" s="17" t="s">
        <v>430</v>
      </c>
      <c r="F2983" s="17"/>
      <c r="G2983" s="18">
        <v>216.9100</v>
      </c>
      <c r="H2983" s="18">
        <v>0</v>
      </c>
      <c r="I2983" s="18">
        <f ca="1">((I2982 + G2983) - H2983)</f>
        <v>0</v>
      </c>
      <c r="J2983" s="18">
        <v>0</v>
      </c>
      <c r="K2983" s="19">
        <v>0</v>
      </c>
      <c r="L2983" s="17"/>
    </row>
    <row r="2984" ht="10.95" customHeight="true" customFormat="true" s="9">
      <c r="A2984" s="16">
        <v>45264</v>
      </c>
      <c r="B2984" s="17" t="s">
        <v>578</v>
      </c>
      <c r="C2984" s="17" t="s">
        <v>572</v>
      </c>
      <c r="D2984" s="17" t="s">
        <v>22</v>
      </c>
      <c r="E2984" s="17" t="s">
        <v>34</v>
      </c>
      <c r="F2984" s="17"/>
      <c r="G2984" s="18">
        <v>229.7400</v>
      </c>
      <c r="H2984" s="18">
        <v>0</v>
      </c>
      <c r="I2984" s="18">
        <f ca="1">((I2983 + G2984) - H2984)</f>
        <v>0</v>
      </c>
      <c r="J2984" s="18">
        <v>0</v>
      </c>
      <c r="K2984" s="19">
        <v>0</v>
      </c>
      <c r="L2984" s="17"/>
    </row>
    <row r="2985" ht="10.95" customHeight="true" customFormat="true" s="9">
      <c r="A2985" s="16">
        <v>45264</v>
      </c>
      <c r="B2985" s="17" t="s">
        <v>578</v>
      </c>
      <c r="C2985" s="17" t="s">
        <v>572</v>
      </c>
      <c r="D2985" s="17" t="s">
        <v>19</v>
      </c>
      <c r="E2985" s="17" t="s">
        <v>428</v>
      </c>
      <c r="F2985" s="17"/>
      <c r="G2985" s="18">
        <v>0</v>
      </c>
      <c r="H2985" s="18">
        <v>496.0300</v>
      </c>
      <c r="I2985" s="18">
        <f ca="1">((I2984 + G2985) - H2985)</f>
        <v>0</v>
      </c>
      <c r="J2985" s="18">
        <v>0</v>
      </c>
      <c r="K2985" s="19">
        <v>0</v>
      </c>
      <c r="L2985" s="17"/>
    </row>
    <row r="2986" ht="10.95" customHeight="true" customFormat="true" s="9">
      <c r="A2986" s="16">
        <v>45264</v>
      </c>
      <c r="B2986" s="17" t="s">
        <v>578</v>
      </c>
      <c r="C2986" s="17" t="s">
        <v>572</v>
      </c>
      <c r="D2986" s="17" t="s">
        <v>19</v>
      </c>
      <c r="E2986" s="17" t="s">
        <v>428</v>
      </c>
      <c r="F2986" s="17"/>
      <c r="G2986" s="18">
        <v>0</v>
      </c>
      <c r="H2986" s="18">
        <v>538.4300</v>
      </c>
      <c r="I2986" s="18">
        <f ca="1">((I2985 + G2986) - H2986)</f>
        <v>0</v>
      </c>
      <c r="J2986" s="18">
        <v>0</v>
      </c>
      <c r="K2986" s="19">
        <v>0</v>
      </c>
      <c r="L2986" s="17"/>
    </row>
    <row r="2987" ht="10.95" customHeight="true" customFormat="true" s="9">
      <c r="A2987" s="16">
        <v>45264</v>
      </c>
      <c r="B2987" s="17" t="s">
        <v>578</v>
      </c>
      <c r="C2987" s="17" t="s">
        <v>572</v>
      </c>
      <c r="D2987" s="17" t="s">
        <v>19</v>
      </c>
      <c r="E2987" s="17" t="s">
        <v>24</v>
      </c>
      <c r="F2987" s="17"/>
      <c r="G2987" s="18">
        <v>0</v>
      </c>
      <c r="H2987" s="18">
        <v>27.2700</v>
      </c>
      <c r="I2987" s="18">
        <f ca="1">((I2986 + G2987) - H2987)</f>
        <v>0</v>
      </c>
      <c r="J2987" s="18">
        <v>0</v>
      </c>
      <c r="K2987" s="19">
        <v>0</v>
      </c>
      <c r="L2987" s="17"/>
    </row>
    <row r="2988" ht="10.95" customHeight="true" customFormat="true" s="9">
      <c r="A2988" s="16">
        <v>45264</v>
      </c>
      <c r="B2988" s="17" t="s">
        <v>578</v>
      </c>
      <c r="C2988" s="17" t="s">
        <v>572</v>
      </c>
      <c r="D2988" s="17" t="s">
        <v>19</v>
      </c>
      <c r="E2988" s="17" t="s">
        <v>428</v>
      </c>
      <c r="F2988" s="17"/>
      <c r="G2988" s="18">
        <v>0</v>
      </c>
      <c r="H2988" s="18">
        <v>269.4000</v>
      </c>
      <c r="I2988" s="18">
        <f ca="1">((I2987 + G2988) - H2988)</f>
        <v>0</v>
      </c>
      <c r="J2988" s="18">
        <v>0</v>
      </c>
      <c r="K2988" s="19">
        <v>0</v>
      </c>
      <c r="L2988" s="17"/>
    </row>
    <row r="2989" ht="10.95" customHeight="true" customFormat="true" s="9">
      <c r="A2989" s="16">
        <v>45265</v>
      </c>
      <c r="B2989" s="17" t="s">
        <v>578</v>
      </c>
      <c r="C2989" s="17" t="s">
        <v>572</v>
      </c>
      <c r="D2989" s="17" t="s">
        <v>22</v>
      </c>
      <c r="E2989" s="17" t="s">
        <v>430</v>
      </c>
      <c r="F2989" s="17"/>
      <c r="G2989" s="18">
        <v>191.0200</v>
      </c>
      <c r="H2989" s="18">
        <v>0</v>
      </c>
      <c r="I2989" s="18">
        <f ca="1">((I2988 + G2989) - H2989)</f>
        <v>0</v>
      </c>
      <c r="J2989" s="18">
        <v>0</v>
      </c>
      <c r="K2989" s="19">
        <v>0</v>
      </c>
      <c r="L2989" s="17"/>
    </row>
    <row r="2990" ht="10.95" customHeight="true" customFormat="true" s="9">
      <c r="A2990" s="16">
        <v>45266</v>
      </c>
      <c r="B2990" s="17" t="s">
        <v>578</v>
      </c>
      <c r="C2990" s="17" t="s">
        <v>572</v>
      </c>
      <c r="D2990" s="17" t="s">
        <v>19</v>
      </c>
      <c r="E2990" s="17" t="s">
        <v>428</v>
      </c>
      <c r="F2990" s="17"/>
      <c r="G2990" s="18">
        <v>0</v>
      </c>
      <c r="H2990" s="18">
        <v>233.2500</v>
      </c>
      <c r="I2990" s="18">
        <f ca="1">((I2989 + G2990) - H2990)</f>
        <v>0</v>
      </c>
      <c r="J2990" s="18">
        <v>0</v>
      </c>
      <c r="K2990" s="19">
        <v>0</v>
      </c>
      <c r="L2990" s="17"/>
    </row>
    <row r="2991" ht="10.95" customHeight="true" customFormat="true" s="9">
      <c r="A2991" s="16">
        <v>45267</v>
      </c>
      <c r="B2991" s="17" t="s">
        <v>578</v>
      </c>
      <c r="C2991" s="17" t="s">
        <v>572</v>
      </c>
      <c r="D2991" s="17" t="s">
        <v>19</v>
      </c>
      <c r="E2991" s="17" t="s">
        <v>428</v>
      </c>
      <c r="F2991" s="17"/>
      <c r="G2991" s="18">
        <v>0</v>
      </c>
      <c r="H2991" s="18">
        <v>281.2500</v>
      </c>
      <c r="I2991" s="18">
        <f ca="1">((I2990 + G2991) - H2991)</f>
        <v>0</v>
      </c>
      <c r="J2991" s="18">
        <v>0</v>
      </c>
      <c r="K2991" s="19">
        <v>0</v>
      </c>
      <c r="L2991" s="17"/>
    </row>
    <row r="2992" ht="10.95" customHeight="true" customFormat="true" s="9">
      <c r="A2992" s="16">
        <v>45267</v>
      </c>
      <c r="B2992" s="17" t="s">
        <v>578</v>
      </c>
      <c r="C2992" s="17" t="s">
        <v>572</v>
      </c>
      <c r="D2992" s="17" t="s">
        <v>22</v>
      </c>
      <c r="E2992" s="17" t="s">
        <v>484</v>
      </c>
      <c r="F2992" s="17"/>
      <c r="G2992" s="18">
        <v>1.8100</v>
      </c>
      <c r="H2992" s="18">
        <v>0</v>
      </c>
      <c r="I2992" s="18">
        <f ca="1">((I2991 + G2992) - H2992)</f>
        <v>0</v>
      </c>
      <c r="J2992" s="18">
        <v>0</v>
      </c>
      <c r="K2992" s="19">
        <v>0</v>
      </c>
      <c r="L2992" s="17"/>
    </row>
    <row r="2993" ht="10.95" customHeight="true" customFormat="true" s="9">
      <c r="A2993" s="16">
        <v>45268</v>
      </c>
      <c r="B2993" s="17" t="s">
        <v>578</v>
      </c>
      <c r="C2993" s="17" t="s">
        <v>572</v>
      </c>
      <c r="D2993" s="17" t="s">
        <v>19</v>
      </c>
      <c r="E2993" s="17" t="s">
        <v>428</v>
      </c>
      <c r="F2993" s="17"/>
      <c r="G2993" s="18">
        <v>0</v>
      </c>
      <c r="H2993" s="18">
        <v>234.9700</v>
      </c>
      <c r="I2993" s="18">
        <f ca="1">((I2992 + G2993) - H2993)</f>
        <v>0</v>
      </c>
      <c r="J2993" s="18">
        <v>0</v>
      </c>
      <c r="K2993" s="19">
        <v>0</v>
      </c>
      <c r="L2993" s="17"/>
    </row>
    <row r="2994" ht="10.95" customHeight="true" customFormat="true" s="9">
      <c r="A2994" s="16">
        <v>45268</v>
      </c>
      <c r="B2994" s="17" t="s">
        <v>578</v>
      </c>
      <c r="C2994" s="17" t="s">
        <v>572</v>
      </c>
      <c r="D2994" s="17" t="s">
        <v>22</v>
      </c>
      <c r="E2994" s="17" t="s">
        <v>430</v>
      </c>
      <c r="F2994" s="17"/>
      <c r="G2994" s="18">
        <v>177.2500</v>
      </c>
      <c r="H2994" s="18">
        <v>0</v>
      </c>
      <c r="I2994" s="18">
        <f ca="1">((I2993 + G2994) - H2994)</f>
        <v>0</v>
      </c>
      <c r="J2994" s="18">
        <v>0</v>
      </c>
      <c r="K2994" s="19">
        <v>0</v>
      </c>
      <c r="L2994" s="17"/>
    </row>
    <row r="2995" ht="10.95" customHeight="true" customFormat="true" s="9">
      <c r="A2995" s="16">
        <v>45271</v>
      </c>
      <c r="B2995" s="17" t="s">
        <v>578</v>
      </c>
      <c r="C2995" s="17" t="s">
        <v>572</v>
      </c>
      <c r="D2995" s="17" t="s">
        <v>22</v>
      </c>
      <c r="E2995" s="17" t="s">
        <v>34</v>
      </c>
      <c r="F2995" s="17"/>
      <c r="G2995" s="18">
        <v>278.3300</v>
      </c>
      <c r="H2995" s="18">
        <v>0</v>
      </c>
      <c r="I2995" s="18">
        <f ca="1">((I2994 + G2995) - H2995)</f>
        <v>0</v>
      </c>
      <c r="J2995" s="18">
        <v>0</v>
      </c>
      <c r="K2995" s="19">
        <v>0</v>
      </c>
      <c r="L2995" s="17"/>
    </row>
    <row r="2996" ht="10.95" customHeight="true" customFormat="true" s="9">
      <c r="A2996" s="16">
        <v>45271</v>
      </c>
      <c r="B2996" s="17" t="s">
        <v>578</v>
      </c>
      <c r="C2996" s="17" t="s">
        <v>572</v>
      </c>
      <c r="D2996" s="17" t="s">
        <v>19</v>
      </c>
      <c r="E2996" s="17" t="s">
        <v>428</v>
      </c>
      <c r="F2996" s="17"/>
      <c r="G2996" s="18">
        <v>0</v>
      </c>
      <c r="H2996" s="18">
        <v>499.7300</v>
      </c>
      <c r="I2996" s="18">
        <f ca="1">((I2995 + G2996) - H2996)</f>
        <v>0</v>
      </c>
      <c r="J2996" s="18">
        <v>0</v>
      </c>
      <c r="K2996" s="19">
        <v>0</v>
      </c>
      <c r="L2996" s="17"/>
    </row>
    <row r="2997" ht="10.95" customHeight="true" customFormat="true" s="9">
      <c r="A2997" s="16">
        <v>45271</v>
      </c>
      <c r="B2997" s="17" t="s">
        <v>578</v>
      </c>
      <c r="C2997" s="17" t="s">
        <v>572</v>
      </c>
      <c r="D2997" s="17" t="s">
        <v>19</v>
      </c>
      <c r="E2997" s="17" t="s">
        <v>428</v>
      </c>
      <c r="F2997" s="17"/>
      <c r="G2997" s="18">
        <v>0</v>
      </c>
      <c r="H2997" s="18">
        <v>526.1100</v>
      </c>
      <c r="I2997" s="18">
        <f ca="1">((I2996 + G2997) - H2997)</f>
        <v>0</v>
      </c>
      <c r="J2997" s="18">
        <v>0</v>
      </c>
      <c r="K2997" s="19">
        <v>0</v>
      </c>
      <c r="L2997" s="17"/>
    </row>
    <row r="2998" ht="10.95" customHeight="true" customFormat="true" s="9">
      <c r="A2998" s="16">
        <v>45271</v>
      </c>
      <c r="B2998" s="17" t="s">
        <v>578</v>
      </c>
      <c r="C2998" s="17" t="s">
        <v>572</v>
      </c>
      <c r="D2998" s="17" t="s">
        <v>19</v>
      </c>
      <c r="E2998" s="17" t="s">
        <v>24</v>
      </c>
      <c r="F2998" s="17"/>
      <c r="G2998" s="18">
        <v>0</v>
      </c>
      <c r="H2998" s="18">
        <v>13.6400</v>
      </c>
      <c r="I2998" s="18">
        <f ca="1">((I2997 + G2998) - H2998)</f>
        <v>0</v>
      </c>
      <c r="J2998" s="18">
        <v>0</v>
      </c>
      <c r="K2998" s="19">
        <v>0</v>
      </c>
      <c r="L2998" s="17"/>
    </row>
    <row r="2999" ht="10.95" customHeight="true" customFormat="true" s="9">
      <c r="A2999" s="16">
        <v>45271</v>
      </c>
      <c r="B2999" s="17" t="s">
        <v>578</v>
      </c>
      <c r="C2999" s="17" t="s">
        <v>572</v>
      </c>
      <c r="D2999" s="17" t="s">
        <v>19</v>
      </c>
      <c r="E2999" s="17" t="s">
        <v>428</v>
      </c>
      <c r="F2999" s="17"/>
      <c r="G2999" s="18">
        <v>0</v>
      </c>
      <c r="H2999" s="18">
        <v>279.1000</v>
      </c>
      <c r="I2999" s="18">
        <f ca="1">((I2998 + G2999) - H2999)</f>
        <v>0</v>
      </c>
      <c r="J2999" s="18">
        <v>0</v>
      </c>
      <c r="K2999" s="19">
        <v>0</v>
      </c>
      <c r="L2999" s="17"/>
    </row>
    <row r="3000" ht="10.95" customHeight="true" customFormat="true" s="9">
      <c r="A3000" s="16">
        <v>45271</v>
      </c>
      <c r="B3000" s="17" t="s">
        <v>578</v>
      </c>
      <c r="C3000" s="17" t="s">
        <v>572</v>
      </c>
      <c r="D3000" s="17" t="s">
        <v>22</v>
      </c>
      <c r="E3000" s="17" t="s">
        <v>438</v>
      </c>
      <c r="F3000" s="17"/>
      <c r="G3000" s="18">
        <v>5.4000</v>
      </c>
      <c r="H3000" s="18">
        <v>0</v>
      </c>
      <c r="I3000" s="18">
        <f ca="1">((I2999 + G3000) - H3000)</f>
        <v>0</v>
      </c>
      <c r="J3000" s="18">
        <v>0</v>
      </c>
      <c r="K3000" s="19">
        <v>0</v>
      </c>
      <c r="L3000" s="17"/>
    </row>
    <row r="3001" ht="10.95" customHeight="true" customFormat="true" s="9">
      <c r="A3001" s="16">
        <v>45273</v>
      </c>
      <c r="B3001" s="17" t="s">
        <v>578</v>
      </c>
      <c r="C3001" s="17" t="s">
        <v>572</v>
      </c>
      <c r="D3001" s="17" t="s">
        <v>22</v>
      </c>
      <c r="E3001" s="17" t="s">
        <v>430</v>
      </c>
      <c r="F3001" s="17"/>
      <c r="G3001" s="18">
        <v>124.5800</v>
      </c>
      <c r="H3001" s="18">
        <v>0</v>
      </c>
      <c r="I3001" s="18">
        <f ca="1">((I3000 + G3001) - H3001)</f>
        <v>0</v>
      </c>
      <c r="J3001" s="18">
        <v>0</v>
      </c>
      <c r="K3001" s="19">
        <v>0</v>
      </c>
      <c r="L3001" s="17"/>
    </row>
    <row r="3002" ht="10.95" customHeight="true" customFormat="true" s="9">
      <c r="A3002" s="16">
        <v>45273</v>
      </c>
      <c r="B3002" s="17" t="s">
        <v>578</v>
      </c>
      <c r="C3002" s="17" t="s">
        <v>572</v>
      </c>
      <c r="D3002" s="17" t="s">
        <v>19</v>
      </c>
      <c r="E3002" s="17" t="s">
        <v>428</v>
      </c>
      <c r="F3002" s="17"/>
      <c r="G3002" s="18">
        <v>0</v>
      </c>
      <c r="H3002" s="18">
        <v>234.5400</v>
      </c>
      <c r="I3002" s="18">
        <f ca="1">((I3001 + G3002) - H3002)</f>
        <v>0</v>
      </c>
      <c r="J3002" s="18">
        <v>0</v>
      </c>
      <c r="K3002" s="19">
        <v>0</v>
      </c>
      <c r="L3002" s="17"/>
    </row>
    <row r="3003" ht="10.95" customHeight="true" customFormat="true" s="9">
      <c r="A3003" s="16">
        <v>45274</v>
      </c>
      <c r="B3003" s="17" t="s">
        <v>578</v>
      </c>
      <c r="C3003" s="17" t="s">
        <v>572</v>
      </c>
      <c r="D3003" s="17" t="s">
        <v>22</v>
      </c>
      <c r="E3003" s="17" t="s">
        <v>298</v>
      </c>
      <c r="F3003" s="17"/>
      <c r="G3003" s="18">
        <v>544.0000</v>
      </c>
      <c r="H3003" s="18">
        <v>0</v>
      </c>
      <c r="I3003" s="18">
        <f ca="1">((I3002 + G3003) - H3003)</f>
        <v>0</v>
      </c>
      <c r="J3003" s="18">
        <v>0</v>
      </c>
      <c r="K3003" s="19">
        <v>0</v>
      </c>
      <c r="L3003" s="17"/>
    </row>
    <row r="3004" ht="10.95" customHeight="true" customFormat="true" s="9">
      <c r="A3004" s="16">
        <v>45274</v>
      </c>
      <c r="B3004" s="17" t="s">
        <v>578</v>
      </c>
      <c r="C3004" s="17" t="s">
        <v>572</v>
      </c>
      <c r="D3004" s="17" t="s">
        <v>19</v>
      </c>
      <c r="E3004" s="17" t="s">
        <v>428</v>
      </c>
      <c r="F3004" s="17"/>
      <c r="G3004" s="18">
        <v>0</v>
      </c>
      <c r="H3004" s="18">
        <v>228.0500</v>
      </c>
      <c r="I3004" s="18">
        <f ca="1">((I3003 + G3004) - H3004)</f>
        <v>0</v>
      </c>
      <c r="J3004" s="18">
        <v>0</v>
      </c>
      <c r="K3004" s="19">
        <v>0</v>
      </c>
      <c r="L3004" s="17"/>
    </row>
    <row r="3005" ht="10.95" customHeight="true" customFormat="true" s="9">
      <c r="A3005" s="16">
        <v>45275</v>
      </c>
      <c r="B3005" s="17" t="s">
        <v>578</v>
      </c>
      <c r="C3005" s="17" t="s">
        <v>572</v>
      </c>
      <c r="D3005" s="17" t="s">
        <v>19</v>
      </c>
      <c r="E3005" s="17" t="s">
        <v>428</v>
      </c>
      <c r="F3005" s="17"/>
      <c r="G3005" s="18">
        <v>0</v>
      </c>
      <c r="H3005" s="18">
        <v>251.4800</v>
      </c>
      <c r="I3005" s="18">
        <f ca="1">((I3004 + G3005) - H3005)</f>
        <v>0</v>
      </c>
      <c r="J3005" s="18">
        <v>0</v>
      </c>
      <c r="K3005" s="19">
        <v>0</v>
      </c>
      <c r="L3005" s="17"/>
    </row>
    <row r="3006" ht="10.95" customHeight="true" customFormat="true" s="9">
      <c r="A3006" s="16">
        <v>45275</v>
      </c>
      <c r="B3006" s="17" t="s">
        <v>578</v>
      </c>
      <c r="C3006" s="17" t="s">
        <v>572</v>
      </c>
      <c r="D3006" s="17" t="s">
        <v>22</v>
      </c>
      <c r="E3006" s="17" t="s">
        <v>430</v>
      </c>
      <c r="F3006" s="17"/>
      <c r="G3006" s="18">
        <v>163.0000</v>
      </c>
      <c r="H3006" s="18">
        <v>0</v>
      </c>
      <c r="I3006" s="18">
        <f ca="1">((I3005 + G3006) - H3006)</f>
        <v>0</v>
      </c>
      <c r="J3006" s="18">
        <v>0</v>
      </c>
      <c r="K3006" s="19">
        <v>0</v>
      </c>
      <c r="L3006" s="17"/>
    </row>
    <row r="3007" ht="10.95" customHeight="true" customFormat="true" s="9">
      <c r="A3007" s="16">
        <v>45278</v>
      </c>
      <c r="B3007" s="17" t="s">
        <v>578</v>
      </c>
      <c r="C3007" s="17" t="s">
        <v>572</v>
      </c>
      <c r="D3007" s="17" t="s">
        <v>22</v>
      </c>
      <c r="E3007" s="17" t="s">
        <v>34</v>
      </c>
      <c r="F3007" s="17"/>
      <c r="G3007" s="18">
        <v>200.0000</v>
      </c>
      <c r="H3007" s="18">
        <v>0</v>
      </c>
      <c r="I3007" s="18">
        <f ca="1">((I3006 + G3007) - H3007)</f>
        <v>0</v>
      </c>
      <c r="J3007" s="18">
        <v>0</v>
      </c>
      <c r="K3007" s="19">
        <v>0</v>
      </c>
      <c r="L3007" s="17"/>
    </row>
    <row r="3008" ht="10.95" customHeight="true" customFormat="true" s="9">
      <c r="A3008" s="16">
        <v>45278</v>
      </c>
      <c r="B3008" s="17" t="s">
        <v>578</v>
      </c>
      <c r="C3008" s="17" t="s">
        <v>572</v>
      </c>
      <c r="D3008" s="17" t="s">
        <v>19</v>
      </c>
      <c r="E3008" s="17" t="s">
        <v>24</v>
      </c>
      <c r="F3008" s="17"/>
      <c r="G3008" s="18">
        <v>0</v>
      </c>
      <c r="H3008" s="18">
        <v>11.3600</v>
      </c>
      <c r="I3008" s="18">
        <f ca="1">((I3007 + G3008) - H3008)</f>
        <v>0</v>
      </c>
      <c r="J3008" s="18">
        <v>0</v>
      </c>
      <c r="K3008" s="19">
        <v>0</v>
      </c>
      <c r="L3008" s="17"/>
    </row>
    <row r="3009" ht="10.95" customHeight="true" customFormat="true" s="9">
      <c r="A3009" s="16">
        <v>45278</v>
      </c>
      <c r="B3009" s="17" t="s">
        <v>578</v>
      </c>
      <c r="C3009" s="17" t="s">
        <v>572</v>
      </c>
      <c r="D3009" s="17" t="s">
        <v>22</v>
      </c>
      <c r="E3009" s="17" t="s">
        <v>433</v>
      </c>
      <c r="F3009" s="17"/>
      <c r="G3009" s="18">
        <v>80.1900</v>
      </c>
      <c r="H3009" s="18">
        <v>0</v>
      </c>
      <c r="I3009" s="18">
        <f ca="1">((I3008 + G3009) - H3009)</f>
        <v>0</v>
      </c>
      <c r="J3009" s="18">
        <v>0</v>
      </c>
      <c r="K3009" s="19">
        <v>0</v>
      </c>
      <c r="L3009" s="17"/>
    </row>
    <row r="3010" ht="10.95" customHeight="true" customFormat="true" s="9">
      <c r="A3010" s="16">
        <v>45278</v>
      </c>
      <c r="B3010" s="17" t="s">
        <v>578</v>
      </c>
      <c r="C3010" s="17" t="s">
        <v>572</v>
      </c>
      <c r="D3010" s="17" t="s">
        <v>22</v>
      </c>
      <c r="E3010" s="17" t="s">
        <v>436</v>
      </c>
      <c r="F3010" s="17"/>
      <c r="G3010" s="18">
        <v>9.9500</v>
      </c>
      <c r="H3010" s="18">
        <v>0</v>
      </c>
      <c r="I3010" s="18">
        <f ca="1">((I3009 + G3010) - H3010)</f>
        <v>0</v>
      </c>
      <c r="J3010" s="18">
        <v>0</v>
      </c>
      <c r="K3010" s="19">
        <v>0</v>
      </c>
      <c r="L3010" s="17"/>
    </row>
    <row r="3011" ht="10.95" customHeight="true" customFormat="true" s="9">
      <c r="A3011" s="16">
        <v>45278</v>
      </c>
      <c r="B3011" s="17" t="s">
        <v>578</v>
      </c>
      <c r="C3011" s="17" t="s">
        <v>572</v>
      </c>
      <c r="D3011" s="17" t="s">
        <v>19</v>
      </c>
      <c r="E3011" s="17" t="s">
        <v>428</v>
      </c>
      <c r="F3011" s="17"/>
      <c r="G3011" s="18">
        <v>0</v>
      </c>
      <c r="H3011" s="18">
        <v>270.4300</v>
      </c>
      <c r="I3011" s="18">
        <f ca="1">((I3010 + G3011) - H3011)</f>
        <v>0</v>
      </c>
      <c r="J3011" s="18">
        <v>0</v>
      </c>
      <c r="K3011" s="19">
        <v>0</v>
      </c>
      <c r="L3011" s="17"/>
    </row>
    <row r="3012" ht="10.95" customHeight="true" customFormat="true" s="9">
      <c r="A3012" s="16">
        <v>45278</v>
      </c>
      <c r="B3012" s="17" t="s">
        <v>578</v>
      </c>
      <c r="C3012" s="17" t="s">
        <v>572</v>
      </c>
      <c r="D3012" s="17" t="s">
        <v>19</v>
      </c>
      <c r="E3012" s="17" t="s">
        <v>428</v>
      </c>
      <c r="F3012" s="17"/>
      <c r="G3012" s="18">
        <v>0</v>
      </c>
      <c r="H3012" s="18">
        <v>510.8600</v>
      </c>
      <c r="I3012" s="18">
        <f ca="1">((I3011 + G3012) - H3012)</f>
        <v>0</v>
      </c>
      <c r="J3012" s="18">
        <v>0</v>
      </c>
      <c r="K3012" s="19">
        <v>0</v>
      </c>
      <c r="L3012" s="17"/>
    </row>
    <row r="3013" ht="10.95" customHeight="true" customFormat="true" s="9">
      <c r="A3013" s="16">
        <v>45278</v>
      </c>
      <c r="B3013" s="17" t="s">
        <v>578</v>
      </c>
      <c r="C3013" s="17" t="s">
        <v>572</v>
      </c>
      <c r="D3013" s="17" t="s">
        <v>19</v>
      </c>
      <c r="E3013" s="17" t="s">
        <v>428</v>
      </c>
      <c r="F3013" s="17"/>
      <c r="G3013" s="18">
        <v>0</v>
      </c>
      <c r="H3013" s="18">
        <v>516.2600</v>
      </c>
      <c r="I3013" s="18">
        <f ca="1">((I3012 + G3013) - H3013)</f>
        <v>0</v>
      </c>
      <c r="J3013" s="18">
        <v>0</v>
      </c>
      <c r="K3013" s="19">
        <v>0</v>
      </c>
      <c r="L3013" s="17"/>
    </row>
    <row r="3014" ht="10.95" customHeight="true" customFormat="true" s="9">
      <c r="A3014" s="16">
        <v>45279</v>
      </c>
      <c r="B3014" s="17" t="s">
        <v>578</v>
      </c>
      <c r="C3014" s="17" t="s">
        <v>572</v>
      </c>
      <c r="D3014" s="17" t="s">
        <v>22</v>
      </c>
      <c r="E3014" s="17" t="s">
        <v>430</v>
      </c>
      <c r="F3014" s="17"/>
      <c r="G3014" s="18">
        <v>167.3700</v>
      </c>
      <c r="H3014" s="18">
        <v>0</v>
      </c>
      <c r="I3014" s="18">
        <f ca="1">((I3013 + G3014) - H3014)</f>
        <v>0</v>
      </c>
      <c r="J3014" s="18">
        <v>0</v>
      </c>
      <c r="K3014" s="19">
        <v>0</v>
      </c>
      <c r="L3014" s="17"/>
    </row>
    <row r="3015" ht="10.95" customHeight="true" customFormat="true" s="9">
      <c r="A3015" s="16">
        <v>45279</v>
      </c>
      <c r="B3015" s="17" t="s">
        <v>578</v>
      </c>
      <c r="C3015" s="17" t="s">
        <v>572</v>
      </c>
      <c r="D3015" s="17" t="s">
        <v>19</v>
      </c>
      <c r="E3015" s="17" t="s">
        <v>428</v>
      </c>
      <c r="F3015" s="17"/>
      <c r="G3015" s="18">
        <v>0</v>
      </c>
      <c r="H3015" s="18">
        <v>0.6400</v>
      </c>
      <c r="I3015" s="18">
        <f ca="1">((I3014 + G3015) - H3015)</f>
        <v>0</v>
      </c>
      <c r="J3015" s="18">
        <v>0</v>
      </c>
      <c r="K3015" s="19">
        <v>0</v>
      </c>
      <c r="L3015" s="17"/>
    </row>
    <row r="3016" ht="10.95" customHeight="true" customFormat="true" s="9">
      <c r="A3016" s="16">
        <v>45279</v>
      </c>
      <c r="B3016" s="17" t="s">
        <v>578</v>
      </c>
      <c r="C3016" s="17" t="s">
        <v>572</v>
      </c>
      <c r="D3016" s="17" t="s">
        <v>22</v>
      </c>
      <c r="E3016" s="17" t="s">
        <v>461</v>
      </c>
      <c r="F3016" s="17"/>
      <c r="G3016" s="18">
        <v>281.6800</v>
      </c>
      <c r="H3016" s="18">
        <v>0</v>
      </c>
      <c r="I3016" s="18">
        <f ca="1">((I3015 + G3016) - H3016)</f>
        <v>0</v>
      </c>
      <c r="J3016" s="18">
        <v>0</v>
      </c>
      <c r="K3016" s="19">
        <v>0</v>
      </c>
      <c r="L3016" s="17"/>
    </row>
    <row r="3017" ht="10.95" customHeight="true" customFormat="true" s="9">
      <c r="A3017" s="16">
        <v>45280</v>
      </c>
      <c r="B3017" s="17" t="s">
        <v>578</v>
      </c>
      <c r="C3017" s="17" t="s">
        <v>572</v>
      </c>
      <c r="D3017" s="17" t="s">
        <v>19</v>
      </c>
      <c r="E3017" s="17" t="s">
        <v>428</v>
      </c>
      <c r="F3017" s="17"/>
      <c r="G3017" s="18">
        <v>0</v>
      </c>
      <c r="H3017" s="18">
        <v>248.7200</v>
      </c>
      <c r="I3017" s="18">
        <f ca="1">((I3016 + G3017) - H3017)</f>
        <v>0</v>
      </c>
      <c r="J3017" s="18">
        <v>0</v>
      </c>
      <c r="K3017" s="19">
        <v>0</v>
      </c>
      <c r="L3017" s="17"/>
    </row>
    <row r="3018" ht="10.95" customHeight="true" customFormat="true" s="9">
      <c r="A3018" s="16">
        <v>45281</v>
      </c>
      <c r="B3018" s="17" t="s">
        <v>578</v>
      </c>
      <c r="C3018" s="17" t="s">
        <v>572</v>
      </c>
      <c r="D3018" s="17" t="s">
        <v>22</v>
      </c>
      <c r="E3018" s="17" t="s">
        <v>489</v>
      </c>
      <c r="F3018" s="17"/>
      <c r="G3018" s="18">
        <v>6.9100</v>
      </c>
      <c r="H3018" s="18">
        <v>0</v>
      </c>
      <c r="I3018" s="18">
        <f ca="1">((I3017 + G3018) - H3018)</f>
        <v>0</v>
      </c>
      <c r="J3018" s="18">
        <v>0</v>
      </c>
      <c r="K3018" s="19">
        <v>0</v>
      </c>
      <c r="L3018" s="17"/>
    </row>
    <row r="3019" ht="10.95" customHeight="true" customFormat="true" s="9">
      <c r="A3019" s="16">
        <v>45281</v>
      </c>
      <c r="B3019" s="17" t="s">
        <v>578</v>
      </c>
      <c r="C3019" s="17" t="s">
        <v>572</v>
      </c>
      <c r="D3019" s="17" t="s">
        <v>19</v>
      </c>
      <c r="E3019" s="17" t="s">
        <v>428</v>
      </c>
      <c r="F3019" s="17"/>
      <c r="G3019" s="18">
        <v>0</v>
      </c>
      <c r="H3019" s="18">
        <v>243.2100</v>
      </c>
      <c r="I3019" s="18">
        <f ca="1">((I3018 + G3019) - H3019)</f>
        <v>0</v>
      </c>
      <c r="J3019" s="18">
        <v>0</v>
      </c>
      <c r="K3019" s="19">
        <v>0</v>
      </c>
      <c r="L3019" s="17"/>
    </row>
    <row r="3020" ht="10.95" customHeight="true" customFormat="true" s="9">
      <c r="A3020" s="16">
        <v>45282</v>
      </c>
      <c r="B3020" s="17" t="s">
        <v>578</v>
      </c>
      <c r="C3020" s="17" t="s">
        <v>572</v>
      </c>
      <c r="D3020" s="17" t="s">
        <v>22</v>
      </c>
      <c r="E3020" s="17" t="s">
        <v>430</v>
      </c>
      <c r="F3020" s="17"/>
      <c r="G3020" s="18">
        <v>234.9900</v>
      </c>
      <c r="H3020" s="18">
        <v>0</v>
      </c>
      <c r="I3020" s="18">
        <f ca="1">((I3019 + G3020) - H3020)</f>
        <v>0</v>
      </c>
      <c r="J3020" s="18">
        <v>0</v>
      </c>
      <c r="K3020" s="19">
        <v>0</v>
      </c>
      <c r="L3020" s="17"/>
    </row>
    <row r="3021" ht="10.95" customHeight="true" customFormat="true" s="9">
      <c r="A3021" s="16">
        <v>45282</v>
      </c>
      <c r="B3021" s="17" t="s">
        <v>578</v>
      </c>
      <c r="C3021" s="17" t="s">
        <v>572</v>
      </c>
      <c r="D3021" s="17" t="s">
        <v>19</v>
      </c>
      <c r="E3021" s="17" t="s">
        <v>428</v>
      </c>
      <c r="F3021" s="17"/>
      <c r="G3021" s="18">
        <v>0</v>
      </c>
      <c r="H3021" s="18">
        <v>306.3600</v>
      </c>
      <c r="I3021" s="18">
        <f ca="1">((I3020 + G3021) - H3021)</f>
        <v>0</v>
      </c>
      <c r="J3021" s="18">
        <v>0</v>
      </c>
      <c r="K3021" s="19">
        <v>0</v>
      </c>
      <c r="L3021" s="17"/>
    </row>
    <row r="3022" ht="10.95" customHeight="true" customFormat="true" s="9">
      <c r="A3022" s="16">
        <v>45287</v>
      </c>
      <c r="B3022" s="17" t="s">
        <v>578</v>
      </c>
      <c r="C3022" s="17" t="s">
        <v>572</v>
      </c>
      <c r="D3022" s="17" t="s">
        <v>22</v>
      </c>
      <c r="E3022" s="17" t="s">
        <v>442</v>
      </c>
      <c r="F3022" s="17"/>
      <c r="G3022" s="18">
        <v>16.7200</v>
      </c>
      <c r="H3022" s="18">
        <v>0</v>
      </c>
      <c r="I3022" s="18">
        <f ca="1">((I3021 + G3022) - H3022)</f>
        <v>0</v>
      </c>
      <c r="J3022" s="18">
        <v>0</v>
      </c>
      <c r="K3022" s="19">
        <v>0</v>
      </c>
      <c r="L3022" s="17"/>
    </row>
    <row r="3023" ht="10.95" customHeight="true" customFormat="true" s="9">
      <c r="A3023" s="16">
        <v>45287</v>
      </c>
      <c r="B3023" s="17" t="s">
        <v>578</v>
      </c>
      <c r="C3023" s="17" t="s">
        <v>572</v>
      </c>
      <c r="D3023" s="17" t="s">
        <v>19</v>
      </c>
      <c r="E3023" s="17" t="s">
        <v>428</v>
      </c>
      <c r="F3023" s="17"/>
      <c r="G3023" s="18">
        <v>0</v>
      </c>
      <c r="H3023" s="18">
        <v>390.4200</v>
      </c>
      <c r="I3023" s="18">
        <f ca="1">((I3022 + G3023) - H3023)</f>
        <v>0</v>
      </c>
      <c r="J3023" s="18">
        <v>0</v>
      </c>
      <c r="K3023" s="19">
        <v>0</v>
      </c>
      <c r="L3023" s="17"/>
    </row>
    <row r="3024" ht="10.95" customHeight="true" customFormat="true" s="9">
      <c r="A3024" s="16">
        <v>45287</v>
      </c>
      <c r="B3024" s="17" t="s">
        <v>578</v>
      </c>
      <c r="C3024" s="17" t="s">
        <v>572</v>
      </c>
      <c r="D3024" s="17" t="s">
        <v>22</v>
      </c>
      <c r="E3024" s="17" t="s">
        <v>34</v>
      </c>
      <c r="F3024" s="17"/>
      <c r="G3024" s="18">
        <v>143.1800</v>
      </c>
      <c r="H3024" s="18">
        <v>0</v>
      </c>
      <c r="I3024" s="18">
        <f ca="1">((I3023 + G3024) - H3024)</f>
        <v>0</v>
      </c>
      <c r="J3024" s="18">
        <v>0</v>
      </c>
      <c r="K3024" s="19">
        <v>0</v>
      </c>
      <c r="L3024" s="17"/>
    </row>
    <row r="3025" ht="10.95" customHeight="true" customFormat="true" s="9">
      <c r="A3025" s="16">
        <v>45287</v>
      </c>
      <c r="B3025" s="17" t="s">
        <v>578</v>
      </c>
      <c r="C3025" s="17" t="s">
        <v>572</v>
      </c>
      <c r="D3025" s="17" t="s">
        <v>19</v>
      </c>
      <c r="E3025" s="17" t="s">
        <v>428</v>
      </c>
      <c r="F3025" s="17"/>
      <c r="G3025" s="18">
        <v>0</v>
      </c>
      <c r="H3025" s="18">
        <v>1023.0100</v>
      </c>
      <c r="I3025" s="18">
        <f ca="1">((I3024 + G3025) - H3025)</f>
        <v>0</v>
      </c>
      <c r="J3025" s="18">
        <v>0</v>
      </c>
      <c r="K3025" s="19">
        <v>0</v>
      </c>
      <c r="L3025" s="17"/>
    </row>
    <row r="3026" ht="10.95" customHeight="true" customFormat="true" s="9">
      <c r="A3026" s="16">
        <v>45287</v>
      </c>
      <c r="B3026" s="17" t="s">
        <v>578</v>
      </c>
      <c r="C3026" s="17" t="s">
        <v>572</v>
      </c>
      <c r="D3026" s="17" t="s">
        <v>19</v>
      </c>
      <c r="E3026" s="17" t="s">
        <v>428</v>
      </c>
      <c r="F3026" s="17"/>
      <c r="G3026" s="18">
        <v>0</v>
      </c>
      <c r="H3026" s="18">
        <v>511.3200</v>
      </c>
      <c r="I3026" s="18">
        <f ca="1">((I3025 + G3026) - H3026)</f>
        <v>0</v>
      </c>
      <c r="J3026" s="18">
        <v>0</v>
      </c>
      <c r="K3026" s="19">
        <v>0</v>
      </c>
      <c r="L3026" s="17"/>
    </row>
    <row r="3027" ht="10.95" customHeight="true" customFormat="true" s="9">
      <c r="A3027" s="16">
        <v>45287</v>
      </c>
      <c r="B3027" s="17" t="s">
        <v>578</v>
      </c>
      <c r="C3027" s="17" t="s">
        <v>572</v>
      </c>
      <c r="D3027" s="17" t="s">
        <v>22</v>
      </c>
      <c r="E3027" s="17" t="s">
        <v>474</v>
      </c>
      <c r="F3027" s="17"/>
      <c r="G3027" s="18">
        <v>5.8100</v>
      </c>
      <c r="H3027" s="18">
        <v>0</v>
      </c>
      <c r="I3027" s="18">
        <f ca="1">((I3026 + G3027) - H3027)</f>
        <v>0</v>
      </c>
      <c r="J3027" s="18">
        <v>0</v>
      </c>
      <c r="K3027" s="19">
        <v>0</v>
      </c>
      <c r="L3027" s="17"/>
    </row>
    <row r="3028" ht="10.95" customHeight="true" customFormat="true" s="9">
      <c r="A3028" s="16">
        <v>45291</v>
      </c>
      <c r="B3028" s="17" t="s">
        <v>578</v>
      </c>
      <c r="C3028" s="17" t="s">
        <v>572</v>
      </c>
      <c r="D3028" s="17" t="s">
        <v>25</v>
      </c>
      <c r="E3028" s="17" t="s">
        <v>33</v>
      </c>
      <c r="F3028" s="17" t="s">
        <v>32</v>
      </c>
      <c r="G3028" s="18">
        <v>8008.1900</v>
      </c>
      <c r="H3028" s="18">
        <v>0</v>
      </c>
      <c r="I3028" s="18">
        <f ca="1">((I3027 + G3028) - H3028)</f>
        <v>0</v>
      </c>
      <c r="J3028" s="18">
        <v>0</v>
      </c>
      <c r="K3028" s="19">
        <v>0</v>
      </c>
      <c r="L3028" s="17" t="s">
        <v>28</v>
      </c>
    </row>
    <row r="3029" ht="10.95" customHeight="true" customFormat="true" s="9">
      <c r="A3029" s="16">
        <v>45291</v>
      </c>
      <c r="B3029" s="17" t="s">
        <v>578</v>
      </c>
      <c r="C3029" s="17" t="s">
        <v>572</v>
      </c>
      <c r="D3029" s="17" t="s">
        <v>25</v>
      </c>
      <c r="E3029" s="17" t="s">
        <v>581</v>
      </c>
      <c r="F3029" s="17" t="s">
        <v>32</v>
      </c>
      <c r="G3029" s="18">
        <v>8161.0000</v>
      </c>
      <c r="H3029" s="18">
        <v>0</v>
      </c>
      <c r="I3029" s="18">
        <f ca="1">((I3028 + G3029) - H3029)</f>
        <v>0</v>
      </c>
      <c r="J3029" s="18">
        <v>0</v>
      </c>
      <c r="K3029" s="19">
        <v>0</v>
      </c>
      <c r="L3029" s="17" t="s">
        <v>28</v>
      </c>
    </row>
    <row r="3030" ht="10.95" customHeight="true" customFormat="true" s="9">
      <c r="A3030" s="16">
        <v>45291</v>
      </c>
      <c r="B3030" s="17" t="s">
        <v>578</v>
      </c>
      <c r="C3030" s="17" t="s">
        <v>572</v>
      </c>
      <c r="D3030" s="17" t="s">
        <v>25</v>
      </c>
      <c r="E3030" s="17" t="s">
        <v>582</v>
      </c>
      <c r="F3030" s="17" t="s">
        <v>32</v>
      </c>
      <c r="G3030" s="18">
        <v>172.6000</v>
      </c>
      <c r="H3030" s="18">
        <v>0</v>
      </c>
      <c r="I3030" s="18">
        <f ca="1">((I3029 + G3030) - H3030)</f>
        <v>0</v>
      </c>
      <c r="J3030" s="18">
        <v>0</v>
      </c>
      <c r="K3030" s="19">
        <v>0</v>
      </c>
      <c r="L3030" s="17"/>
    </row>
    <row r="3031" ht="10.95" customHeight="true" customFormat="true" s="9">
      <c r="A3031" s="16">
        <v>45306</v>
      </c>
      <c r="B3031" s="17" t="s">
        <v>578</v>
      </c>
      <c r="C3031" s="17" t="s">
        <v>572</v>
      </c>
      <c r="D3031" s="17" t="s">
        <v>22</v>
      </c>
      <c r="E3031" s="17" t="s">
        <v>298</v>
      </c>
      <c r="F3031" s="17"/>
      <c r="G3031" s="18">
        <v>544.0000</v>
      </c>
      <c r="H3031" s="18">
        <v>0</v>
      </c>
      <c r="I3031" s="18">
        <f ca="1">((I3030 + G3031) - H3031)</f>
        <v>0</v>
      </c>
      <c r="J3031" s="18">
        <v>0</v>
      </c>
      <c r="K3031" s="19">
        <v>0</v>
      </c>
      <c r="L3031" s="17"/>
    </row>
    <row r="3032" ht="10.95" customHeight="true" customFormat="true" s="9">
      <c r="A3032" s="16">
        <v>45308</v>
      </c>
      <c r="B3032" s="17" t="s">
        <v>578</v>
      </c>
      <c r="C3032" s="17" t="s">
        <v>572</v>
      </c>
      <c r="D3032" s="17" t="s">
        <v>22</v>
      </c>
      <c r="E3032" s="17" t="s">
        <v>449</v>
      </c>
      <c r="F3032" s="17"/>
      <c r="G3032" s="18">
        <v>102.4000</v>
      </c>
      <c r="H3032" s="18">
        <v>0</v>
      </c>
      <c r="I3032" s="18">
        <f ca="1">((I3031 + G3032) - H3032)</f>
        <v>0</v>
      </c>
      <c r="J3032" s="18">
        <v>0</v>
      </c>
      <c r="K3032" s="19">
        <v>0</v>
      </c>
      <c r="L3032" s="17"/>
    </row>
    <row r="3033" ht="10.95" customHeight="true" customFormat="true" s="9">
      <c r="A3033" s="16">
        <v>45309</v>
      </c>
      <c r="B3033" s="17" t="s">
        <v>578</v>
      </c>
      <c r="C3033" s="17" t="s">
        <v>572</v>
      </c>
      <c r="D3033" s="17" t="s">
        <v>22</v>
      </c>
      <c r="E3033" s="17" t="s">
        <v>436</v>
      </c>
      <c r="F3033" s="17"/>
      <c r="G3033" s="18">
        <v>9.8200</v>
      </c>
      <c r="H3033" s="18">
        <v>0</v>
      </c>
      <c r="I3033" s="18">
        <f ca="1">((I3032 + G3033) - H3033)</f>
        <v>0</v>
      </c>
      <c r="J3033" s="18">
        <v>0</v>
      </c>
      <c r="K3033" s="19">
        <v>0</v>
      </c>
      <c r="L3033" s="17"/>
    </row>
    <row r="3034" ht="10.95" customHeight="true" customFormat="true" s="9">
      <c r="A3034" s="16">
        <v>45313</v>
      </c>
      <c r="B3034" s="17" t="s">
        <v>578</v>
      </c>
      <c r="C3034" s="17" t="s">
        <v>572</v>
      </c>
      <c r="D3034" s="17" t="s">
        <v>19</v>
      </c>
      <c r="E3034" s="17" t="s">
        <v>428</v>
      </c>
      <c r="F3034" s="17"/>
      <c r="G3034" s="18">
        <v>0</v>
      </c>
      <c r="H3034" s="18">
        <v>347.6900</v>
      </c>
      <c r="I3034" s="18">
        <f ca="1">((I3033 + G3034) - H3034)</f>
        <v>0</v>
      </c>
      <c r="J3034" s="18">
        <v>0</v>
      </c>
      <c r="K3034" s="19">
        <v>0</v>
      </c>
      <c r="L3034" s="17"/>
    </row>
    <row r="3035" ht="10.95" customHeight="true" customFormat="true" s="9">
      <c r="A3035" s="16">
        <v>45313</v>
      </c>
      <c r="B3035" s="17" t="s">
        <v>578</v>
      </c>
      <c r="C3035" s="17" t="s">
        <v>572</v>
      </c>
      <c r="D3035" s="17" t="s">
        <v>19</v>
      </c>
      <c r="E3035" s="17" t="s">
        <v>428</v>
      </c>
      <c r="F3035" s="17"/>
      <c r="G3035" s="18">
        <v>0</v>
      </c>
      <c r="H3035" s="18">
        <v>233.9000</v>
      </c>
      <c r="I3035" s="18">
        <f ca="1">((I3034 + G3035) - H3035)</f>
        <v>0</v>
      </c>
      <c r="J3035" s="18">
        <v>0</v>
      </c>
      <c r="K3035" s="19">
        <v>0</v>
      </c>
      <c r="L3035" s="17"/>
    </row>
    <row r="3036" ht="10.95" customHeight="true" customFormat="true" s="9">
      <c r="A3036" s="16">
        <v>45313</v>
      </c>
      <c r="B3036" s="17" t="s">
        <v>578</v>
      </c>
      <c r="C3036" s="17" t="s">
        <v>572</v>
      </c>
      <c r="D3036" s="17" t="s">
        <v>22</v>
      </c>
      <c r="E3036" s="17" t="s">
        <v>496</v>
      </c>
      <c r="F3036" s="17"/>
      <c r="G3036" s="18">
        <v>167.6100</v>
      </c>
      <c r="H3036" s="18">
        <v>0</v>
      </c>
      <c r="I3036" s="18">
        <f ca="1">((I3035 + G3036) - H3036)</f>
        <v>0</v>
      </c>
      <c r="J3036" s="18">
        <v>0</v>
      </c>
      <c r="K3036" s="19">
        <v>0</v>
      </c>
      <c r="L3036" s="17"/>
    </row>
    <row r="3037" ht="10.95" customHeight="true" customFormat="true" s="9">
      <c r="A3037" s="16">
        <v>45313</v>
      </c>
      <c r="B3037" s="17" t="s">
        <v>578</v>
      </c>
      <c r="C3037" s="17" t="s">
        <v>572</v>
      </c>
      <c r="D3037" s="17" t="s">
        <v>19</v>
      </c>
      <c r="E3037" s="17" t="s">
        <v>428</v>
      </c>
      <c r="F3037" s="17"/>
      <c r="G3037" s="18">
        <v>0</v>
      </c>
      <c r="H3037" s="18">
        <v>409.7100</v>
      </c>
      <c r="I3037" s="18">
        <f ca="1">((I3036 + G3037) - H3037)</f>
        <v>0</v>
      </c>
      <c r="J3037" s="18">
        <v>0</v>
      </c>
      <c r="K3037" s="19">
        <v>0</v>
      </c>
      <c r="L3037" s="17"/>
    </row>
    <row r="3038" ht="10.95" customHeight="true" customFormat="true" s="9">
      <c r="A3038" s="16">
        <v>45313</v>
      </c>
      <c r="B3038" s="17" t="s">
        <v>578</v>
      </c>
      <c r="C3038" s="17" t="s">
        <v>572</v>
      </c>
      <c r="D3038" s="17" t="s">
        <v>22</v>
      </c>
      <c r="E3038" s="17" t="s">
        <v>459</v>
      </c>
      <c r="F3038" s="17"/>
      <c r="G3038" s="18">
        <v>13.8500</v>
      </c>
      <c r="H3038" s="18">
        <v>0</v>
      </c>
      <c r="I3038" s="18">
        <f ca="1">((I3037 + G3038) - H3038)</f>
        <v>0</v>
      </c>
      <c r="J3038" s="18">
        <v>0</v>
      </c>
      <c r="K3038" s="19">
        <v>0</v>
      </c>
      <c r="L3038" s="17"/>
    </row>
    <row r="3039" ht="10.95" customHeight="true" customFormat="true" s="9">
      <c r="A3039" s="16">
        <v>45313</v>
      </c>
      <c r="B3039" s="17" t="s">
        <v>578</v>
      </c>
      <c r="C3039" s="17" t="s">
        <v>572</v>
      </c>
      <c r="D3039" s="17" t="s">
        <v>22</v>
      </c>
      <c r="E3039" s="17" t="s">
        <v>430</v>
      </c>
      <c r="F3039" s="17"/>
      <c r="G3039" s="18">
        <v>194.4000</v>
      </c>
      <c r="H3039" s="18">
        <v>0</v>
      </c>
      <c r="I3039" s="18">
        <f ca="1">((I3038 + G3039) - H3039)</f>
        <v>0</v>
      </c>
      <c r="J3039" s="18">
        <v>0</v>
      </c>
      <c r="K3039" s="19">
        <v>0</v>
      </c>
      <c r="L3039" s="17"/>
    </row>
    <row r="3040" ht="10.95" customHeight="true" customFormat="true" s="9">
      <c r="A3040" s="16">
        <v>45313</v>
      </c>
      <c r="B3040" s="17" t="s">
        <v>578</v>
      </c>
      <c r="C3040" s="17" t="s">
        <v>572</v>
      </c>
      <c r="D3040" s="17" t="s">
        <v>22</v>
      </c>
      <c r="E3040" s="17" t="s">
        <v>34</v>
      </c>
      <c r="F3040" s="17"/>
      <c r="G3040" s="18">
        <v>9.0900</v>
      </c>
      <c r="H3040" s="18">
        <v>0</v>
      </c>
      <c r="I3040" s="18">
        <f ca="1">((I3039 + G3040) - H3040)</f>
        <v>0</v>
      </c>
      <c r="J3040" s="18">
        <v>0</v>
      </c>
      <c r="K3040" s="19">
        <v>0</v>
      </c>
      <c r="L3040" s="17"/>
    </row>
    <row r="3041" ht="10.95" customHeight="true" customFormat="true" s="9">
      <c r="A3041" s="16">
        <v>45314</v>
      </c>
      <c r="B3041" s="17" t="s">
        <v>578</v>
      </c>
      <c r="C3041" s="17" t="s">
        <v>572</v>
      </c>
      <c r="D3041" s="17" t="s">
        <v>22</v>
      </c>
      <c r="E3041" s="17" t="s">
        <v>430</v>
      </c>
      <c r="F3041" s="17"/>
      <c r="G3041" s="18">
        <v>102.3300</v>
      </c>
      <c r="H3041" s="18">
        <v>0</v>
      </c>
      <c r="I3041" s="18">
        <f ca="1">((I3040 + G3041) - H3041)</f>
        <v>0</v>
      </c>
      <c r="J3041" s="18">
        <v>0</v>
      </c>
      <c r="K3041" s="19">
        <v>0</v>
      </c>
      <c r="L3041" s="17"/>
    </row>
    <row r="3042" ht="10.95" customHeight="true" customFormat="true" s="9">
      <c r="A3042" s="16">
        <v>45315</v>
      </c>
      <c r="B3042" s="17" t="s">
        <v>578</v>
      </c>
      <c r="C3042" s="17" t="s">
        <v>572</v>
      </c>
      <c r="D3042" s="17" t="s">
        <v>19</v>
      </c>
      <c r="E3042" s="17" t="s">
        <v>428</v>
      </c>
      <c r="F3042" s="17"/>
      <c r="G3042" s="18">
        <v>0</v>
      </c>
      <c r="H3042" s="18">
        <v>196.8400</v>
      </c>
      <c r="I3042" s="18">
        <f ca="1">((I3041 + G3042) - H3042)</f>
        <v>0</v>
      </c>
      <c r="J3042" s="18">
        <v>0</v>
      </c>
      <c r="K3042" s="19">
        <v>0</v>
      </c>
      <c r="L3042" s="17"/>
    </row>
    <row r="3043" ht="10.95" customHeight="true" customFormat="true" s="9">
      <c r="A3043" s="16">
        <v>45315</v>
      </c>
      <c r="B3043" s="17" t="s">
        <v>578</v>
      </c>
      <c r="C3043" s="17" t="s">
        <v>572</v>
      </c>
      <c r="D3043" s="17" t="s">
        <v>22</v>
      </c>
      <c r="E3043" s="17" t="s">
        <v>442</v>
      </c>
      <c r="F3043" s="17"/>
      <c r="G3043" s="18">
        <v>16.7200</v>
      </c>
      <c r="H3043" s="18">
        <v>0</v>
      </c>
      <c r="I3043" s="18">
        <f ca="1">((I3042 + G3043) - H3043)</f>
        <v>0</v>
      </c>
      <c r="J3043" s="18">
        <v>0</v>
      </c>
      <c r="K3043" s="19">
        <v>0</v>
      </c>
      <c r="L3043" s="17"/>
    </row>
    <row r="3044" ht="10.95" customHeight="true" customFormat="true" s="9">
      <c r="A3044" s="16">
        <v>45316</v>
      </c>
      <c r="B3044" s="17" t="s">
        <v>578</v>
      </c>
      <c r="C3044" s="17" t="s">
        <v>572</v>
      </c>
      <c r="D3044" s="17" t="s">
        <v>19</v>
      </c>
      <c r="E3044" s="17" t="s">
        <v>428</v>
      </c>
      <c r="F3044" s="17"/>
      <c r="G3044" s="18">
        <v>0</v>
      </c>
      <c r="H3044" s="18">
        <v>197.1300</v>
      </c>
      <c r="I3044" s="18">
        <f ca="1">((I3043 + G3044) - H3044)</f>
        <v>0</v>
      </c>
      <c r="J3044" s="18">
        <v>0</v>
      </c>
      <c r="K3044" s="19">
        <v>0</v>
      </c>
      <c r="L3044" s="17"/>
    </row>
    <row r="3045" ht="10.95" customHeight="true" customFormat="true" s="9">
      <c r="A3045" s="16">
        <v>45320</v>
      </c>
      <c r="B3045" s="17" t="s">
        <v>578</v>
      </c>
      <c r="C3045" s="17" t="s">
        <v>572</v>
      </c>
      <c r="D3045" s="17" t="s">
        <v>22</v>
      </c>
      <c r="E3045" s="17" t="s">
        <v>496</v>
      </c>
      <c r="F3045" s="17"/>
      <c r="G3045" s="18">
        <v>162.0000</v>
      </c>
      <c r="H3045" s="18">
        <v>0</v>
      </c>
      <c r="I3045" s="18">
        <f ca="1">((I3044 + G3045) - H3045)</f>
        <v>0</v>
      </c>
      <c r="J3045" s="18">
        <v>0</v>
      </c>
      <c r="K3045" s="19">
        <v>0</v>
      </c>
      <c r="L3045" s="17"/>
    </row>
    <row r="3046" ht="10.95" customHeight="true" customFormat="true" s="9">
      <c r="A3046" s="16">
        <v>45320</v>
      </c>
      <c r="B3046" s="17" t="s">
        <v>578</v>
      </c>
      <c r="C3046" s="17" t="s">
        <v>572</v>
      </c>
      <c r="D3046" s="17" t="s">
        <v>19</v>
      </c>
      <c r="E3046" s="17" t="s">
        <v>428</v>
      </c>
      <c r="F3046" s="17"/>
      <c r="G3046" s="18">
        <v>0</v>
      </c>
      <c r="H3046" s="18">
        <v>233.6700</v>
      </c>
      <c r="I3046" s="18">
        <f ca="1">((I3045 + G3046) - H3046)</f>
        <v>0</v>
      </c>
      <c r="J3046" s="18">
        <v>0</v>
      </c>
      <c r="K3046" s="19">
        <v>0</v>
      </c>
      <c r="L3046" s="17"/>
    </row>
    <row r="3047" ht="10.95" customHeight="true" customFormat="true" s="9">
      <c r="A3047" s="16">
        <v>45320</v>
      </c>
      <c r="B3047" s="17" t="s">
        <v>578</v>
      </c>
      <c r="C3047" s="17" t="s">
        <v>572</v>
      </c>
      <c r="D3047" s="17" t="s">
        <v>19</v>
      </c>
      <c r="E3047" s="17" t="s">
        <v>428</v>
      </c>
      <c r="F3047" s="17"/>
      <c r="G3047" s="18">
        <v>0</v>
      </c>
      <c r="H3047" s="18">
        <v>333.5300</v>
      </c>
      <c r="I3047" s="18">
        <f ca="1">((I3046 + G3047) - H3047)</f>
        <v>0</v>
      </c>
      <c r="J3047" s="18">
        <v>0</v>
      </c>
      <c r="K3047" s="19">
        <v>0</v>
      </c>
      <c r="L3047" s="17"/>
    </row>
    <row r="3048" ht="10.95" customHeight="true" customFormat="true" s="9">
      <c r="A3048" s="16">
        <v>45320</v>
      </c>
      <c r="B3048" s="17" t="s">
        <v>578</v>
      </c>
      <c r="C3048" s="17" t="s">
        <v>572</v>
      </c>
      <c r="D3048" s="17" t="s">
        <v>22</v>
      </c>
      <c r="E3048" s="17" t="s">
        <v>430</v>
      </c>
      <c r="F3048" s="17"/>
      <c r="G3048" s="18">
        <v>195.3600</v>
      </c>
      <c r="H3048" s="18">
        <v>0</v>
      </c>
      <c r="I3048" s="18">
        <f ca="1">((I3047 + G3048) - H3048)</f>
        <v>0</v>
      </c>
      <c r="J3048" s="18">
        <v>0</v>
      </c>
      <c r="K3048" s="19">
        <v>0</v>
      </c>
      <c r="L3048" s="17"/>
    </row>
    <row r="3049" ht="10.95" customHeight="true" customFormat="true" s="9">
      <c r="A3049" s="16">
        <v>45320</v>
      </c>
      <c r="B3049" s="17" t="s">
        <v>578</v>
      </c>
      <c r="C3049" s="17" t="s">
        <v>572</v>
      </c>
      <c r="D3049" s="17" t="s">
        <v>19</v>
      </c>
      <c r="E3049" s="17" t="s">
        <v>428</v>
      </c>
      <c r="F3049" s="17"/>
      <c r="G3049" s="18">
        <v>0</v>
      </c>
      <c r="H3049" s="18">
        <v>411.3800</v>
      </c>
      <c r="I3049" s="18">
        <f ca="1">((I3048 + G3049) - H3049)</f>
        <v>0</v>
      </c>
      <c r="J3049" s="18">
        <v>0</v>
      </c>
      <c r="K3049" s="19">
        <v>0</v>
      </c>
      <c r="L3049" s="17"/>
    </row>
    <row r="3050" ht="10.95" customHeight="true" customFormat="true" s="9">
      <c r="A3050" s="16">
        <v>45320</v>
      </c>
      <c r="B3050" s="17" t="s">
        <v>578</v>
      </c>
      <c r="C3050" s="17" t="s">
        <v>572</v>
      </c>
      <c r="D3050" s="17" t="s">
        <v>19</v>
      </c>
      <c r="E3050" s="17" t="s">
        <v>428</v>
      </c>
      <c r="F3050" s="17"/>
      <c r="G3050" s="18">
        <v>0</v>
      </c>
      <c r="H3050" s="18">
        <v>428.0300</v>
      </c>
      <c r="I3050" s="18">
        <f ca="1">((I3049 + G3050) - H3050)</f>
        <v>0</v>
      </c>
      <c r="J3050" s="18">
        <v>0</v>
      </c>
      <c r="K3050" s="19">
        <v>0</v>
      </c>
      <c r="L3050" s="17"/>
    </row>
    <row r="3051" ht="10.95" customHeight="true" customFormat="true" s="9">
      <c r="A3051" s="16">
        <v>45320</v>
      </c>
      <c r="B3051" s="17" t="s">
        <v>578</v>
      </c>
      <c r="C3051" s="17" t="s">
        <v>572</v>
      </c>
      <c r="D3051" s="17" t="s">
        <v>22</v>
      </c>
      <c r="E3051" s="17" t="s">
        <v>34</v>
      </c>
      <c r="F3051" s="17"/>
      <c r="G3051" s="18">
        <v>120.5500</v>
      </c>
      <c r="H3051" s="18">
        <v>0</v>
      </c>
      <c r="I3051" s="18">
        <f ca="1">((I3050 + G3051) - H3051)</f>
        <v>0</v>
      </c>
      <c r="J3051" s="18">
        <v>0</v>
      </c>
      <c r="K3051" s="19">
        <v>0</v>
      </c>
      <c r="L3051" s="17"/>
    </row>
    <row r="3052" ht="10.95" customHeight="true" customFormat="true" s="9">
      <c r="A3052" s="16">
        <v>45322</v>
      </c>
      <c r="B3052" s="17" t="s">
        <v>578</v>
      </c>
      <c r="C3052" s="17" t="s">
        <v>572</v>
      </c>
      <c r="D3052" s="17" t="s">
        <v>19</v>
      </c>
      <c r="E3052" s="17" t="s">
        <v>428</v>
      </c>
      <c r="F3052" s="17"/>
      <c r="G3052" s="18">
        <v>0</v>
      </c>
      <c r="H3052" s="18">
        <v>226.2700</v>
      </c>
      <c r="I3052" s="18">
        <f ca="1">((I3051 + G3052) - H3052)</f>
        <v>0</v>
      </c>
      <c r="J3052" s="18">
        <v>0</v>
      </c>
      <c r="K3052" s="19">
        <v>0</v>
      </c>
      <c r="L3052" s="17"/>
    </row>
    <row r="3053" ht="10.95" customHeight="true" customFormat="true" s="9">
      <c r="A3053" s="16">
        <v>45323</v>
      </c>
      <c r="B3053" s="17" t="s">
        <v>578</v>
      </c>
      <c r="C3053" s="17" t="s">
        <v>572</v>
      </c>
      <c r="D3053" s="17" t="s">
        <v>19</v>
      </c>
      <c r="E3053" s="17" t="s">
        <v>428</v>
      </c>
      <c r="F3053" s="17"/>
      <c r="G3053" s="18">
        <v>0</v>
      </c>
      <c r="H3053" s="18">
        <v>189.2200</v>
      </c>
      <c r="I3053" s="18">
        <f ca="1">((I3052 + G3053) - H3053)</f>
        <v>0</v>
      </c>
      <c r="J3053" s="18">
        <v>0</v>
      </c>
      <c r="K3053" s="19">
        <v>0</v>
      </c>
      <c r="L3053" s="17"/>
    </row>
    <row r="3054" ht="10.95" customHeight="true" customFormat="true" s="9">
      <c r="A3054" s="16">
        <v>45323</v>
      </c>
      <c r="B3054" s="17" t="s">
        <v>578</v>
      </c>
      <c r="C3054" s="17" t="s">
        <v>572</v>
      </c>
      <c r="D3054" s="17" t="s">
        <v>22</v>
      </c>
      <c r="E3054" s="17" t="s">
        <v>430</v>
      </c>
      <c r="F3054" s="17"/>
      <c r="G3054" s="18">
        <v>146.9000</v>
      </c>
      <c r="H3054" s="18">
        <v>0</v>
      </c>
      <c r="I3054" s="18">
        <f ca="1">((I3053 + G3054) - H3054)</f>
        <v>0</v>
      </c>
      <c r="J3054" s="18">
        <v>0</v>
      </c>
      <c r="K3054" s="19">
        <v>0</v>
      </c>
      <c r="L3054" s="17"/>
    </row>
    <row r="3055" ht="10.95" customHeight="true" customFormat="true" s="9">
      <c r="A3055" s="16">
        <v>45324</v>
      </c>
      <c r="B3055" s="17" t="s">
        <v>578</v>
      </c>
      <c r="C3055" s="17" t="s">
        <v>572</v>
      </c>
      <c r="D3055" s="17" t="s">
        <v>22</v>
      </c>
      <c r="E3055" s="17" t="s">
        <v>430</v>
      </c>
      <c r="F3055" s="17"/>
      <c r="G3055" s="18">
        <v>151.0600</v>
      </c>
      <c r="H3055" s="18">
        <v>0</v>
      </c>
      <c r="I3055" s="18">
        <f ca="1">((I3054 + G3055) - H3055)</f>
        <v>0</v>
      </c>
      <c r="J3055" s="18">
        <v>0</v>
      </c>
      <c r="K3055" s="19">
        <v>0</v>
      </c>
      <c r="L3055" s="17"/>
    </row>
    <row r="3056" ht="10.95" customHeight="true" customFormat="true" s="9">
      <c r="A3056" s="16">
        <v>45324</v>
      </c>
      <c r="B3056" s="17" t="s">
        <v>578</v>
      </c>
      <c r="C3056" s="17" t="s">
        <v>572</v>
      </c>
      <c r="D3056" s="17" t="s">
        <v>19</v>
      </c>
      <c r="E3056" s="17" t="s">
        <v>428</v>
      </c>
      <c r="F3056" s="17"/>
      <c r="G3056" s="18">
        <v>0</v>
      </c>
      <c r="H3056" s="18">
        <v>202.4400</v>
      </c>
      <c r="I3056" s="18">
        <f ca="1">((I3055 + G3056) - H3056)</f>
        <v>0</v>
      </c>
      <c r="J3056" s="18">
        <v>0</v>
      </c>
      <c r="K3056" s="19">
        <v>0</v>
      </c>
      <c r="L3056" s="17"/>
    </row>
    <row r="3057" ht="10.95" customHeight="true" customFormat="true" s="9">
      <c r="A3057" s="16">
        <v>45327</v>
      </c>
      <c r="B3057" s="17" t="s">
        <v>578</v>
      </c>
      <c r="C3057" s="17" t="s">
        <v>572</v>
      </c>
      <c r="D3057" s="17" t="s">
        <v>19</v>
      </c>
      <c r="E3057" s="17" t="s">
        <v>428</v>
      </c>
      <c r="F3057" s="17"/>
      <c r="G3057" s="18">
        <v>0</v>
      </c>
      <c r="H3057" s="18">
        <v>230.8600</v>
      </c>
      <c r="I3057" s="18">
        <f ca="1">((I3056 + G3057) - H3057)</f>
        <v>0</v>
      </c>
      <c r="J3057" s="18">
        <v>0</v>
      </c>
      <c r="K3057" s="19">
        <v>0</v>
      </c>
      <c r="L3057" s="17"/>
    </row>
    <row r="3058" ht="10.95" customHeight="true" customFormat="true" s="9">
      <c r="A3058" s="16">
        <v>45327</v>
      </c>
      <c r="B3058" s="17" t="s">
        <v>578</v>
      </c>
      <c r="C3058" s="17" t="s">
        <v>572</v>
      </c>
      <c r="D3058" s="17" t="s">
        <v>19</v>
      </c>
      <c r="E3058" s="17" t="s">
        <v>24</v>
      </c>
      <c r="F3058" s="17"/>
      <c r="G3058" s="18">
        <v>0</v>
      </c>
      <c r="H3058" s="18">
        <v>29.7500</v>
      </c>
      <c r="I3058" s="18">
        <f ca="1">((I3057 + G3058) - H3058)</f>
        <v>0</v>
      </c>
      <c r="J3058" s="18">
        <v>0</v>
      </c>
      <c r="K3058" s="19">
        <v>0</v>
      </c>
      <c r="L3058" s="17"/>
    </row>
    <row r="3059" ht="10.95" customHeight="true" customFormat="true" s="9">
      <c r="A3059" s="16">
        <v>45327</v>
      </c>
      <c r="B3059" s="17" t="s">
        <v>578</v>
      </c>
      <c r="C3059" s="17" t="s">
        <v>572</v>
      </c>
      <c r="D3059" s="17" t="s">
        <v>19</v>
      </c>
      <c r="E3059" s="17" t="s">
        <v>24</v>
      </c>
      <c r="F3059" s="17"/>
      <c r="G3059" s="18">
        <v>0</v>
      </c>
      <c r="H3059" s="18">
        <v>15.4500</v>
      </c>
      <c r="I3059" s="18">
        <f ca="1">((I3058 + G3059) - H3059)</f>
        <v>0</v>
      </c>
      <c r="J3059" s="18">
        <v>0</v>
      </c>
      <c r="K3059" s="19">
        <v>0</v>
      </c>
      <c r="L3059" s="17"/>
    </row>
    <row r="3060" ht="10.95" customHeight="true" customFormat="true" s="9">
      <c r="A3060" s="16">
        <v>45327</v>
      </c>
      <c r="B3060" s="17" t="s">
        <v>578</v>
      </c>
      <c r="C3060" s="17" t="s">
        <v>572</v>
      </c>
      <c r="D3060" s="17" t="s">
        <v>19</v>
      </c>
      <c r="E3060" s="17" t="s">
        <v>428</v>
      </c>
      <c r="F3060" s="17"/>
      <c r="G3060" s="18">
        <v>0</v>
      </c>
      <c r="H3060" s="18">
        <v>510.1000</v>
      </c>
      <c r="I3060" s="18">
        <f ca="1">((I3059 + G3060) - H3060)</f>
        <v>0</v>
      </c>
      <c r="J3060" s="18">
        <v>0</v>
      </c>
      <c r="K3060" s="19">
        <v>0</v>
      </c>
      <c r="L3060" s="17"/>
    </row>
    <row r="3061" ht="10.95" customHeight="true" customFormat="true" s="9">
      <c r="A3061" s="16">
        <v>45327</v>
      </c>
      <c r="B3061" s="17" t="s">
        <v>578</v>
      </c>
      <c r="C3061" s="17" t="s">
        <v>572</v>
      </c>
      <c r="D3061" s="17" t="s">
        <v>19</v>
      </c>
      <c r="E3061" s="17" t="s">
        <v>428</v>
      </c>
      <c r="F3061" s="17"/>
      <c r="G3061" s="18">
        <v>0</v>
      </c>
      <c r="H3061" s="18">
        <v>456.8700</v>
      </c>
      <c r="I3061" s="18">
        <f ca="1">((I3060 + G3061) - H3061)</f>
        <v>0</v>
      </c>
      <c r="J3061" s="18">
        <v>0</v>
      </c>
      <c r="K3061" s="19">
        <v>0</v>
      </c>
      <c r="L3061" s="17"/>
    </row>
    <row r="3062" ht="10.95" customHeight="true" customFormat="true" s="9">
      <c r="A3062" s="16">
        <v>45327</v>
      </c>
      <c r="B3062" s="17" t="s">
        <v>578</v>
      </c>
      <c r="C3062" s="17" t="s">
        <v>572</v>
      </c>
      <c r="D3062" s="17" t="s">
        <v>22</v>
      </c>
      <c r="E3062" s="17" t="s">
        <v>34</v>
      </c>
      <c r="F3062" s="17"/>
      <c r="G3062" s="18">
        <v>133.9100</v>
      </c>
      <c r="H3062" s="18">
        <v>0</v>
      </c>
      <c r="I3062" s="18">
        <f ca="1">((I3061 + G3062) - H3062)</f>
        <v>0</v>
      </c>
      <c r="J3062" s="18">
        <v>0</v>
      </c>
      <c r="K3062" s="19">
        <v>0</v>
      </c>
      <c r="L3062" s="17"/>
    </row>
    <row r="3063" ht="10.95" customHeight="true" customFormat="true" s="9">
      <c r="A3063" s="16">
        <v>45328</v>
      </c>
      <c r="B3063" s="17" t="s">
        <v>578</v>
      </c>
      <c r="C3063" s="17" t="s">
        <v>572</v>
      </c>
      <c r="D3063" s="17" t="s">
        <v>22</v>
      </c>
      <c r="E3063" s="17" t="s">
        <v>438</v>
      </c>
      <c r="F3063" s="17"/>
      <c r="G3063" s="18">
        <v>1.6800</v>
      </c>
      <c r="H3063" s="18">
        <v>0</v>
      </c>
      <c r="I3063" s="18">
        <f ca="1">((I3062 + G3063) - H3063)</f>
        <v>0</v>
      </c>
      <c r="J3063" s="18">
        <v>0</v>
      </c>
      <c r="K3063" s="19">
        <v>0</v>
      </c>
      <c r="L3063" s="17"/>
    </row>
    <row r="3064" ht="10.95" customHeight="true" customFormat="true" s="9">
      <c r="A3064" s="16">
        <v>45329</v>
      </c>
      <c r="B3064" s="17" t="s">
        <v>578</v>
      </c>
      <c r="C3064" s="17" t="s">
        <v>572</v>
      </c>
      <c r="D3064" s="17" t="s">
        <v>19</v>
      </c>
      <c r="E3064" s="17" t="s">
        <v>428</v>
      </c>
      <c r="F3064" s="17"/>
      <c r="G3064" s="18">
        <v>0</v>
      </c>
      <c r="H3064" s="18">
        <v>203.7000</v>
      </c>
      <c r="I3064" s="18">
        <f ca="1">((I3063 + G3064) - H3064)</f>
        <v>0</v>
      </c>
      <c r="J3064" s="18">
        <v>0</v>
      </c>
      <c r="K3064" s="19">
        <v>0</v>
      </c>
      <c r="L3064" s="17"/>
    </row>
    <row r="3065" ht="10.95" customHeight="true" customFormat="true" s="9">
      <c r="A3065" s="16">
        <v>45330</v>
      </c>
      <c r="B3065" s="17" t="s">
        <v>578</v>
      </c>
      <c r="C3065" s="17" t="s">
        <v>572</v>
      </c>
      <c r="D3065" s="17" t="s">
        <v>19</v>
      </c>
      <c r="E3065" s="17" t="s">
        <v>428</v>
      </c>
      <c r="F3065" s="17"/>
      <c r="G3065" s="18">
        <v>0</v>
      </c>
      <c r="H3065" s="18">
        <v>208.2600</v>
      </c>
      <c r="I3065" s="18">
        <f ca="1">((I3064 + G3065) - H3065)</f>
        <v>0</v>
      </c>
      <c r="J3065" s="18">
        <v>0</v>
      </c>
      <c r="K3065" s="19">
        <v>0</v>
      </c>
      <c r="L3065" s="17"/>
    </row>
    <row r="3066" ht="10.95" customHeight="true" customFormat="true" s="9">
      <c r="A3066" s="16">
        <v>45330</v>
      </c>
      <c r="B3066" s="17" t="s">
        <v>578</v>
      </c>
      <c r="C3066" s="17" t="s">
        <v>572</v>
      </c>
      <c r="D3066" s="17" t="s">
        <v>22</v>
      </c>
      <c r="E3066" s="17" t="s">
        <v>430</v>
      </c>
      <c r="F3066" s="17"/>
      <c r="G3066" s="18">
        <v>139.0900</v>
      </c>
      <c r="H3066" s="18">
        <v>0</v>
      </c>
      <c r="I3066" s="18">
        <f ca="1">((I3065 + G3066) - H3066)</f>
        <v>0</v>
      </c>
      <c r="J3066" s="18">
        <v>0</v>
      </c>
      <c r="K3066" s="19">
        <v>0</v>
      </c>
      <c r="L3066" s="17"/>
    </row>
    <row r="3067" ht="10.95" customHeight="true" customFormat="true" s="9">
      <c r="A3067" s="16">
        <v>45330</v>
      </c>
      <c r="B3067" s="17" t="s">
        <v>578</v>
      </c>
      <c r="C3067" s="17" t="s">
        <v>572</v>
      </c>
      <c r="D3067" s="17" t="s">
        <v>22</v>
      </c>
      <c r="E3067" s="17" t="s">
        <v>503</v>
      </c>
      <c r="F3067" s="17"/>
      <c r="G3067" s="18">
        <v>3.9200</v>
      </c>
      <c r="H3067" s="18">
        <v>0</v>
      </c>
      <c r="I3067" s="18">
        <f ca="1">((I3066 + G3067) - H3067)</f>
        <v>0</v>
      </c>
      <c r="J3067" s="18">
        <v>0</v>
      </c>
      <c r="K3067" s="19">
        <v>0</v>
      </c>
      <c r="L3067" s="17"/>
    </row>
    <row r="3068" ht="10.95" customHeight="true" customFormat="true" s="9">
      <c r="A3068" s="16">
        <v>45331</v>
      </c>
      <c r="B3068" s="17" t="s">
        <v>578</v>
      </c>
      <c r="C3068" s="17" t="s">
        <v>572</v>
      </c>
      <c r="D3068" s="17" t="s">
        <v>22</v>
      </c>
      <c r="E3068" s="17" t="s">
        <v>430</v>
      </c>
      <c r="F3068" s="17"/>
      <c r="G3068" s="18">
        <v>151.4800</v>
      </c>
      <c r="H3068" s="18">
        <v>0</v>
      </c>
      <c r="I3068" s="18">
        <f ca="1">((I3067 + G3068) - H3068)</f>
        <v>0</v>
      </c>
      <c r="J3068" s="18">
        <v>0</v>
      </c>
      <c r="K3068" s="19">
        <v>0</v>
      </c>
      <c r="L3068" s="17"/>
    </row>
    <row r="3069" ht="10.95" customHeight="true" customFormat="true" s="9">
      <c r="A3069" s="16">
        <v>45331</v>
      </c>
      <c r="B3069" s="17" t="s">
        <v>578</v>
      </c>
      <c r="C3069" s="17" t="s">
        <v>572</v>
      </c>
      <c r="D3069" s="17" t="s">
        <v>19</v>
      </c>
      <c r="E3069" s="17" t="s">
        <v>428</v>
      </c>
      <c r="F3069" s="17"/>
      <c r="G3069" s="18">
        <v>0</v>
      </c>
      <c r="H3069" s="18">
        <v>213.2000</v>
      </c>
      <c r="I3069" s="18">
        <f ca="1">((I3068 + G3069) - H3069)</f>
        <v>0</v>
      </c>
      <c r="J3069" s="18">
        <v>0</v>
      </c>
      <c r="K3069" s="19">
        <v>0</v>
      </c>
      <c r="L3069" s="17"/>
    </row>
    <row r="3070" ht="10.95" customHeight="true" customFormat="true" s="9">
      <c r="A3070" s="16">
        <v>45331</v>
      </c>
      <c r="B3070" s="17" t="s">
        <v>578</v>
      </c>
      <c r="C3070" s="17" t="s">
        <v>572</v>
      </c>
      <c r="D3070" s="17" t="s">
        <v>22</v>
      </c>
      <c r="E3070" s="17" t="s">
        <v>583</v>
      </c>
      <c r="F3070" s="17"/>
      <c r="G3070" s="18">
        <v>8709.0000</v>
      </c>
      <c r="H3070" s="18">
        <v>0</v>
      </c>
      <c r="I3070" s="18">
        <f ca="1">((I3069 + G3070) - H3070)</f>
        <v>0</v>
      </c>
      <c r="J3070" s="18">
        <v>0</v>
      </c>
      <c r="K3070" s="19">
        <v>0</v>
      </c>
      <c r="L3070" s="17" t="s">
        <v>28</v>
      </c>
    </row>
    <row r="3071" ht="10.95" customHeight="true" customFormat="true" s="9">
      <c r="A3071" s="16">
        <v>45334</v>
      </c>
      <c r="B3071" s="17" t="s">
        <v>578</v>
      </c>
      <c r="C3071" s="17" t="s">
        <v>572</v>
      </c>
      <c r="D3071" s="17" t="s">
        <v>19</v>
      </c>
      <c r="E3071" s="17" t="s">
        <v>428</v>
      </c>
      <c r="F3071" s="17"/>
      <c r="G3071" s="18">
        <v>0</v>
      </c>
      <c r="H3071" s="18">
        <v>487.1000</v>
      </c>
      <c r="I3071" s="18">
        <f ca="1">((I3070 + G3071) - H3071)</f>
        <v>0</v>
      </c>
      <c r="J3071" s="18">
        <v>0</v>
      </c>
      <c r="K3071" s="19">
        <v>0</v>
      </c>
      <c r="L3071" s="17"/>
    </row>
    <row r="3072" ht="10.95" customHeight="true" customFormat="true" s="9">
      <c r="A3072" s="16">
        <v>45334</v>
      </c>
      <c r="B3072" s="17" t="s">
        <v>578</v>
      </c>
      <c r="C3072" s="17" t="s">
        <v>572</v>
      </c>
      <c r="D3072" s="17" t="s">
        <v>19</v>
      </c>
      <c r="E3072" s="17" t="s">
        <v>428</v>
      </c>
      <c r="F3072" s="17"/>
      <c r="G3072" s="18">
        <v>0</v>
      </c>
      <c r="H3072" s="18">
        <v>507.6000</v>
      </c>
      <c r="I3072" s="18">
        <f ca="1">((I3071 + G3072) - H3072)</f>
        <v>0</v>
      </c>
      <c r="J3072" s="18">
        <v>0</v>
      </c>
      <c r="K3072" s="19">
        <v>0</v>
      </c>
      <c r="L3072" s="17"/>
    </row>
    <row r="3073" ht="10.95" customHeight="true" customFormat="true" s="9">
      <c r="A3073" s="16">
        <v>45334</v>
      </c>
      <c r="B3073" s="17" t="s">
        <v>578</v>
      </c>
      <c r="C3073" s="17" t="s">
        <v>572</v>
      </c>
      <c r="D3073" s="17" t="s">
        <v>19</v>
      </c>
      <c r="E3073" s="17" t="s">
        <v>428</v>
      </c>
      <c r="F3073" s="17"/>
      <c r="G3073" s="18">
        <v>0</v>
      </c>
      <c r="H3073" s="18">
        <v>246.4700</v>
      </c>
      <c r="I3073" s="18">
        <f ca="1">((I3072 + G3073) - H3073)</f>
        <v>0</v>
      </c>
      <c r="J3073" s="18">
        <v>0</v>
      </c>
      <c r="K3073" s="19">
        <v>0</v>
      </c>
      <c r="L3073" s="17"/>
    </row>
    <row r="3074" ht="10.95" customHeight="true" customFormat="true" s="9">
      <c r="A3074" s="16">
        <v>45334</v>
      </c>
      <c r="B3074" s="17" t="s">
        <v>578</v>
      </c>
      <c r="C3074" s="17" t="s">
        <v>572</v>
      </c>
      <c r="D3074" s="17" t="s">
        <v>22</v>
      </c>
      <c r="E3074" s="17" t="s">
        <v>474</v>
      </c>
      <c r="F3074" s="17"/>
      <c r="G3074" s="18">
        <v>0.9700</v>
      </c>
      <c r="H3074" s="18">
        <v>0</v>
      </c>
      <c r="I3074" s="18">
        <f ca="1">((I3073 + G3074) - H3074)</f>
        <v>0</v>
      </c>
      <c r="J3074" s="18">
        <v>0</v>
      </c>
      <c r="K3074" s="19">
        <v>0</v>
      </c>
      <c r="L3074" s="17"/>
    </row>
    <row r="3075" ht="10.95" customHeight="true" customFormat="true" s="9">
      <c r="A3075" s="16">
        <v>45334</v>
      </c>
      <c r="B3075" s="17" t="s">
        <v>578</v>
      </c>
      <c r="C3075" s="17" t="s">
        <v>572</v>
      </c>
      <c r="D3075" s="17" t="s">
        <v>22</v>
      </c>
      <c r="E3075" s="17" t="s">
        <v>474</v>
      </c>
      <c r="F3075" s="17"/>
      <c r="G3075" s="18">
        <v>1.8200</v>
      </c>
      <c r="H3075" s="18">
        <v>0</v>
      </c>
      <c r="I3075" s="18">
        <f ca="1">((I3074 + G3075) - H3075)</f>
        <v>0</v>
      </c>
      <c r="J3075" s="18">
        <v>0</v>
      </c>
      <c r="K3075" s="19">
        <v>0</v>
      </c>
      <c r="L3075" s="17"/>
    </row>
    <row r="3076" ht="10.95" customHeight="true" customFormat="true" s="9">
      <c r="A3076" s="16">
        <v>45334</v>
      </c>
      <c r="B3076" s="17" t="s">
        <v>578</v>
      </c>
      <c r="C3076" s="17" t="s">
        <v>572</v>
      </c>
      <c r="D3076" s="17" t="s">
        <v>22</v>
      </c>
      <c r="E3076" s="17" t="s">
        <v>34</v>
      </c>
      <c r="F3076" s="17"/>
      <c r="G3076" s="18">
        <v>257.3200</v>
      </c>
      <c r="H3076" s="18">
        <v>0</v>
      </c>
      <c r="I3076" s="18">
        <f ca="1">((I3075 + G3076) - H3076)</f>
        <v>0</v>
      </c>
      <c r="J3076" s="18">
        <v>0</v>
      </c>
      <c r="K3076" s="19">
        <v>0</v>
      </c>
      <c r="L3076" s="17"/>
    </row>
    <row r="3077" ht="10.95" customHeight="true" customFormat="true" s="9">
      <c r="A3077" s="16">
        <v>45335</v>
      </c>
      <c r="B3077" s="17" t="s">
        <v>578</v>
      </c>
      <c r="C3077" s="17" t="s">
        <v>572</v>
      </c>
      <c r="D3077" s="17" t="s">
        <v>22</v>
      </c>
      <c r="E3077" s="17" t="s">
        <v>430</v>
      </c>
      <c r="F3077" s="17"/>
      <c r="G3077" s="18">
        <v>114.6300</v>
      </c>
      <c r="H3077" s="18">
        <v>0</v>
      </c>
      <c r="I3077" s="18">
        <f ca="1">((I3076 + G3077) - H3077)</f>
        <v>0</v>
      </c>
      <c r="J3077" s="18">
        <v>0</v>
      </c>
      <c r="K3077" s="19">
        <v>0</v>
      </c>
      <c r="L3077" s="17"/>
    </row>
    <row r="3078" ht="10.95" customHeight="true" customFormat="true" s="9">
      <c r="A3078" s="16">
        <v>45336</v>
      </c>
      <c r="B3078" s="17" t="s">
        <v>578</v>
      </c>
      <c r="C3078" s="17" t="s">
        <v>572</v>
      </c>
      <c r="D3078" s="17" t="s">
        <v>22</v>
      </c>
      <c r="E3078" s="17" t="s">
        <v>452</v>
      </c>
      <c r="F3078" s="17"/>
      <c r="G3078" s="18">
        <v>24.0000</v>
      </c>
      <c r="H3078" s="18">
        <v>0</v>
      </c>
      <c r="I3078" s="18">
        <f ca="1">((I3077 + G3078) - H3078)</f>
        <v>0</v>
      </c>
      <c r="J3078" s="18">
        <v>0</v>
      </c>
      <c r="K3078" s="19">
        <v>0</v>
      </c>
      <c r="L3078" s="17"/>
    </row>
    <row r="3079" ht="10.95" customHeight="true" customFormat="true" s="9">
      <c r="A3079" s="16">
        <v>45336</v>
      </c>
      <c r="B3079" s="17" t="s">
        <v>578</v>
      </c>
      <c r="C3079" s="17" t="s">
        <v>572</v>
      </c>
      <c r="D3079" s="17" t="s">
        <v>19</v>
      </c>
      <c r="E3079" s="17" t="s">
        <v>428</v>
      </c>
      <c r="F3079" s="17"/>
      <c r="G3079" s="18">
        <v>0</v>
      </c>
      <c r="H3079" s="18">
        <v>192.9400</v>
      </c>
      <c r="I3079" s="18">
        <f ca="1">((I3078 + G3079) - H3079)</f>
        <v>0</v>
      </c>
      <c r="J3079" s="18">
        <v>0</v>
      </c>
      <c r="K3079" s="19">
        <v>0</v>
      </c>
      <c r="L3079" s="17"/>
    </row>
    <row r="3080" ht="10.95" customHeight="true" customFormat="true" s="9">
      <c r="A3080" s="16">
        <v>45336</v>
      </c>
      <c r="B3080" s="17" t="s">
        <v>578</v>
      </c>
      <c r="C3080" s="17" t="s">
        <v>572</v>
      </c>
      <c r="D3080" s="17" t="s">
        <v>22</v>
      </c>
      <c r="E3080" s="17" t="s">
        <v>459</v>
      </c>
      <c r="F3080" s="17"/>
      <c r="G3080" s="18">
        <v>4.2000</v>
      </c>
      <c r="H3080" s="18">
        <v>0</v>
      </c>
      <c r="I3080" s="18">
        <f ca="1">((I3079 + G3080) - H3080)</f>
        <v>0</v>
      </c>
      <c r="J3080" s="18">
        <v>0</v>
      </c>
      <c r="K3080" s="19">
        <v>0</v>
      </c>
      <c r="L3080" s="17"/>
    </row>
    <row r="3081" ht="10.95" customHeight="true" customFormat="true" s="9">
      <c r="A3081" s="16">
        <v>45336</v>
      </c>
      <c r="B3081" s="17" t="s">
        <v>578</v>
      </c>
      <c r="C3081" s="17" t="s">
        <v>572</v>
      </c>
      <c r="D3081" s="17" t="s">
        <v>22</v>
      </c>
      <c r="E3081" s="17" t="s">
        <v>453</v>
      </c>
      <c r="F3081" s="17"/>
      <c r="G3081" s="18">
        <v>12.0000</v>
      </c>
      <c r="H3081" s="18">
        <v>0</v>
      </c>
      <c r="I3081" s="18">
        <f ca="1">((I3080 + G3081) - H3081)</f>
        <v>0</v>
      </c>
      <c r="J3081" s="18">
        <v>0</v>
      </c>
      <c r="K3081" s="19">
        <v>0</v>
      </c>
      <c r="L3081" s="17"/>
    </row>
    <row r="3082" ht="10.95" customHeight="true" customFormat="true" s="9">
      <c r="A3082" s="16">
        <v>45337</v>
      </c>
      <c r="B3082" s="17" t="s">
        <v>578</v>
      </c>
      <c r="C3082" s="17" t="s">
        <v>572</v>
      </c>
      <c r="D3082" s="17" t="s">
        <v>19</v>
      </c>
      <c r="E3082" s="17" t="s">
        <v>428</v>
      </c>
      <c r="F3082" s="17"/>
      <c r="G3082" s="18">
        <v>0</v>
      </c>
      <c r="H3082" s="18">
        <v>215.9100</v>
      </c>
      <c r="I3082" s="18">
        <f ca="1">((I3081 + G3082) - H3082)</f>
        <v>0</v>
      </c>
      <c r="J3082" s="18">
        <v>0</v>
      </c>
      <c r="K3082" s="19">
        <v>0</v>
      </c>
      <c r="L3082" s="17"/>
    </row>
    <row r="3083" ht="10.95" customHeight="true" customFormat="true" s="9">
      <c r="A3083" s="16">
        <v>45338</v>
      </c>
      <c r="B3083" s="17" t="s">
        <v>578</v>
      </c>
      <c r="C3083" s="17" t="s">
        <v>572</v>
      </c>
      <c r="D3083" s="17" t="s">
        <v>19</v>
      </c>
      <c r="E3083" s="17" t="s">
        <v>428</v>
      </c>
      <c r="F3083" s="17"/>
      <c r="G3083" s="18">
        <v>0</v>
      </c>
      <c r="H3083" s="18">
        <v>209.4200</v>
      </c>
      <c r="I3083" s="18">
        <f ca="1">((I3082 + G3083) - H3083)</f>
        <v>0</v>
      </c>
      <c r="J3083" s="18">
        <v>0</v>
      </c>
      <c r="K3083" s="19">
        <v>0</v>
      </c>
      <c r="L3083" s="17"/>
    </row>
    <row r="3084" ht="10.95" customHeight="true" customFormat="true" s="9">
      <c r="A3084" s="16">
        <v>45338</v>
      </c>
      <c r="B3084" s="17" t="s">
        <v>578</v>
      </c>
      <c r="C3084" s="17" t="s">
        <v>572</v>
      </c>
      <c r="D3084" s="17" t="s">
        <v>22</v>
      </c>
      <c r="E3084" s="17" t="s">
        <v>430</v>
      </c>
      <c r="F3084" s="17"/>
      <c r="G3084" s="18">
        <v>152.8400</v>
      </c>
      <c r="H3084" s="18">
        <v>0</v>
      </c>
      <c r="I3084" s="18">
        <f ca="1">((I3083 + G3084) - H3084)</f>
        <v>0</v>
      </c>
      <c r="J3084" s="18">
        <v>0</v>
      </c>
      <c r="K3084" s="19">
        <v>0</v>
      </c>
      <c r="L3084" s="17"/>
    </row>
    <row r="3085" ht="10.95" customHeight="true" customFormat="true" s="9">
      <c r="A3085" s="16">
        <v>45338</v>
      </c>
      <c r="B3085" s="17" t="s">
        <v>578</v>
      </c>
      <c r="C3085" s="17" t="s">
        <v>572</v>
      </c>
      <c r="D3085" s="17" t="s">
        <v>19</v>
      </c>
      <c r="E3085" s="17" t="s">
        <v>24</v>
      </c>
      <c r="F3085" s="17"/>
      <c r="G3085" s="18">
        <v>0</v>
      </c>
      <c r="H3085" s="18">
        <v>28.1800</v>
      </c>
      <c r="I3085" s="18">
        <f ca="1">((I3084 + G3085) - H3085)</f>
        <v>0</v>
      </c>
      <c r="J3085" s="18">
        <v>0</v>
      </c>
      <c r="K3085" s="19">
        <v>0</v>
      </c>
      <c r="L3085" s="17"/>
    </row>
    <row r="3086" ht="10.95" customHeight="true" customFormat="true" s="9">
      <c r="A3086" s="16">
        <v>45341</v>
      </c>
      <c r="B3086" s="17" t="s">
        <v>578</v>
      </c>
      <c r="C3086" s="17" t="s">
        <v>572</v>
      </c>
      <c r="D3086" s="17" t="s">
        <v>19</v>
      </c>
      <c r="E3086" s="17" t="s">
        <v>428</v>
      </c>
      <c r="F3086" s="17"/>
      <c r="G3086" s="18">
        <v>0</v>
      </c>
      <c r="H3086" s="18">
        <v>495.8500</v>
      </c>
      <c r="I3086" s="18">
        <f ca="1">((I3085 + G3086) - H3086)</f>
        <v>0</v>
      </c>
      <c r="J3086" s="18">
        <v>0</v>
      </c>
      <c r="K3086" s="19">
        <v>0</v>
      </c>
      <c r="L3086" s="17"/>
    </row>
    <row r="3087" ht="10.95" customHeight="true" customFormat="true" s="9">
      <c r="A3087" s="16">
        <v>45341</v>
      </c>
      <c r="B3087" s="17" t="s">
        <v>578</v>
      </c>
      <c r="C3087" s="17" t="s">
        <v>572</v>
      </c>
      <c r="D3087" s="17" t="s">
        <v>19</v>
      </c>
      <c r="E3087" s="17" t="s">
        <v>428</v>
      </c>
      <c r="F3087" s="17"/>
      <c r="G3087" s="18">
        <v>0</v>
      </c>
      <c r="H3087" s="18">
        <v>499.0000</v>
      </c>
      <c r="I3087" s="18">
        <f ca="1">((I3086 + G3087) - H3087)</f>
        <v>0</v>
      </c>
      <c r="J3087" s="18">
        <v>0</v>
      </c>
      <c r="K3087" s="19">
        <v>0</v>
      </c>
      <c r="L3087" s="17"/>
    </row>
    <row r="3088" ht="10.95" customHeight="true" customFormat="true" s="9">
      <c r="A3088" s="16">
        <v>45341</v>
      </c>
      <c r="B3088" s="17" t="s">
        <v>578</v>
      </c>
      <c r="C3088" s="17" t="s">
        <v>572</v>
      </c>
      <c r="D3088" s="17" t="s">
        <v>22</v>
      </c>
      <c r="E3088" s="17" t="s">
        <v>34</v>
      </c>
      <c r="F3088" s="17"/>
      <c r="G3088" s="18">
        <v>225.2500</v>
      </c>
      <c r="H3088" s="18">
        <v>0</v>
      </c>
      <c r="I3088" s="18">
        <f ca="1">((I3087 + G3088) - H3088)</f>
        <v>0</v>
      </c>
      <c r="J3088" s="18">
        <v>0</v>
      </c>
      <c r="K3088" s="19">
        <v>0</v>
      </c>
      <c r="L3088" s="17"/>
    </row>
    <row r="3089" ht="10.95" customHeight="true" customFormat="true" s="9">
      <c r="A3089" s="16">
        <v>45341</v>
      </c>
      <c r="B3089" s="17" t="s">
        <v>578</v>
      </c>
      <c r="C3089" s="17" t="s">
        <v>572</v>
      </c>
      <c r="D3089" s="17" t="s">
        <v>19</v>
      </c>
      <c r="E3089" s="17" t="s">
        <v>428</v>
      </c>
      <c r="F3089" s="17"/>
      <c r="G3089" s="18">
        <v>0</v>
      </c>
      <c r="H3089" s="18">
        <v>269.7100</v>
      </c>
      <c r="I3089" s="18">
        <f ca="1">((I3088 + G3089) - H3089)</f>
        <v>0</v>
      </c>
      <c r="J3089" s="18">
        <v>0</v>
      </c>
      <c r="K3089" s="19">
        <v>0</v>
      </c>
      <c r="L3089" s="17"/>
    </row>
    <row r="3090" ht="10.95" customHeight="true" customFormat="true" s="9">
      <c r="A3090" s="16">
        <v>45341</v>
      </c>
      <c r="B3090" s="17" t="s">
        <v>578</v>
      </c>
      <c r="C3090" s="17" t="s">
        <v>572</v>
      </c>
      <c r="D3090" s="17" t="s">
        <v>19</v>
      </c>
      <c r="E3090" s="17" t="s">
        <v>24</v>
      </c>
      <c r="F3090" s="17"/>
      <c r="G3090" s="18">
        <v>0</v>
      </c>
      <c r="H3090" s="18">
        <v>18.1800</v>
      </c>
      <c r="I3090" s="18">
        <f ca="1">((I3089 + G3090) - H3090)</f>
        <v>0</v>
      </c>
      <c r="J3090" s="18">
        <v>0</v>
      </c>
      <c r="K3090" s="19">
        <v>0</v>
      </c>
      <c r="L3090" s="17"/>
    </row>
    <row r="3091" ht="10.95" customHeight="true" customFormat="true" s="9">
      <c r="A3091" s="16">
        <v>45341</v>
      </c>
      <c r="B3091" s="17" t="s">
        <v>578</v>
      </c>
      <c r="C3091" s="17" t="s">
        <v>572</v>
      </c>
      <c r="D3091" s="17" t="s">
        <v>22</v>
      </c>
      <c r="E3091" s="17" t="s">
        <v>509</v>
      </c>
      <c r="F3091" s="17"/>
      <c r="G3091" s="18">
        <v>2.8300</v>
      </c>
      <c r="H3091" s="18">
        <v>0</v>
      </c>
      <c r="I3091" s="18">
        <f ca="1">((I3090 + G3091) - H3091)</f>
        <v>0</v>
      </c>
      <c r="J3091" s="18">
        <v>0</v>
      </c>
      <c r="K3091" s="19">
        <v>0</v>
      </c>
      <c r="L3091" s="17"/>
    </row>
    <row r="3092" ht="10.95" customHeight="true" customFormat="true" s="9">
      <c r="A3092" s="16">
        <v>45341</v>
      </c>
      <c r="B3092" s="17" t="s">
        <v>578</v>
      </c>
      <c r="C3092" s="17" t="s">
        <v>572</v>
      </c>
      <c r="D3092" s="17" t="s">
        <v>22</v>
      </c>
      <c r="E3092" s="17" t="s">
        <v>436</v>
      </c>
      <c r="F3092" s="17"/>
      <c r="G3092" s="18">
        <v>9.8100</v>
      </c>
      <c r="H3092" s="18">
        <v>0</v>
      </c>
      <c r="I3092" s="18">
        <f ca="1">((I3091 + G3092) - H3092)</f>
        <v>0</v>
      </c>
      <c r="J3092" s="18">
        <v>0</v>
      </c>
      <c r="K3092" s="19">
        <v>0</v>
      </c>
      <c r="L3092" s="17"/>
    </row>
    <row r="3093" ht="10.95" customHeight="true" customFormat="true" s="9">
      <c r="A3093" s="16">
        <v>45343</v>
      </c>
      <c r="B3093" s="17" t="s">
        <v>578</v>
      </c>
      <c r="C3093" s="17" t="s">
        <v>572</v>
      </c>
      <c r="D3093" s="17" t="s">
        <v>22</v>
      </c>
      <c r="E3093" s="17" t="s">
        <v>430</v>
      </c>
      <c r="F3093" s="17"/>
      <c r="G3093" s="18">
        <v>124.2200</v>
      </c>
      <c r="H3093" s="18">
        <v>0</v>
      </c>
      <c r="I3093" s="18">
        <f ca="1">((I3092 + G3093) - H3093)</f>
        <v>0</v>
      </c>
      <c r="J3093" s="18">
        <v>0</v>
      </c>
      <c r="K3093" s="19">
        <v>0</v>
      </c>
      <c r="L3093" s="17"/>
    </row>
    <row r="3094" ht="10.95" customHeight="true" customFormat="true" s="9">
      <c r="A3094" s="16">
        <v>45343</v>
      </c>
      <c r="B3094" s="17" t="s">
        <v>578</v>
      </c>
      <c r="C3094" s="17" t="s">
        <v>572</v>
      </c>
      <c r="D3094" s="17" t="s">
        <v>19</v>
      </c>
      <c r="E3094" s="17" t="s">
        <v>428</v>
      </c>
      <c r="F3094" s="17"/>
      <c r="G3094" s="18">
        <v>0</v>
      </c>
      <c r="H3094" s="18">
        <v>192.0100</v>
      </c>
      <c r="I3094" s="18">
        <f ca="1">((I3093 + G3094) - H3094)</f>
        <v>0</v>
      </c>
      <c r="J3094" s="18">
        <v>0</v>
      </c>
      <c r="K3094" s="19">
        <v>0</v>
      </c>
      <c r="L3094" s="17"/>
    </row>
    <row r="3095" ht="10.95" customHeight="true" customFormat="true" s="9">
      <c r="A3095" s="16">
        <v>45343</v>
      </c>
      <c r="B3095" s="17" t="s">
        <v>578</v>
      </c>
      <c r="C3095" s="17" t="s">
        <v>572</v>
      </c>
      <c r="D3095" s="17" t="s">
        <v>22</v>
      </c>
      <c r="E3095" s="17" t="s">
        <v>298</v>
      </c>
      <c r="F3095" s="17"/>
      <c r="G3095" s="18">
        <v>544.0000</v>
      </c>
      <c r="H3095" s="18">
        <v>0</v>
      </c>
      <c r="I3095" s="18">
        <f ca="1">((I3094 + G3095) - H3095)</f>
        <v>0</v>
      </c>
      <c r="J3095" s="18">
        <v>0</v>
      </c>
      <c r="K3095" s="19">
        <v>0</v>
      </c>
      <c r="L3095" s="17"/>
    </row>
    <row r="3096" ht="10.95" customHeight="true" customFormat="true" s="9">
      <c r="A3096" s="16">
        <v>45344</v>
      </c>
      <c r="B3096" s="17" t="s">
        <v>578</v>
      </c>
      <c r="C3096" s="17" t="s">
        <v>572</v>
      </c>
      <c r="D3096" s="17" t="s">
        <v>19</v>
      </c>
      <c r="E3096" s="17" t="s">
        <v>428</v>
      </c>
      <c r="F3096" s="17"/>
      <c r="G3096" s="18">
        <v>0</v>
      </c>
      <c r="H3096" s="18">
        <v>212.4500</v>
      </c>
      <c r="I3096" s="18">
        <f ca="1">((I3095 + G3096) - H3096)</f>
        <v>0</v>
      </c>
      <c r="J3096" s="18">
        <v>0</v>
      </c>
      <c r="K3096" s="19">
        <v>0</v>
      </c>
      <c r="L3096" s="17"/>
    </row>
    <row r="3097" ht="10.95" customHeight="true" customFormat="true" s="9">
      <c r="A3097" s="16">
        <v>45344</v>
      </c>
      <c r="B3097" s="17" t="s">
        <v>578</v>
      </c>
      <c r="C3097" s="17" t="s">
        <v>572</v>
      </c>
      <c r="D3097" s="17" t="s">
        <v>22</v>
      </c>
      <c r="E3097" s="17" t="s">
        <v>440</v>
      </c>
      <c r="F3097" s="17"/>
      <c r="G3097" s="18">
        <v>21.0000</v>
      </c>
      <c r="H3097" s="18">
        <v>0</v>
      </c>
      <c r="I3097" s="18">
        <f ca="1">((I3096 + G3097) - H3097)</f>
        <v>0</v>
      </c>
      <c r="J3097" s="18">
        <v>0</v>
      </c>
      <c r="K3097" s="19">
        <v>0</v>
      </c>
      <c r="L3097" s="17"/>
    </row>
    <row r="3098" ht="10.95" customHeight="true" customFormat="true" s="9">
      <c r="A3098" s="16">
        <v>45345</v>
      </c>
      <c r="B3098" s="17" t="s">
        <v>578</v>
      </c>
      <c r="C3098" s="17" t="s">
        <v>572</v>
      </c>
      <c r="D3098" s="17" t="s">
        <v>19</v>
      </c>
      <c r="E3098" s="17" t="s">
        <v>428</v>
      </c>
      <c r="F3098" s="17"/>
      <c r="G3098" s="18">
        <v>0</v>
      </c>
      <c r="H3098" s="18">
        <v>219.4300</v>
      </c>
      <c r="I3098" s="18">
        <f ca="1">((I3097 + G3098) - H3098)</f>
        <v>0</v>
      </c>
      <c r="J3098" s="18">
        <v>0</v>
      </c>
      <c r="K3098" s="19">
        <v>0</v>
      </c>
      <c r="L3098" s="17"/>
    </row>
    <row r="3099" ht="10.95" customHeight="true" customFormat="true" s="9">
      <c r="A3099" s="16">
        <v>45345</v>
      </c>
      <c r="B3099" s="17" t="s">
        <v>578</v>
      </c>
      <c r="C3099" s="17" t="s">
        <v>572</v>
      </c>
      <c r="D3099" s="17" t="s">
        <v>22</v>
      </c>
      <c r="E3099" s="17" t="s">
        <v>430</v>
      </c>
      <c r="F3099" s="17"/>
      <c r="G3099" s="18">
        <v>152.8400</v>
      </c>
      <c r="H3099" s="18">
        <v>0</v>
      </c>
      <c r="I3099" s="18">
        <f ca="1">((I3098 + G3099) - H3099)</f>
        <v>0</v>
      </c>
      <c r="J3099" s="18">
        <v>0</v>
      </c>
      <c r="K3099" s="19">
        <v>0</v>
      </c>
      <c r="L3099" s="17"/>
    </row>
    <row r="3100" ht="10.95" customHeight="true" customFormat="true" s="9">
      <c r="A3100" s="16">
        <v>45348</v>
      </c>
      <c r="B3100" s="17" t="s">
        <v>578</v>
      </c>
      <c r="C3100" s="17" t="s">
        <v>572</v>
      </c>
      <c r="D3100" s="17" t="s">
        <v>19</v>
      </c>
      <c r="E3100" s="17" t="s">
        <v>428</v>
      </c>
      <c r="F3100" s="17"/>
      <c r="G3100" s="18">
        <v>0</v>
      </c>
      <c r="H3100" s="18">
        <v>465.8800</v>
      </c>
      <c r="I3100" s="18">
        <f ca="1">((I3099 + G3100) - H3100)</f>
        <v>0</v>
      </c>
      <c r="J3100" s="18">
        <v>0</v>
      </c>
      <c r="K3100" s="19">
        <v>0</v>
      </c>
      <c r="L3100" s="17"/>
    </row>
    <row r="3101" ht="10.95" customHeight="true" customFormat="true" s="9">
      <c r="A3101" s="16">
        <v>45348</v>
      </c>
      <c r="B3101" s="17" t="s">
        <v>578</v>
      </c>
      <c r="C3101" s="17" t="s">
        <v>572</v>
      </c>
      <c r="D3101" s="17" t="s">
        <v>19</v>
      </c>
      <c r="E3101" s="17" t="s">
        <v>428</v>
      </c>
      <c r="F3101" s="17"/>
      <c r="G3101" s="18">
        <v>0</v>
      </c>
      <c r="H3101" s="18">
        <v>551.3900</v>
      </c>
      <c r="I3101" s="18">
        <f ca="1">((I3100 + G3101) - H3101)</f>
        <v>0</v>
      </c>
      <c r="J3101" s="18">
        <v>0</v>
      </c>
      <c r="K3101" s="19">
        <v>0</v>
      </c>
      <c r="L3101" s="17"/>
    </row>
    <row r="3102" ht="10.95" customHeight="true" customFormat="true" s="9">
      <c r="A3102" s="16">
        <v>45348</v>
      </c>
      <c r="B3102" s="17" t="s">
        <v>578</v>
      </c>
      <c r="C3102" s="17" t="s">
        <v>572</v>
      </c>
      <c r="D3102" s="17" t="s">
        <v>19</v>
      </c>
      <c r="E3102" s="17" t="s">
        <v>428</v>
      </c>
      <c r="F3102" s="17"/>
      <c r="G3102" s="18">
        <v>0</v>
      </c>
      <c r="H3102" s="18">
        <v>247.3800</v>
      </c>
      <c r="I3102" s="18">
        <f ca="1">((I3101 + G3102) - H3102)</f>
        <v>0</v>
      </c>
      <c r="J3102" s="18">
        <v>0</v>
      </c>
      <c r="K3102" s="19">
        <v>0</v>
      </c>
      <c r="L3102" s="17"/>
    </row>
    <row r="3103" ht="10.95" customHeight="true" customFormat="true" s="9">
      <c r="A3103" s="16">
        <v>45348</v>
      </c>
      <c r="B3103" s="17" t="s">
        <v>578</v>
      </c>
      <c r="C3103" s="17" t="s">
        <v>572</v>
      </c>
      <c r="D3103" s="17" t="s">
        <v>22</v>
      </c>
      <c r="E3103" s="17" t="s">
        <v>442</v>
      </c>
      <c r="F3103" s="17"/>
      <c r="G3103" s="18">
        <v>16.7200</v>
      </c>
      <c r="H3103" s="18">
        <v>0</v>
      </c>
      <c r="I3103" s="18">
        <f ca="1">((I3102 + G3103) - H3103)</f>
        <v>0</v>
      </c>
      <c r="J3103" s="18">
        <v>0</v>
      </c>
      <c r="K3103" s="19">
        <v>0</v>
      </c>
      <c r="L3103" s="17"/>
    </row>
    <row r="3104" ht="10.95" customHeight="true" customFormat="true" s="9">
      <c r="A3104" s="16">
        <v>45348</v>
      </c>
      <c r="B3104" s="17" t="s">
        <v>578</v>
      </c>
      <c r="C3104" s="17" t="s">
        <v>572</v>
      </c>
      <c r="D3104" s="17" t="s">
        <v>19</v>
      </c>
      <c r="E3104" s="17" t="s">
        <v>24</v>
      </c>
      <c r="F3104" s="17"/>
      <c r="G3104" s="18">
        <v>0</v>
      </c>
      <c r="H3104" s="18">
        <v>13.6400</v>
      </c>
      <c r="I3104" s="18">
        <f ca="1">((I3103 + G3104) - H3104)</f>
        <v>0</v>
      </c>
      <c r="J3104" s="18">
        <v>0</v>
      </c>
      <c r="K3104" s="19">
        <v>0</v>
      </c>
      <c r="L3104" s="17"/>
    </row>
    <row r="3105" ht="10.95" customHeight="true" customFormat="true" s="9">
      <c r="A3105" s="16">
        <v>45348</v>
      </c>
      <c r="B3105" s="17" t="s">
        <v>578</v>
      </c>
      <c r="C3105" s="17" t="s">
        <v>572</v>
      </c>
      <c r="D3105" s="17" t="s">
        <v>22</v>
      </c>
      <c r="E3105" s="17" t="s">
        <v>34</v>
      </c>
      <c r="F3105" s="17"/>
      <c r="G3105" s="18">
        <v>218.1800</v>
      </c>
      <c r="H3105" s="18">
        <v>0</v>
      </c>
      <c r="I3105" s="18">
        <f ca="1">((I3104 + G3105) - H3105)</f>
        <v>0</v>
      </c>
      <c r="J3105" s="18">
        <v>0</v>
      </c>
      <c r="K3105" s="19">
        <v>0</v>
      </c>
      <c r="L3105" s="17"/>
    </row>
    <row r="3106" ht="10.95" customHeight="true" customFormat="true" s="9">
      <c r="A3106" s="16">
        <v>45349</v>
      </c>
      <c r="B3106" s="17" t="s">
        <v>578</v>
      </c>
      <c r="C3106" s="17" t="s">
        <v>572</v>
      </c>
      <c r="D3106" s="17" t="s">
        <v>22</v>
      </c>
      <c r="E3106" s="17" t="s">
        <v>430</v>
      </c>
      <c r="F3106" s="17"/>
      <c r="G3106" s="18">
        <v>170.2800</v>
      </c>
      <c r="H3106" s="18">
        <v>0</v>
      </c>
      <c r="I3106" s="18">
        <f ca="1">((I3105 + G3106) - H3106)</f>
        <v>0</v>
      </c>
      <c r="J3106" s="18">
        <v>0</v>
      </c>
      <c r="K3106" s="19">
        <v>0</v>
      </c>
      <c r="L3106" s="17"/>
    </row>
    <row r="3107" ht="10.95" customHeight="true" customFormat="true" s="9">
      <c r="A3107" s="16">
        <v>45349</v>
      </c>
      <c r="B3107" s="17" t="s">
        <v>578</v>
      </c>
      <c r="C3107" s="17" t="s">
        <v>572</v>
      </c>
      <c r="D3107" s="17" t="s">
        <v>22</v>
      </c>
      <c r="E3107" s="17" t="s">
        <v>438</v>
      </c>
      <c r="F3107" s="17"/>
      <c r="G3107" s="18">
        <v>1.0700</v>
      </c>
      <c r="H3107" s="18">
        <v>0</v>
      </c>
      <c r="I3107" s="18">
        <f ca="1">((I3106 + G3107) - H3107)</f>
        <v>0</v>
      </c>
      <c r="J3107" s="18">
        <v>0</v>
      </c>
      <c r="K3107" s="19">
        <v>0</v>
      </c>
      <c r="L3107" s="17"/>
    </row>
    <row r="3108" ht="10.95" customHeight="true" customFormat="true" s="9">
      <c r="A3108" s="16">
        <v>45350</v>
      </c>
      <c r="B3108" s="17" t="s">
        <v>578</v>
      </c>
      <c r="C3108" s="17" t="s">
        <v>572</v>
      </c>
      <c r="D3108" s="17" t="s">
        <v>19</v>
      </c>
      <c r="E3108" s="17" t="s">
        <v>428</v>
      </c>
      <c r="F3108" s="17"/>
      <c r="G3108" s="18">
        <v>0</v>
      </c>
      <c r="H3108" s="18">
        <v>84.7400</v>
      </c>
      <c r="I3108" s="18">
        <f ca="1">((I3107 + G3108) - H3108)</f>
        <v>0</v>
      </c>
      <c r="J3108" s="18">
        <v>0</v>
      </c>
      <c r="K3108" s="19">
        <v>0</v>
      </c>
      <c r="L3108" s="17"/>
    </row>
    <row r="3109" ht="10.95" customHeight="true" customFormat="true" s="9">
      <c r="A3109" s="16">
        <v>45351</v>
      </c>
      <c r="B3109" s="17" t="s">
        <v>578</v>
      </c>
      <c r="C3109" s="17" t="s">
        <v>572</v>
      </c>
      <c r="D3109" s="17" t="s">
        <v>19</v>
      </c>
      <c r="E3109" s="17" t="s">
        <v>428</v>
      </c>
      <c r="F3109" s="17"/>
      <c r="G3109" s="18">
        <v>0</v>
      </c>
      <c r="H3109" s="18">
        <v>176.3100</v>
      </c>
      <c r="I3109" s="18">
        <f ca="1">((I3108 + G3109) - H3109)</f>
        <v>0</v>
      </c>
      <c r="J3109" s="18">
        <v>0</v>
      </c>
      <c r="K3109" s="19">
        <v>0</v>
      </c>
      <c r="L3109" s="17"/>
    </row>
    <row r="3110" ht="10.95" customHeight="true" customFormat="true" s="9">
      <c r="A3110" s="16">
        <v>45351</v>
      </c>
      <c r="B3110" s="17" t="s">
        <v>578</v>
      </c>
      <c r="C3110" s="17" t="s">
        <v>572</v>
      </c>
      <c r="D3110" s="17" t="s">
        <v>22</v>
      </c>
      <c r="E3110" s="17" t="s">
        <v>474</v>
      </c>
      <c r="F3110" s="17"/>
      <c r="G3110" s="18">
        <v>1.0800</v>
      </c>
      <c r="H3110" s="18">
        <v>0</v>
      </c>
      <c r="I3110" s="18">
        <f ca="1">((I3109 + G3110) - H3110)</f>
        <v>0</v>
      </c>
      <c r="J3110" s="18">
        <v>0</v>
      </c>
      <c r="K3110" s="19">
        <v>0</v>
      </c>
      <c r="L3110" s="17"/>
    </row>
    <row r="3111" ht="10.95" customHeight="true" customFormat="true" s="9">
      <c r="A3111" s="16">
        <v>45352</v>
      </c>
      <c r="B3111" s="17" t="s">
        <v>578</v>
      </c>
      <c r="C3111" s="17" t="s">
        <v>572</v>
      </c>
      <c r="D3111" s="17" t="s">
        <v>19</v>
      </c>
      <c r="E3111" s="17" t="s">
        <v>428</v>
      </c>
      <c r="F3111" s="17"/>
      <c r="G3111" s="18">
        <v>0</v>
      </c>
      <c r="H3111" s="18">
        <v>210.7200</v>
      </c>
      <c r="I3111" s="18">
        <f ca="1">((I3110 + G3111) - H3111)</f>
        <v>0</v>
      </c>
      <c r="J3111" s="18">
        <v>0</v>
      </c>
      <c r="K3111" s="19">
        <v>0</v>
      </c>
      <c r="L3111" s="17"/>
    </row>
    <row r="3112" ht="10.95" customHeight="true" customFormat="true" s="9">
      <c r="A3112" s="16">
        <v>45352</v>
      </c>
      <c r="B3112" s="17" t="s">
        <v>578</v>
      </c>
      <c r="C3112" s="17" t="s">
        <v>572</v>
      </c>
      <c r="D3112" s="17" t="s">
        <v>22</v>
      </c>
      <c r="E3112" s="17" t="s">
        <v>430</v>
      </c>
      <c r="F3112" s="17"/>
      <c r="G3112" s="18">
        <v>164.1000</v>
      </c>
      <c r="H3112" s="18">
        <v>0</v>
      </c>
      <c r="I3112" s="18">
        <f ca="1">((I3111 + G3112) - H3112)</f>
        <v>0</v>
      </c>
      <c r="J3112" s="18">
        <v>0</v>
      </c>
      <c r="K3112" s="19">
        <v>0</v>
      </c>
      <c r="L3112" s="17"/>
    </row>
    <row r="3113" ht="10.95" customHeight="true" customFormat="true" s="9">
      <c r="A3113" s="16">
        <v>45352</v>
      </c>
      <c r="B3113" s="17" t="s">
        <v>578</v>
      </c>
      <c r="C3113" s="17" t="s">
        <v>572</v>
      </c>
      <c r="D3113" s="17" t="s">
        <v>22</v>
      </c>
      <c r="E3113" s="17" t="s">
        <v>511</v>
      </c>
      <c r="F3113" s="17"/>
      <c r="G3113" s="18">
        <v>2.6800</v>
      </c>
      <c r="H3113" s="18">
        <v>0</v>
      </c>
      <c r="I3113" s="18">
        <f ca="1">((I3112 + G3113) - H3113)</f>
        <v>0</v>
      </c>
      <c r="J3113" s="18">
        <v>0</v>
      </c>
      <c r="K3113" s="19">
        <v>0</v>
      </c>
      <c r="L3113" s="17"/>
    </row>
    <row r="3114" ht="10.95" customHeight="true" customFormat="true" s="9">
      <c r="A3114" s="16">
        <v>45355</v>
      </c>
      <c r="B3114" s="17" t="s">
        <v>578</v>
      </c>
      <c r="C3114" s="17" t="s">
        <v>572</v>
      </c>
      <c r="D3114" s="17" t="s">
        <v>19</v>
      </c>
      <c r="E3114" s="17" t="s">
        <v>428</v>
      </c>
      <c r="F3114" s="17"/>
      <c r="G3114" s="18">
        <v>0</v>
      </c>
      <c r="H3114" s="18">
        <v>472.4000</v>
      </c>
      <c r="I3114" s="18">
        <f ca="1">((I3113 + G3114) - H3114)</f>
        <v>0</v>
      </c>
      <c r="J3114" s="18">
        <v>0</v>
      </c>
      <c r="K3114" s="19">
        <v>0</v>
      </c>
      <c r="L3114" s="17"/>
    </row>
    <row r="3115" ht="10.95" customHeight="true" customFormat="true" s="9">
      <c r="A3115" s="16">
        <v>45355</v>
      </c>
      <c r="B3115" s="17" t="s">
        <v>578</v>
      </c>
      <c r="C3115" s="17" t="s">
        <v>572</v>
      </c>
      <c r="D3115" s="17" t="s">
        <v>22</v>
      </c>
      <c r="E3115" s="17" t="s">
        <v>512</v>
      </c>
      <c r="F3115" s="17"/>
      <c r="G3115" s="18">
        <v>0.7300</v>
      </c>
      <c r="H3115" s="18">
        <v>0</v>
      </c>
      <c r="I3115" s="18">
        <f ca="1">((I3114 + G3115) - H3115)</f>
        <v>0</v>
      </c>
      <c r="J3115" s="18">
        <v>0</v>
      </c>
      <c r="K3115" s="19">
        <v>0</v>
      </c>
      <c r="L3115" s="17"/>
    </row>
    <row r="3116" ht="10.95" customHeight="true" customFormat="true" s="9">
      <c r="A3116" s="16">
        <v>45355</v>
      </c>
      <c r="B3116" s="17" t="s">
        <v>578</v>
      </c>
      <c r="C3116" s="17" t="s">
        <v>572</v>
      </c>
      <c r="D3116" s="17" t="s">
        <v>22</v>
      </c>
      <c r="E3116" s="17" t="s">
        <v>428</v>
      </c>
      <c r="F3116" s="17"/>
      <c r="G3116" s="18">
        <v>4.5000</v>
      </c>
      <c r="H3116" s="18">
        <v>0</v>
      </c>
      <c r="I3116" s="18">
        <f ca="1">((I3115 + G3116) - H3116)</f>
        <v>0</v>
      </c>
      <c r="J3116" s="18">
        <v>0</v>
      </c>
      <c r="K3116" s="19">
        <v>0</v>
      </c>
      <c r="L3116" s="17"/>
    </row>
    <row r="3117" ht="10.95" customHeight="true" customFormat="true" s="9">
      <c r="A3117" s="16">
        <v>45355</v>
      </c>
      <c r="B3117" s="17" t="s">
        <v>578</v>
      </c>
      <c r="C3117" s="17" t="s">
        <v>572</v>
      </c>
      <c r="D3117" s="17" t="s">
        <v>19</v>
      </c>
      <c r="E3117" s="17" t="s">
        <v>24</v>
      </c>
      <c r="F3117" s="17"/>
      <c r="G3117" s="18">
        <v>0</v>
      </c>
      <c r="H3117" s="18">
        <v>9.0900</v>
      </c>
      <c r="I3117" s="18">
        <f ca="1">((I3116 + G3117) - H3117)</f>
        <v>0</v>
      </c>
      <c r="J3117" s="18">
        <v>0</v>
      </c>
      <c r="K3117" s="19">
        <v>0</v>
      </c>
      <c r="L3117" s="17"/>
    </row>
    <row r="3118" ht="10.95" customHeight="true" customFormat="true" s="9">
      <c r="A3118" s="16">
        <v>45355</v>
      </c>
      <c r="B3118" s="17" t="s">
        <v>578</v>
      </c>
      <c r="C3118" s="17" t="s">
        <v>572</v>
      </c>
      <c r="D3118" s="17" t="s">
        <v>19</v>
      </c>
      <c r="E3118" s="17" t="s">
        <v>428</v>
      </c>
      <c r="F3118" s="17"/>
      <c r="G3118" s="18">
        <v>0</v>
      </c>
      <c r="H3118" s="18">
        <v>531.0200</v>
      </c>
      <c r="I3118" s="18">
        <f ca="1">((I3117 + G3118) - H3118)</f>
        <v>0</v>
      </c>
      <c r="J3118" s="18">
        <v>0</v>
      </c>
      <c r="K3118" s="19">
        <v>0</v>
      </c>
      <c r="L3118" s="17"/>
    </row>
    <row r="3119" ht="10.95" customHeight="true" customFormat="true" s="9">
      <c r="A3119" s="16">
        <v>45355</v>
      </c>
      <c r="B3119" s="17" t="s">
        <v>578</v>
      </c>
      <c r="C3119" s="17" t="s">
        <v>572</v>
      </c>
      <c r="D3119" s="17" t="s">
        <v>19</v>
      </c>
      <c r="E3119" s="17" t="s">
        <v>428</v>
      </c>
      <c r="F3119" s="17"/>
      <c r="G3119" s="18">
        <v>0</v>
      </c>
      <c r="H3119" s="18">
        <v>269.9200</v>
      </c>
      <c r="I3119" s="18">
        <f ca="1">((I3118 + G3119) - H3119)</f>
        <v>0</v>
      </c>
      <c r="J3119" s="18">
        <v>0</v>
      </c>
      <c r="K3119" s="19">
        <v>0</v>
      </c>
      <c r="L3119" s="17"/>
    </row>
    <row r="3120" ht="10.95" customHeight="true" customFormat="true" s="9">
      <c r="A3120" s="16">
        <v>45355</v>
      </c>
      <c r="B3120" s="17" t="s">
        <v>578</v>
      </c>
      <c r="C3120" s="17" t="s">
        <v>572</v>
      </c>
      <c r="D3120" s="17" t="s">
        <v>22</v>
      </c>
      <c r="E3120" s="17" t="s">
        <v>34</v>
      </c>
      <c r="F3120" s="17"/>
      <c r="G3120" s="18">
        <v>109.5900</v>
      </c>
      <c r="H3120" s="18">
        <v>0</v>
      </c>
      <c r="I3120" s="18">
        <f ca="1">((I3119 + G3120) - H3120)</f>
        <v>0</v>
      </c>
      <c r="J3120" s="18">
        <v>0</v>
      </c>
      <c r="K3120" s="19">
        <v>0</v>
      </c>
      <c r="L3120" s="17"/>
    </row>
    <row r="3121" ht="10.95" customHeight="true" customFormat="true" s="9">
      <c r="A3121" s="16">
        <v>45356</v>
      </c>
      <c r="B3121" s="17" t="s">
        <v>578</v>
      </c>
      <c r="C3121" s="17" t="s">
        <v>572</v>
      </c>
      <c r="D3121" s="17" t="s">
        <v>22</v>
      </c>
      <c r="E3121" s="17" t="s">
        <v>430</v>
      </c>
      <c r="F3121" s="17"/>
      <c r="G3121" s="18">
        <v>125.1900</v>
      </c>
      <c r="H3121" s="18">
        <v>0</v>
      </c>
      <c r="I3121" s="18">
        <f ca="1">((I3120 + G3121) - H3121)</f>
        <v>0</v>
      </c>
      <c r="J3121" s="18">
        <v>0</v>
      </c>
      <c r="K3121" s="19">
        <v>0</v>
      </c>
      <c r="L3121" s="17"/>
    </row>
    <row r="3122" ht="10.95" customHeight="true" customFormat="true" s="9">
      <c r="A3122" s="16">
        <v>45357</v>
      </c>
      <c r="B3122" s="17" t="s">
        <v>578</v>
      </c>
      <c r="C3122" s="17" t="s">
        <v>572</v>
      </c>
      <c r="D3122" s="17" t="s">
        <v>19</v>
      </c>
      <c r="E3122" s="17" t="s">
        <v>428</v>
      </c>
      <c r="F3122" s="17"/>
      <c r="G3122" s="18">
        <v>0</v>
      </c>
      <c r="H3122" s="18">
        <v>212.9700</v>
      </c>
      <c r="I3122" s="18">
        <f ca="1">((I3121 + G3122) - H3122)</f>
        <v>0</v>
      </c>
      <c r="J3122" s="18">
        <v>0</v>
      </c>
      <c r="K3122" s="19">
        <v>0</v>
      </c>
      <c r="L3122" s="17"/>
    </row>
    <row r="3123" ht="10.95" customHeight="true" customFormat="true" s="9">
      <c r="A3123" s="16">
        <v>45358</v>
      </c>
      <c r="B3123" s="17" t="s">
        <v>578</v>
      </c>
      <c r="C3123" s="17" t="s">
        <v>572</v>
      </c>
      <c r="D3123" s="17" t="s">
        <v>19</v>
      </c>
      <c r="E3123" s="17" t="s">
        <v>428</v>
      </c>
      <c r="F3123" s="17"/>
      <c r="G3123" s="18">
        <v>0</v>
      </c>
      <c r="H3123" s="18">
        <v>261.5700</v>
      </c>
      <c r="I3123" s="18">
        <f ca="1">((I3122 + G3123) - H3123)</f>
        <v>0</v>
      </c>
      <c r="J3123" s="18">
        <v>0</v>
      </c>
      <c r="K3123" s="19">
        <v>0</v>
      </c>
      <c r="L3123" s="17"/>
    </row>
    <row r="3124" ht="10.95" customHeight="true" customFormat="true" s="9">
      <c r="A3124" s="16">
        <v>45359</v>
      </c>
      <c r="B3124" s="17" t="s">
        <v>578</v>
      </c>
      <c r="C3124" s="17" t="s">
        <v>572</v>
      </c>
      <c r="D3124" s="17" t="s">
        <v>22</v>
      </c>
      <c r="E3124" s="17" t="s">
        <v>430</v>
      </c>
      <c r="F3124" s="17"/>
      <c r="G3124" s="18">
        <v>160.0300</v>
      </c>
      <c r="H3124" s="18">
        <v>0</v>
      </c>
      <c r="I3124" s="18">
        <f ca="1">((I3123 + G3124) - H3124)</f>
        <v>0</v>
      </c>
      <c r="J3124" s="18">
        <v>0</v>
      </c>
      <c r="K3124" s="19">
        <v>0</v>
      </c>
      <c r="L3124" s="17"/>
    </row>
    <row r="3125" ht="10.95" customHeight="true" customFormat="true" s="9">
      <c r="A3125" s="16">
        <v>45359</v>
      </c>
      <c r="B3125" s="17" t="s">
        <v>578</v>
      </c>
      <c r="C3125" s="17" t="s">
        <v>572</v>
      </c>
      <c r="D3125" s="17" t="s">
        <v>19</v>
      </c>
      <c r="E3125" s="17" t="s">
        <v>428</v>
      </c>
      <c r="F3125" s="17"/>
      <c r="G3125" s="18">
        <v>0</v>
      </c>
      <c r="H3125" s="18">
        <v>225.2700</v>
      </c>
      <c r="I3125" s="18">
        <f ca="1">((I3124 + G3125) - H3125)</f>
        <v>0</v>
      </c>
      <c r="J3125" s="18">
        <v>0</v>
      </c>
      <c r="K3125" s="19">
        <v>0</v>
      </c>
      <c r="L3125" s="17"/>
    </row>
    <row r="3126" ht="10.95" customHeight="true" customFormat="true" s="9">
      <c r="A3126" s="16">
        <v>45362</v>
      </c>
      <c r="B3126" s="17" t="s">
        <v>578</v>
      </c>
      <c r="C3126" s="17" t="s">
        <v>572</v>
      </c>
      <c r="D3126" s="17" t="s">
        <v>22</v>
      </c>
      <c r="E3126" s="17" t="s">
        <v>474</v>
      </c>
      <c r="F3126" s="17"/>
      <c r="G3126" s="18">
        <v>4.1500</v>
      </c>
      <c r="H3126" s="18">
        <v>0</v>
      </c>
      <c r="I3126" s="18">
        <f ca="1">((I3125 + G3126) - H3126)</f>
        <v>0</v>
      </c>
      <c r="J3126" s="18">
        <v>0</v>
      </c>
      <c r="K3126" s="19">
        <v>0</v>
      </c>
      <c r="L3126" s="17"/>
    </row>
    <row r="3127" ht="10.95" customHeight="true" customFormat="true" s="9">
      <c r="A3127" s="16">
        <v>45362</v>
      </c>
      <c r="B3127" s="17" t="s">
        <v>578</v>
      </c>
      <c r="C3127" s="17" t="s">
        <v>572</v>
      </c>
      <c r="D3127" s="17" t="s">
        <v>19</v>
      </c>
      <c r="E3127" s="17" t="s">
        <v>428</v>
      </c>
      <c r="F3127" s="17"/>
      <c r="G3127" s="18">
        <v>0</v>
      </c>
      <c r="H3127" s="18">
        <v>501.5000</v>
      </c>
      <c r="I3127" s="18">
        <f ca="1">((I3126 + G3127) - H3127)</f>
        <v>0</v>
      </c>
      <c r="J3127" s="18">
        <v>0</v>
      </c>
      <c r="K3127" s="19">
        <v>0</v>
      </c>
      <c r="L3127" s="17"/>
    </row>
    <row r="3128" ht="10.95" customHeight="true" customFormat="true" s="9">
      <c r="A3128" s="16">
        <v>45362</v>
      </c>
      <c r="B3128" s="17" t="s">
        <v>578</v>
      </c>
      <c r="C3128" s="17" t="s">
        <v>572</v>
      </c>
      <c r="D3128" s="17" t="s">
        <v>22</v>
      </c>
      <c r="E3128" s="17" t="s">
        <v>509</v>
      </c>
      <c r="F3128" s="17"/>
      <c r="G3128" s="18">
        <v>3.7200</v>
      </c>
      <c r="H3128" s="18">
        <v>0</v>
      </c>
      <c r="I3128" s="18">
        <f ca="1">((I3127 + G3128) - H3128)</f>
        <v>0</v>
      </c>
      <c r="J3128" s="18">
        <v>0</v>
      </c>
      <c r="K3128" s="19">
        <v>0</v>
      </c>
      <c r="L3128" s="17"/>
    </row>
    <row r="3129" ht="10.95" customHeight="true" customFormat="true" s="9">
      <c r="A3129" s="16">
        <v>45362</v>
      </c>
      <c r="B3129" s="17" t="s">
        <v>578</v>
      </c>
      <c r="C3129" s="17" t="s">
        <v>572</v>
      </c>
      <c r="D3129" s="17" t="s">
        <v>19</v>
      </c>
      <c r="E3129" s="17" t="s">
        <v>428</v>
      </c>
      <c r="F3129" s="17"/>
      <c r="G3129" s="18">
        <v>0</v>
      </c>
      <c r="H3129" s="18">
        <v>251.6200</v>
      </c>
      <c r="I3129" s="18">
        <f ca="1">((I3128 + G3129) - H3129)</f>
        <v>0</v>
      </c>
      <c r="J3129" s="18">
        <v>0</v>
      </c>
      <c r="K3129" s="19">
        <v>0</v>
      </c>
      <c r="L3129" s="17"/>
    </row>
    <row r="3130" ht="10.95" customHeight="true" customFormat="true" s="9">
      <c r="A3130" s="16">
        <v>45362</v>
      </c>
      <c r="B3130" s="17" t="s">
        <v>578</v>
      </c>
      <c r="C3130" s="17" t="s">
        <v>572</v>
      </c>
      <c r="D3130" s="17" t="s">
        <v>22</v>
      </c>
      <c r="E3130" s="17" t="s">
        <v>34</v>
      </c>
      <c r="F3130" s="17"/>
      <c r="G3130" s="18">
        <v>263.4500</v>
      </c>
      <c r="H3130" s="18">
        <v>0</v>
      </c>
      <c r="I3130" s="18">
        <f ca="1">((I3129 + G3130) - H3130)</f>
        <v>0</v>
      </c>
      <c r="J3130" s="18">
        <v>0</v>
      </c>
      <c r="K3130" s="19">
        <v>0</v>
      </c>
      <c r="L3130" s="17"/>
    </row>
    <row r="3131" ht="10.95" customHeight="true" customFormat="true" s="9">
      <c r="A3131" s="16">
        <v>45362</v>
      </c>
      <c r="B3131" s="17" t="s">
        <v>578</v>
      </c>
      <c r="C3131" s="17" t="s">
        <v>572</v>
      </c>
      <c r="D3131" s="17" t="s">
        <v>19</v>
      </c>
      <c r="E3131" s="17" t="s">
        <v>428</v>
      </c>
      <c r="F3131" s="17"/>
      <c r="G3131" s="18">
        <v>0</v>
      </c>
      <c r="H3131" s="18">
        <v>470.1500</v>
      </c>
      <c r="I3131" s="18">
        <f ca="1">((I3130 + G3131) - H3131)</f>
        <v>0</v>
      </c>
      <c r="J3131" s="18">
        <v>0</v>
      </c>
      <c r="K3131" s="19">
        <v>0</v>
      </c>
      <c r="L3131" s="17"/>
    </row>
    <row r="3132" ht="10.95" customHeight="true" customFormat="true" s="9">
      <c r="A3132" s="16">
        <v>45363</v>
      </c>
      <c r="B3132" s="17" t="s">
        <v>578</v>
      </c>
      <c r="C3132" s="17" t="s">
        <v>572</v>
      </c>
      <c r="D3132" s="17" t="s">
        <v>22</v>
      </c>
      <c r="E3132" s="17" t="s">
        <v>430</v>
      </c>
      <c r="F3132" s="17"/>
      <c r="G3132" s="18">
        <v>168.2100</v>
      </c>
      <c r="H3132" s="18">
        <v>0</v>
      </c>
      <c r="I3132" s="18">
        <f ca="1">((I3131 + G3132) - H3132)</f>
        <v>0</v>
      </c>
      <c r="J3132" s="18">
        <v>0</v>
      </c>
      <c r="K3132" s="19">
        <v>0</v>
      </c>
      <c r="L3132" s="17"/>
    </row>
    <row r="3133" ht="10.95" customHeight="true" customFormat="true" s="9">
      <c r="A3133" s="16">
        <v>45364</v>
      </c>
      <c r="B3133" s="17" t="s">
        <v>578</v>
      </c>
      <c r="C3133" s="17" t="s">
        <v>572</v>
      </c>
      <c r="D3133" s="17" t="s">
        <v>19</v>
      </c>
      <c r="E3133" s="17" t="s">
        <v>428</v>
      </c>
      <c r="F3133" s="17"/>
      <c r="G3133" s="18">
        <v>0</v>
      </c>
      <c r="H3133" s="18">
        <v>197.2300</v>
      </c>
      <c r="I3133" s="18">
        <f ca="1">((I3132 + G3133) - H3133)</f>
        <v>0</v>
      </c>
      <c r="J3133" s="18">
        <v>0</v>
      </c>
      <c r="K3133" s="19">
        <v>0</v>
      </c>
      <c r="L3133" s="17"/>
    </row>
    <row r="3134" ht="10.95" customHeight="true" customFormat="true" s="9">
      <c r="A3134" s="16">
        <v>45364</v>
      </c>
      <c r="B3134" s="17" t="s">
        <v>578</v>
      </c>
      <c r="C3134" s="17" t="s">
        <v>572</v>
      </c>
      <c r="D3134" s="17" t="s">
        <v>19</v>
      </c>
      <c r="E3134" s="17" t="s">
        <v>24</v>
      </c>
      <c r="F3134" s="17"/>
      <c r="G3134" s="18">
        <v>0</v>
      </c>
      <c r="H3134" s="18">
        <v>15.4700</v>
      </c>
      <c r="I3134" s="18">
        <f ca="1">((I3133 + G3134) - H3134)</f>
        <v>0</v>
      </c>
      <c r="J3134" s="18">
        <v>0</v>
      </c>
      <c r="K3134" s="19">
        <v>0</v>
      </c>
      <c r="L3134" s="17"/>
    </row>
    <row r="3135" ht="10.95" customHeight="true" customFormat="true" s="9">
      <c r="A3135" s="16">
        <v>45365</v>
      </c>
      <c r="B3135" s="17" t="s">
        <v>578</v>
      </c>
      <c r="C3135" s="17" t="s">
        <v>572</v>
      </c>
      <c r="D3135" s="17" t="s">
        <v>19</v>
      </c>
      <c r="E3135" s="17" t="s">
        <v>428</v>
      </c>
      <c r="F3135" s="17"/>
      <c r="G3135" s="18">
        <v>0</v>
      </c>
      <c r="H3135" s="18">
        <v>211.4400</v>
      </c>
      <c r="I3135" s="18">
        <f ca="1">((I3134 + G3135) - H3135)</f>
        <v>0</v>
      </c>
      <c r="J3135" s="18">
        <v>0</v>
      </c>
      <c r="K3135" s="19">
        <v>0</v>
      </c>
      <c r="L3135" s="17"/>
    </row>
    <row r="3136" ht="10.95" customHeight="true" customFormat="true" s="9">
      <c r="A3136" s="16">
        <v>45365</v>
      </c>
      <c r="B3136" s="17" t="s">
        <v>578</v>
      </c>
      <c r="C3136" s="17" t="s">
        <v>572</v>
      </c>
      <c r="D3136" s="17" t="s">
        <v>22</v>
      </c>
      <c r="E3136" s="17" t="s">
        <v>474</v>
      </c>
      <c r="F3136" s="17"/>
      <c r="G3136" s="18">
        <v>2.4600</v>
      </c>
      <c r="H3136" s="18">
        <v>0</v>
      </c>
      <c r="I3136" s="18">
        <f ca="1">((I3135 + G3136) - H3136)</f>
        <v>0</v>
      </c>
      <c r="J3136" s="18">
        <v>0</v>
      </c>
      <c r="K3136" s="19">
        <v>0</v>
      </c>
      <c r="L3136" s="17"/>
    </row>
    <row r="3137" ht="10.95" customHeight="true" customFormat="true" s="9">
      <c r="A3137" s="16">
        <v>45366</v>
      </c>
      <c r="B3137" s="17" t="s">
        <v>578</v>
      </c>
      <c r="C3137" s="17" t="s">
        <v>572</v>
      </c>
      <c r="D3137" s="17" t="s">
        <v>22</v>
      </c>
      <c r="E3137" s="17" t="s">
        <v>430</v>
      </c>
      <c r="F3137" s="17"/>
      <c r="G3137" s="18">
        <v>137.8600</v>
      </c>
      <c r="H3137" s="18">
        <v>0</v>
      </c>
      <c r="I3137" s="18">
        <f ca="1">((I3136 + G3137) - H3137)</f>
        <v>0</v>
      </c>
      <c r="J3137" s="18">
        <v>0</v>
      </c>
      <c r="K3137" s="19">
        <v>0</v>
      </c>
      <c r="L3137" s="17"/>
    </row>
    <row r="3138" ht="10.95" customHeight="true" customFormat="true" s="9">
      <c r="A3138" s="16">
        <v>45366</v>
      </c>
      <c r="B3138" s="17" t="s">
        <v>578</v>
      </c>
      <c r="C3138" s="17" t="s">
        <v>572</v>
      </c>
      <c r="D3138" s="17" t="s">
        <v>19</v>
      </c>
      <c r="E3138" s="17" t="s">
        <v>428</v>
      </c>
      <c r="F3138" s="17"/>
      <c r="G3138" s="18">
        <v>0</v>
      </c>
      <c r="H3138" s="18">
        <v>211.5400</v>
      </c>
      <c r="I3138" s="18">
        <f ca="1">((I3137 + G3138) - H3138)</f>
        <v>0</v>
      </c>
      <c r="J3138" s="18">
        <v>0</v>
      </c>
      <c r="K3138" s="19">
        <v>0</v>
      </c>
      <c r="L3138" s="17"/>
    </row>
    <row r="3139" ht="10.95" customHeight="true" customFormat="true" s="9">
      <c r="A3139" s="16">
        <v>45369</v>
      </c>
      <c r="B3139" s="17" t="s">
        <v>578</v>
      </c>
      <c r="C3139" s="17" t="s">
        <v>572</v>
      </c>
      <c r="D3139" s="17" t="s">
        <v>19</v>
      </c>
      <c r="E3139" s="17" t="s">
        <v>428</v>
      </c>
      <c r="F3139" s="17"/>
      <c r="G3139" s="18">
        <v>0</v>
      </c>
      <c r="H3139" s="18">
        <v>247.5600</v>
      </c>
      <c r="I3139" s="18">
        <f ca="1">((I3138 + G3139) - H3139)</f>
        <v>0</v>
      </c>
      <c r="J3139" s="18">
        <v>0</v>
      </c>
      <c r="K3139" s="19">
        <v>0</v>
      </c>
      <c r="L3139" s="17"/>
    </row>
    <row r="3140" ht="10.95" customHeight="true" customFormat="true" s="9">
      <c r="A3140" s="16">
        <v>45369</v>
      </c>
      <c r="B3140" s="17" t="s">
        <v>578</v>
      </c>
      <c r="C3140" s="17" t="s">
        <v>572</v>
      </c>
      <c r="D3140" s="17" t="s">
        <v>19</v>
      </c>
      <c r="E3140" s="17" t="s">
        <v>24</v>
      </c>
      <c r="F3140" s="17"/>
      <c r="G3140" s="18">
        <v>0</v>
      </c>
      <c r="H3140" s="18">
        <v>15.4500</v>
      </c>
      <c r="I3140" s="18">
        <f ca="1">((I3139 + G3140) - H3140)</f>
        <v>0</v>
      </c>
      <c r="J3140" s="18">
        <v>0</v>
      </c>
      <c r="K3140" s="19">
        <v>0</v>
      </c>
      <c r="L3140" s="17"/>
    </row>
    <row r="3141" ht="10.95" customHeight="true" customFormat="true" s="9">
      <c r="A3141" s="16">
        <v>45369</v>
      </c>
      <c r="B3141" s="17" t="s">
        <v>578</v>
      </c>
      <c r="C3141" s="17" t="s">
        <v>572</v>
      </c>
      <c r="D3141" s="17" t="s">
        <v>19</v>
      </c>
      <c r="E3141" s="17" t="s">
        <v>428</v>
      </c>
      <c r="F3141" s="17"/>
      <c r="G3141" s="18">
        <v>0</v>
      </c>
      <c r="H3141" s="18">
        <v>523.6100</v>
      </c>
      <c r="I3141" s="18">
        <f ca="1">((I3140 + G3141) - H3141)</f>
        <v>0</v>
      </c>
      <c r="J3141" s="18">
        <v>0</v>
      </c>
      <c r="K3141" s="19">
        <v>0</v>
      </c>
      <c r="L3141" s="17"/>
    </row>
    <row r="3142" ht="10.95" customHeight="true" customFormat="true" s="9">
      <c r="A3142" s="16">
        <v>45369</v>
      </c>
      <c r="B3142" s="17" t="s">
        <v>578</v>
      </c>
      <c r="C3142" s="17" t="s">
        <v>572</v>
      </c>
      <c r="D3142" s="17" t="s">
        <v>22</v>
      </c>
      <c r="E3142" s="17" t="s">
        <v>436</v>
      </c>
      <c r="F3142" s="17"/>
      <c r="G3142" s="18">
        <v>9.8200</v>
      </c>
      <c r="H3142" s="18">
        <v>0</v>
      </c>
      <c r="I3142" s="18">
        <f ca="1">((I3141 + G3142) - H3142)</f>
        <v>0</v>
      </c>
      <c r="J3142" s="18">
        <v>0</v>
      </c>
      <c r="K3142" s="19">
        <v>0</v>
      </c>
      <c r="L3142" s="17"/>
    </row>
    <row r="3143" ht="10.95" customHeight="true" customFormat="true" s="9">
      <c r="A3143" s="16">
        <v>45369</v>
      </c>
      <c r="B3143" s="17" t="s">
        <v>578</v>
      </c>
      <c r="C3143" s="17" t="s">
        <v>572</v>
      </c>
      <c r="D3143" s="17" t="s">
        <v>22</v>
      </c>
      <c r="E3143" s="17" t="s">
        <v>34</v>
      </c>
      <c r="F3143" s="17"/>
      <c r="G3143" s="18">
        <v>230.9100</v>
      </c>
      <c r="H3143" s="18">
        <v>0</v>
      </c>
      <c r="I3143" s="18">
        <f ca="1">((I3142 + G3143) - H3143)</f>
        <v>0</v>
      </c>
      <c r="J3143" s="18">
        <v>0</v>
      </c>
      <c r="K3143" s="19">
        <v>0</v>
      </c>
      <c r="L3143" s="17"/>
    </row>
    <row r="3144" ht="10.95" customHeight="true" customFormat="true" s="9">
      <c r="A3144" s="16">
        <v>45369</v>
      </c>
      <c r="B3144" s="17" t="s">
        <v>578</v>
      </c>
      <c r="C3144" s="17" t="s">
        <v>572</v>
      </c>
      <c r="D3144" s="17" t="s">
        <v>19</v>
      </c>
      <c r="E3144" s="17" t="s">
        <v>428</v>
      </c>
      <c r="F3144" s="17"/>
      <c r="G3144" s="18">
        <v>0</v>
      </c>
      <c r="H3144" s="18">
        <v>519.1500</v>
      </c>
      <c r="I3144" s="18">
        <f ca="1">((I3143 + G3144) - H3144)</f>
        <v>0</v>
      </c>
      <c r="J3144" s="18">
        <v>0</v>
      </c>
      <c r="K3144" s="19">
        <v>0</v>
      </c>
      <c r="L3144" s="17"/>
    </row>
    <row r="3145" ht="10.95" customHeight="true" customFormat="true" s="9">
      <c r="A3145" s="16">
        <v>45370</v>
      </c>
      <c r="B3145" s="17" t="s">
        <v>578</v>
      </c>
      <c r="C3145" s="17" t="s">
        <v>572</v>
      </c>
      <c r="D3145" s="17" t="s">
        <v>22</v>
      </c>
      <c r="E3145" s="17" t="s">
        <v>430</v>
      </c>
      <c r="F3145" s="17"/>
      <c r="G3145" s="18">
        <v>182.2700</v>
      </c>
      <c r="H3145" s="18">
        <v>0</v>
      </c>
      <c r="I3145" s="18">
        <f ca="1">((I3144 + G3145) - H3145)</f>
        <v>0</v>
      </c>
      <c r="J3145" s="18">
        <v>0</v>
      </c>
      <c r="K3145" s="19">
        <v>0</v>
      </c>
      <c r="L3145" s="17"/>
    </row>
    <row r="3146" ht="10.95" customHeight="true" customFormat="true" s="9">
      <c r="A3146" s="16">
        <v>45371</v>
      </c>
      <c r="B3146" s="17" t="s">
        <v>578</v>
      </c>
      <c r="C3146" s="17" t="s">
        <v>572</v>
      </c>
      <c r="D3146" s="17" t="s">
        <v>19</v>
      </c>
      <c r="E3146" s="17" t="s">
        <v>428</v>
      </c>
      <c r="F3146" s="17"/>
      <c r="G3146" s="18">
        <v>0</v>
      </c>
      <c r="H3146" s="18">
        <v>189.6400</v>
      </c>
      <c r="I3146" s="18">
        <f ca="1">((I3145 + G3146) - H3146)</f>
        <v>0</v>
      </c>
      <c r="J3146" s="18">
        <v>0</v>
      </c>
      <c r="K3146" s="19">
        <v>0</v>
      </c>
      <c r="L3146" s="17"/>
    </row>
    <row r="3147" ht="10.95" customHeight="true" customFormat="true" s="9">
      <c r="A3147" s="16">
        <v>45372</v>
      </c>
      <c r="B3147" s="17" t="s">
        <v>578</v>
      </c>
      <c r="C3147" s="17" t="s">
        <v>572</v>
      </c>
      <c r="D3147" s="17" t="s">
        <v>19</v>
      </c>
      <c r="E3147" s="17" t="s">
        <v>428</v>
      </c>
      <c r="F3147" s="17"/>
      <c r="G3147" s="18">
        <v>0</v>
      </c>
      <c r="H3147" s="18">
        <v>202.7900</v>
      </c>
      <c r="I3147" s="18">
        <f ca="1">((I3146 + G3147) - H3147)</f>
        <v>0</v>
      </c>
      <c r="J3147" s="18">
        <v>0</v>
      </c>
      <c r="K3147" s="19">
        <v>0</v>
      </c>
      <c r="L3147" s="17"/>
    </row>
    <row r="3148" ht="10.95" customHeight="true" customFormat="true" s="9">
      <c r="A3148" s="16">
        <v>45372</v>
      </c>
      <c r="B3148" s="17" t="s">
        <v>578</v>
      </c>
      <c r="C3148" s="17" t="s">
        <v>572</v>
      </c>
      <c r="D3148" s="17" t="s">
        <v>22</v>
      </c>
      <c r="E3148" s="17" t="s">
        <v>461</v>
      </c>
      <c r="F3148" s="17"/>
      <c r="G3148" s="18">
        <v>311.4100</v>
      </c>
      <c r="H3148" s="18">
        <v>0</v>
      </c>
      <c r="I3148" s="18">
        <f ca="1">((I3147 + G3148) - H3148)</f>
        <v>0</v>
      </c>
      <c r="J3148" s="18">
        <v>0</v>
      </c>
      <c r="K3148" s="19">
        <v>0</v>
      </c>
      <c r="L3148" s="17"/>
    </row>
    <row r="3149" ht="10.95" customHeight="true" customFormat="true" s="9">
      <c r="A3149" s="16">
        <v>45373</v>
      </c>
      <c r="B3149" s="17" t="s">
        <v>578</v>
      </c>
      <c r="C3149" s="17" t="s">
        <v>572</v>
      </c>
      <c r="D3149" s="17" t="s">
        <v>19</v>
      </c>
      <c r="E3149" s="17" t="s">
        <v>428</v>
      </c>
      <c r="F3149" s="17"/>
      <c r="G3149" s="18">
        <v>0</v>
      </c>
      <c r="H3149" s="18">
        <v>215.9200</v>
      </c>
      <c r="I3149" s="18">
        <f ca="1">((I3148 + G3149) - H3149)</f>
        <v>0</v>
      </c>
      <c r="J3149" s="18">
        <v>0</v>
      </c>
      <c r="K3149" s="19">
        <v>0</v>
      </c>
      <c r="L3149" s="17"/>
    </row>
    <row r="3150" ht="10.95" customHeight="true" customFormat="true" s="9">
      <c r="A3150" s="16">
        <v>45373</v>
      </c>
      <c r="B3150" s="17" t="s">
        <v>578</v>
      </c>
      <c r="C3150" s="17" t="s">
        <v>572</v>
      </c>
      <c r="D3150" s="17" t="s">
        <v>22</v>
      </c>
      <c r="E3150" s="17" t="s">
        <v>459</v>
      </c>
      <c r="F3150" s="17"/>
      <c r="G3150" s="18">
        <v>19.8300</v>
      </c>
      <c r="H3150" s="18">
        <v>0</v>
      </c>
      <c r="I3150" s="18">
        <f ca="1">((I3149 + G3150) - H3150)</f>
        <v>0</v>
      </c>
      <c r="J3150" s="18">
        <v>0</v>
      </c>
      <c r="K3150" s="19">
        <v>0</v>
      </c>
      <c r="L3150" s="17"/>
    </row>
    <row r="3151" ht="10.95" customHeight="true" customFormat="true" s="9">
      <c r="A3151" s="16">
        <v>45373</v>
      </c>
      <c r="B3151" s="17" t="s">
        <v>578</v>
      </c>
      <c r="C3151" s="17" t="s">
        <v>572</v>
      </c>
      <c r="D3151" s="17" t="s">
        <v>22</v>
      </c>
      <c r="E3151" s="17" t="s">
        <v>298</v>
      </c>
      <c r="F3151" s="17"/>
      <c r="G3151" s="18">
        <v>583.3300</v>
      </c>
      <c r="H3151" s="18">
        <v>0</v>
      </c>
      <c r="I3151" s="18">
        <f ca="1">((I3150 + G3151) - H3151)</f>
        <v>0</v>
      </c>
      <c r="J3151" s="18">
        <v>0</v>
      </c>
      <c r="K3151" s="19">
        <v>0</v>
      </c>
      <c r="L3151" s="17"/>
    </row>
    <row r="3152" ht="10.95" customHeight="true" customFormat="true" s="9">
      <c r="A3152" s="16">
        <v>45373</v>
      </c>
      <c r="B3152" s="17" t="s">
        <v>578</v>
      </c>
      <c r="C3152" s="17" t="s">
        <v>572</v>
      </c>
      <c r="D3152" s="17" t="s">
        <v>22</v>
      </c>
      <c r="E3152" s="17" t="s">
        <v>430</v>
      </c>
      <c r="F3152" s="17"/>
      <c r="G3152" s="18">
        <v>139.4400</v>
      </c>
      <c r="H3152" s="18">
        <v>0</v>
      </c>
      <c r="I3152" s="18">
        <f ca="1">((I3151 + G3152) - H3152)</f>
        <v>0</v>
      </c>
      <c r="J3152" s="18">
        <v>0</v>
      </c>
      <c r="K3152" s="19">
        <v>0</v>
      </c>
      <c r="L3152" s="17"/>
    </row>
    <row r="3153" ht="10.95" customHeight="true" customFormat="true" s="9">
      <c r="A3153" s="16">
        <v>45376</v>
      </c>
      <c r="B3153" s="17" t="s">
        <v>578</v>
      </c>
      <c r="C3153" s="17" t="s">
        <v>572</v>
      </c>
      <c r="D3153" s="17" t="s">
        <v>19</v>
      </c>
      <c r="E3153" s="17" t="s">
        <v>24</v>
      </c>
      <c r="F3153" s="17"/>
      <c r="G3153" s="18">
        <v>0</v>
      </c>
      <c r="H3153" s="18">
        <v>18.1800</v>
      </c>
      <c r="I3153" s="18">
        <f ca="1">((I3152 + G3153) - H3153)</f>
        <v>0</v>
      </c>
      <c r="J3153" s="18">
        <v>0</v>
      </c>
      <c r="K3153" s="19">
        <v>0</v>
      </c>
      <c r="L3153" s="17"/>
    </row>
    <row r="3154" ht="10.95" customHeight="true" customFormat="true" s="9">
      <c r="A3154" s="16">
        <v>45376</v>
      </c>
      <c r="B3154" s="17" t="s">
        <v>578</v>
      </c>
      <c r="C3154" s="17" t="s">
        <v>572</v>
      </c>
      <c r="D3154" s="17" t="s">
        <v>22</v>
      </c>
      <c r="E3154" s="17" t="s">
        <v>34</v>
      </c>
      <c r="F3154" s="17"/>
      <c r="G3154" s="18">
        <v>205.0000</v>
      </c>
      <c r="H3154" s="18">
        <v>0</v>
      </c>
      <c r="I3154" s="18">
        <f ca="1">((I3153 + G3154) - H3154)</f>
        <v>0</v>
      </c>
      <c r="J3154" s="18">
        <v>0</v>
      </c>
      <c r="K3154" s="19">
        <v>0</v>
      </c>
      <c r="L3154" s="17"/>
    </row>
    <row r="3155" ht="10.95" customHeight="true" customFormat="true" s="9">
      <c r="A3155" s="16">
        <v>45376</v>
      </c>
      <c r="B3155" s="17" t="s">
        <v>578</v>
      </c>
      <c r="C3155" s="17" t="s">
        <v>572</v>
      </c>
      <c r="D3155" s="17" t="s">
        <v>22</v>
      </c>
      <c r="E3155" s="17" t="s">
        <v>442</v>
      </c>
      <c r="F3155" s="17"/>
      <c r="G3155" s="18">
        <v>16.7200</v>
      </c>
      <c r="H3155" s="18">
        <v>0</v>
      </c>
      <c r="I3155" s="18">
        <f ca="1">((I3154 + G3155) - H3155)</f>
        <v>0</v>
      </c>
      <c r="J3155" s="18">
        <v>0</v>
      </c>
      <c r="K3155" s="19">
        <v>0</v>
      </c>
      <c r="L3155" s="17"/>
    </row>
    <row r="3156" ht="10.95" customHeight="true" customFormat="true" s="9">
      <c r="A3156" s="16">
        <v>45376</v>
      </c>
      <c r="B3156" s="17" t="s">
        <v>578</v>
      </c>
      <c r="C3156" s="17" t="s">
        <v>572</v>
      </c>
      <c r="D3156" s="17" t="s">
        <v>19</v>
      </c>
      <c r="E3156" s="17" t="s">
        <v>428</v>
      </c>
      <c r="F3156" s="17"/>
      <c r="G3156" s="18">
        <v>0</v>
      </c>
      <c r="H3156" s="18">
        <v>267.8900</v>
      </c>
      <c r="I3156" s="18">
        <f ca="1">((I3155 + G3156) - H3156)</f>
        <v>0</v>
      </c>
      <c r="J3156" s="18">
        <v>0</v>
      </c>
      <c r="K3156" s="19">
        <v>0</v>
      </c>
      <c r="L3156" s="17"/>
    </row>
    <row r="3157" ht="10.95" customHeight="true" customFormat="true" s="9">
      <c r="A3157" s="16">
        <v>45376</v>
      </c>
      <c r="B3157" s="17" t="s">
        <v>578</v>
      </c>
      <c r="C3157" s="17" t="s">
        <v>572</v>
      </c>
      <c r="D3157" s="17" t="s">
        <v>19</v>
      </c>
      <c r="E3157" s="17" t="s">
        <v>428</v>
      </c>
      <c r="F3157" s="17"/>
      <c r="G3157" s="18">
        <v>0</v>
      </c>
      <c r="H3157" s="18">
        <v>490.9700</v>
      </c>
      <c r="I3157" s="18">
        <f ca="1">((I3156 + G3157) - H3157)</f>
        <v>0</v>
      </c>
      <c r="J3157" s="18">
        <v>0</v>
      </c>
      <c r="K3157" s="19">
        <v>0</v>
      </c>
      <c r="L3157" s="17"/>
    </row>
    <row r="3158" ht="10.95" customHeight="true" customFormat="true" s="9">
      <c r="A3158" s="16">
        <v>45376</v>
      </c>
      <c r="B3158" s="17" t="s">
        <v>578</v>
      </c>
      <c r="C3158" s="17" t="s">
        <v>572</v>
      </c>
      <c r="D3158" s="17" t="s">
        <v>19</v>
      </c>
      <c r="E3158" s="17" t="s">
        <v>428</v>
      </c>
      <c r="F3158" s="17"/>
      <c r="G3158" s="18">
        <v>0</v>
      </c>
      <c r="H3158" s="18">
        <v>527.0100</v>
      </c>
      <c r="I3158" s="18">
        <f ca="1">((I3157 + G3158) - H3158)</f>
        <v>0</v>
      </c>
      <c r="J3158" s="18">
        <v>0</v>
      </c>
      <c r="K3158" s="19">
        <v>0</v>
      </c>
      <c r="L3158" s="17"/>
    </row>
    <row r="3159" ht="10.95" customHeight="true" customFormat="true" s="9">
      <c r="A3159" s="16">
        <v>45377</v>
      </c>
      <c r="B3159" s="17" t="s">
        <v>578</v>
      </c>
      <c r="C3159" s="17" t="s">
        <v>572</v>
      </c>
      <c r="D3159" s="17" t="s">
        <v>22</v>
      </c>
      <c r="E3159" s="17" t="s">
        <v>430</v>
      </c>
      <c r="F3159" s="17"/>
      <c r="G3159" s="18">
        <v>167.8300</v>
      </c>
      <c r="H3159" s="18">
        <v>0</v>
      </c>
      <c r="I3159" s="18">
        <f ca="1">((I3158 + G3159) - H3159)</f>
        <v>0</v>
      </c>
      <c r="J3159" s="18">
        <v>0</v>
      </c>
      <c r="K3159" s="19">
        <v>0</v>
      </c>
      <c r="L3159" s="17"/>
    </row>
    <row r="3160" ht="10.95" customHeight="true" customFormat="true" s="9">
      <c r="A3160" s="16">
        <v>45378</v>
      </c>
      <c r="B3160" s="17" t="s">
        <v>578</v>
      </c>
      <c r="C3160" s="17" t="s">
        <v>572</v>
      </c>
      <c r="D3160" s="17" t="s">
        <v>19</v>
      </c>
      <c r="E3160" s="17" t="s">
        <v>428</v>
      </c>
      <c r="F3160" s="17"/>
      <c r="G3160" s="18">
        <v>0</v>
      </c>
      <c r="H3160" s="18">
        <v>242.1100</v>
      </c>
      <c r="I3160" s="18">
        <f ca="1">((I3159 + G3160) - H3160)</f>
        <v>0</v>
      </c>
      <c r="J3160" s="18">
        <v>0</v>
      </c>
      <c r="K3160" s="19">
        <v>0</v>
      </c>
      <c r="L3160" s="17"/>
    </row>
    <row r="3161" ht="10.95" customHeight="true" customFormat="true" s="9">
      <c r="A3161" s="16">
        <v>45379</v>
      </c>
      <c r="B3161" s="17" t="s">
        <v>578</v>
      </c>
      <c r="C3161" s="17" t="s">
        <v>572</v>
      </c>
      <c r="D3161" s="17" t="s">
        <v>19</v>
      </c>
      <c r="E3161" s="17" t="s">
        <v>428</v>
      </c>
      <c r="F3161" s="17"/>
      <c r="G3161" s="18">
        <v>0</v>
      </c>
      <c r="H3161" s="18">
        <v>210.8200</v>
      </c>
      <c r="I3161" s="18">
        <f ca="1">((I3160 + G3161) - H3161)</f>
        <v>0</v>
      </c>
      <c r="J3161" s="18">
        <v>0</v>
      </c>
      <c r="K3161" s="19">
        <v>0</v>
      </c>
      <c r="L3161" s="17"/>
    </row>
    <row r="3162" ht="10.95" customHeight="true" customFormat="true" s="9">
      <c r="A3162" s="16">
        <v>45379</v>
      </c>
      <c r="B3162" s="17" t="s">
        <v>578</v>
      </c>
      <c r="C3162" s="17" t="s">
        <v>572</v>
      </c>
      <c r="D3162" s="17" t="s">
        <v>22</v>
      </c>
      <c r="E3162" s="17" t="s">
        <v>430</v>
      </c>
      <c r="F3162" s="17"/>
      <c r="G3162" s="18">
        <v>249.7500</v>
      </c>
      <c r="H3162" s="18">
        <v>0</v>
      </c>
      <c r="I3162" s="18">
        <f ca="1">((I3161 + G3162) - H3162)</f>
        <v>0</v>
      </c>
      <c r="J3162" s="18">
        <v>0</v>
      </c>
      <c r="K3162" s="19">
        <v>0</v>
      </c>
      <c r="L3162" s="17"/>
    </row>
    <row r="3163" ht="10.95" customHeight="true" customFormat="true" s="9">
      <c r="A3163" s="16">
        <v>45382</v>
      </c>
      <c r="B3163" s="17" t="s">
        <v>578</v>
      </c>
      <c r="C3163" s="17" t="s">
        <v>572</v>
      </c>
      <c r="D3163" s="17" t="s">
        <v>25</v>
      </c>
      <c r="E3163" s="17" t="s">
        <v>38</v>
      </c>
      <c r="F3163" s="17" t="s">
        <v>39</v>
      </c>
      <c r="G3163" s="18">
        <v>6157.4000</v>
      </c>
      <c r="H3163" s="18">
        <v>0</v>
      </c>
      <c r="I3163" s="18">
        <f ca="1">((I3162 + G3163) - H3163)</f>
        <v>0</v>
      </c>
      <c r="J3163" s="18">
        <v>0</v>
      </c>
      <c r="K3163" s="19">
        <v>0</v>
      </c>
      <c r="L3163" s="17" t="s">
        <v>28</v>
      </c>
    </row>
    <row r="3164" ht="10.95" customHeight="true" customFormat="true" s="9">
      <c r="A3164" s="16">
        <v>45382</v>
      </c>
      <c r="B3164" s="17" t="s">
        <v>578</v>
      </c>
      <c r="C3164" s="17" t="s">
        <v>572</v>
      </c>
      <c r="D3164" s="17" t="s">
        <v>25</v>
      </c>
      <c r="E3164" s="17" t="s">
        <v>584</v>
      </c>
      <c r="F3164" s="17" t="s">
        <v>39</v>
      </c>
      <c r="G3164" s="18">
        <v>30.5200</v>
      </c>
      <c r="H3164" s="18">
        <v>0</v>
      </c>
      <c r="I3164" s="18">
        <f ca="1">((I3163 + G3164) - H3164)</f>
        <v>0</v>
      </c>
      <c r="J3164" s="18">
        <v>0</v>
      </c>
      <c r="K3164" s="19">
        <v>0</v>
      </c>
      <c r="L3164" s="17"/>
    </row>
    <row r="3165" ht="10.95" customHeight="true" customFormat="true" s="9">
      <c r="A3165" s="16">
        <v>45384</v>
      </c>
      <c r="B3165" s="17" t="s">
        <v>578</v>
      </c>
      <c r="C3165" s="17" t="s">
        <v>572</v>
      </c>
      <c r="D3165" s="17" t="s">
        <v>19</v>
      </c>
      <c r="E3165" s="17" t="s">
        <v>428</v>
      </c>
      <c r="F3165" s="17"/>
      <c r="G3165" s="18">
        <v>0</v>
      </c>
      <c r="H3165" s="18">
        <v>446.4200</v>
      </c>
      <c r="I3165" s="18">
        <f ca="1">((I3164 + G3165) - H3165)</f>
        <v>0</v>
      </c>
      <c r="J3165" s="18">
        <v>0</v>
      </c>
      <c r="K3165" s="19">
        <v>0</v>
      </c>
      <c r="L3165" s="17"/>
    </row>
    <row r="3166" ht="10.95" customHeight="true" customFormat="true" s="9">
      <c r="A3166" s="16">
        <v>45384</v>
      </c>
      <c r="B3166" s="17" t="s">
        <v>578</v>
      </c>
      <c r="C3166" s="17" t="s">
        <v>572</v>
      </c>
      <c r="D3166" s="17" t="s">
        <v>19</v>
      </c>
      <c r="E3166" s="17" t="s">
        <v>428</v>
      </c>
      <c r="F3166" s="17"/>
      <c r="G3166" s="18">
        <v>0</v>
      </c>
      <c r="H3166" s="18">
        <v>503.5900</v>
      </c>
      <c r="I3166" s="18">
        <f ca="1">((I3165 + G3166) - H3166)</f>
        <v>0</v>
      </c>
      <c r="J3166" s="18">
        <v>0</v>
      </c>
      <c r="K3166" s="19">
        <v>0</v>
      </c>
      <c r="L3166" s="17"/>
    </row>
    <row r="3167" ht="10.95" customHeight="true" customFormat="true" s="9">
      <c r="A3167" s="16">
        <v>45384</v>
      </c>
      <c r="B3167" s="17" t="s">
        <v>578</v>
      </c>
      <c r="C3167" s="17" t="s">
        <v>572</v>
      </c>
      <c r="D3167" s="17" t="s">
        <v>19</v>
      </c>
      <c r="E3167" s="17" t="s">
        <v>428</v>
      </c>
      <c r="F3167" s="17"/>
      <c r="G3167" s="18">
        <v>0</v>
      </c>
      <c r="H3167" s="18">
        <v>283.3300</v>
      </c>
      <c r="I3167" s="18">
        <f ca="1">((I3166 + G3167) - H3167)</f>
        <v>0</v>
      </c>
      <c r="J3167" s="18">
        <v>0</v>
      </c>
      <c r="K3167" s="19">
        <v>0</v>
      </c>
      <c r="L3167" s="17"/>
    </row>
    <row r="3168" ht="10.95" customHeight="true" customFormat="true" s="9">
      <c r="A3168" s="16">
        <v>45384</v>
      </c>
      <c r="B3168" s="17" t="s">
        <v>578</v>
      </c>
      <c r="C3168" s="17" t="s">
        <v>572</v>
      </c>
      <c r="D3168" s="17" t="s">
        <v>22</v>
      </c>
      <c r="E3168" s="17" t="s">
        <v>34</v>
      </c>
      <c r="F3168" s="17"/>
      <c r="G3168" s="18">
        <v>298.6400</v>
      </c>
      <c r="H3168" s="18">
        <v>0</v>
      </c>
      <c r="I3168" s="18">
        <f ca="1">((I3167 + G3168) - H3168)</f>
        <v>0</v>
      </c>
      <c r="J3168" s="18">
        <v>0</v>
      </c>
      <c r="K3168" s="19">
        <v>0</v>
      </c>
      <c r="L3168" s="17"/>
    </row>
    <row r="3169" ht="10.95" customHeight="true" customFormat="true" s="9">
      <c r="A3169" s="16">
        <v>45384</v>
      </c>
      <c r="B3169" s="17" t="s">
        <v>578</v>
      </c>
      <c r="C3169" s="17" t="s">
        <v>572</v>
      </c>
      <c r="D3169" s="17" t="s">
        <v>22</v>
      </c>
      <c r="E3169" s="17" t="s">
        <v>429</v>
      </c>
      <c r="F3169" s="17"/>
      <c r="G3169" s="18">
        <v>308.7500</v>
      </c>
      <c r="H3169" s="18">
        <v>0</v>
      </c>
      <c r="I3169" s="18">
        <f ca="1">((I3168 + G3169) - H3169)</f>
        <v>0</v>
      </c>
      <c r="J3169" s="18">
        <v>0</v>
      </c>
      <c r="K3169" s="19">
        <v>0</v>
      </c>
      <c r="L3169" s="17"/>
    </row>
    <row r="3170" ht="10.95" customHeight="true" customFormat="true" s="9">
      <c r="A3170" s="16">
        <v>45384</v>
      </c>
      <c r="B3170" s="17" t="s">
        <v>578</v>
      </c>
      <c r="C3170" s="17" t="s">
        <v>572</v>
      </c>
      <c r="D3170" s="17" t="s">
        <v>19</v>
      </c>
      <c r="E3170" s="17" t="s">
        <v>428</v>
      </c>
      <c r="F3170" s="17"/>
      <c r="G3170" s="18">
        <v>0</v>
      </c>
      <c r="H3170" s="18">
        <v>439.9600</v>
      </c>
      <c r="I3170" s="18">
        <f ca="1">((I3169 + G3170) - H3170)</f>
        <v>0</v>
      </c>
      <c r="J3170" s="18">
        <v>0</v>
      </c>
      <c r="K3170" s="19">
        <v>0</v>
      </c>
      <c r="L3170" s="17"/>
    </row>
    <row r="3171" ht="10.95" customHeight="true" customFormat="true" s="9">
      <c r="A3171" s="16">
        <v>45384</v>
      </c>
      <c r="B3171" s="17" t="s">
        <v>578</v>
      </c>
      <c r="C3171" s="17" t="s">
        <v>572</v>
      </c>
      <c r="D3171" s="17" t="s">
        <v>19</v>
      </c>
      <c r="E3171" s="17" t="s">
        <v>428</v>
      </c>
      <c r="F3171" s="17"/>
      <c r="G3171" s="18">
        <v>0</v>
      </c>
      <c r="H3171" s="18">
        <v>1.0200</v>
      </c>
      <c r="I3171" s="18">
        <f ca="1">((I3170 + G3171) - H3171)</f>
        <v>0</v>
      </c>
      <c r="J3171" s="18">
        <v>0</v>
      </c>
      <c r="K3171" s="19">
        <v>0</v>
      </c>
      <c r="L3171" s="17"/>
    </row>
    <row r="3172" ht="10.95" customHeight="true" customFormat="true" s="9">
      <c r="A3172" s="16">
        <v>45384</v>
      </c>
      <c r="B3172" s="17" t="s">
        <v>578</v>
      </c>
      <c r="C3172" s="17" t="s">
        <v>572</v>
      </c>
      <c r="D3172" s="17" t="s">
        <v>22</v>
      </c>
      <c r="E3172" s="17" t="s">
        <v>445</v>
      </c>
      <c r="F3172" s="17"/>
      <c r="G3172" s="18">
        <v>36.8600</v>
      </c>
      <c r="H3172" s="18">
        <v>0</v>
      </c>
      <c r="I3172" s="18">
        <f ca="1">((I3171 + G3172) - H3172)</f>
        <v>0</v>
      </c>
      <c r="J3172" s="18">
        <v>0</v>
      </c>
      <c r="K3172" s="19">
        <v>0</v>
      </c>
      <c r="L3172" s="17"/>
    </row>
    <row r="3173" ht="10.95" customHeight="true" customFormat="true" s="9">
      <c r="A3173" s="16">
        <v>45384</v>
      </c>
      <c r="B3173" s="17" t="s">
        <v>578</v>
      </c>
      <c r="C3173" s="17" t="s">
        <v>572</v>
      </c>
      <c r="D3173" s="17" t="s">
        <v>22</v>
      </c>
      <c r="E3173" s="17" t="s">
        <v>430</v>
      </c>
      <c r="F3173" s="17"/>
      <c r="G3173" s="18">
        <v>119.3200</v>
      </c>
      <c r="H3173" s="18">
        <v>0</v>
      </c>
      <c r="I3173" s="18">
        <f ca="1">((I3172 + G3173) - H3173)</f>
        <v>0</v>
      </c>
      <c r="J3173" s="18">
        <v>0</v>
      </c>
      <c r="K3173" s="19">
        <v>0</v>
      </c>
      <c r="L3173" s="17"/>
    </row>
    <row r="3174" ht="10.95" customHeight="true" customFormat="true" s="9">
      <c r="A3174" s="16">
        <v>45385</v>
      </c>
      <c r="B3174" s="17" t="s">
        <v>578</v>
      </c>
      <c r="C3174" s="17" t="s">
        <v>572</v>
      </c>
      <c r="D3174" s="17" t="s">
        <v>19</v>
      </c>
      <c r="E3174" s="17" t="s">
        <v>428</v>
      </c>
      <c r="F3174" s="17"/>
      <c r="G3174" s="18">
        <v>0</v>
      </c>
      <c r="H3174" s="18">
        <v>204.5000</v>
      </c>
      <c r="I3174" s="18">
        <f ca="1">((I3173 + G3174) - H3174)</f>
        <v>0</v>
      </c>
      <c r="J3174" s="18">
        <v>0</v>
      </c>
      <c r="K3174" s="19">
        <v>0</v>
      </c>
      <c r="L3174" s="17"/>
    </row>
    <row r="3175" ht="10.95" customHeight="true" customFormat="true" s="9">
      <c r="A3175" s="16">
        <v>45386</v>
      </c>
      <c r="B3175" s="17" t="s">
        <v>578</v>
      </c>
      <c r="C3175" s="17" t="s">
        <v>572</v>
      </c>
      <c r="D3175" s="17" t="s">
        <v>19</v>
      </c>
      <c r="E3175" s="17" t="s">
        <v>24</v>
      </c>
      <c r="F3175" s="17"/>
      <c r="G3175" s="18">
        <v>0</v>
      </c>
      <c r="H3175" s="18">
        <v>13.6400</v>
      </c>
      <c r="I3175" s="18">
        <f ca="1">((I3174 + G3175) - H3175)</f>
        <v>0</v>
      </c>
      <c r="J3175" s="18">
        <v>0</v>
      </c>
      <c r="K3175" s="19">
        <v>0</v>
      </c>
      <c r="L3175" s="17"/>
    </row>
    <row r="3176" ht="10.95" customHeight="true" customFormat="true" s="9">
      <c r="A3176" s="16">
        <v>45386</v>
      </c>
      <c r="B3176" s="17" t="s">
        <v>578</v>
      </c>
      <c r="C3176" s="17" t="s">
        <v>572</v>
      </c>
      <c r="D3176" s="17" t="s">
        <v>19</v>
      </c>
      <c r="E3176" s="17" t="s">
        <v>428</v>
      </c>
      <c r="F3176" s="17"/>
      <c r="G3176" s="18">
        <v>0</v>
      </c>
      <c r="H3176" s="18">
        <v>212.7600</v>
      </c>
      <c r="I3176" s="18">
        <f ca="1">((I3175 + G3176) - H3176)</f>
        <v>0</v>
      </c>
      <c r="J3176" s="18">
        <v>0</v>
      </c>
      <c r="K3176" s="19">
        <v>0</v>
      </c>
      <c r="L3176" s="17"/>
    </row>
    <row r="3177" ht="10.95" customHeight="true" customFormat="true" s="9">
      <c r="A3177" s="16">
        <v>45387</v>
      </c>
      <c r="B3177" s="17" t="s">
        <v>578</v>
      </c>
      <c r="C3177" s="17" t="s">
        <v>572</v>
      </c>
      <c r="D3177" s="17" t="s">
        <v>22</v>
      </c>
      <c r="E3177" s="17" t="s">
        <v>430</v>
      </c>
      <c r="F3177" s="17"/>
      <c r="G3177" s="18">
        <v>142.5200</v>
      </c>
      <c r="H3177" s="18">
        <v>0</v>
      </c>
      <c r="I3177" s="18">
        <f ca="1">((I3176 + G3177) - H3177)</f>
        <v>0</v>
      </c>
      <c r="J3177" s="18">
        <v>0</v>
      </c>
      <c r="K3177" s="19">
        <v>0</v>
      </c>
      <c r="L3177" s="17"/>
    </row>
    <row r="3178" ht="10.95" customHeight="true" customFormat="true" s="9">
      <c r="A3178" s="16">
        <v>45387</v>
      </c>
      <c r="B3178" s="17" t="s">
        <v>578</v>
      </c>
      <c r="C3178" s="17" t="s">
        <v>572</v>
      </c>
      <c r="D3178" s="17" t="s">
        <v>22</v>
      </c>
      <c r="E3178" s="17" t="s">
        <v>430</v>
      </c>
      <c r="F3178" s="17"/>
      <c r="G3178" s="18">
        <v>10.4000</v>
      </c>
      <c r="H3178" s="18">
        <v>0</v>
      </c>
      <c r="I3178" s="18">
        <f ca="1">((I3177 + G3178) - H3178)</f>
        <v>0</v>
      </c>
      <c r="J3178" s="18">
        <v>0</v>
      </c>
      <c r="K3178" s="19">
        <v>0</v>
      </c>
      <c r="L3178" s="17"/>
    </row>
    <row r="3179" ht="10.95" customHeight="true" customFormat="true" s="9">
      <c r="A3179" s="16">
        <v>45387</v>
      </c>
      <c r="B3179" s="17" t="s">
        <v>578</v>
      </c>
      <c r="C3179" s="17" t="s">
        <v>572</v>
      </c>
      <c r="D3179" s="17" t="s">
        <v>19</v>
      </c>
      <c r="E3179" s="17" t="s">
        <v>428</v>
      </c>
      <c r="F3179" s="17"/>
      <c r="G3179" s="18">
        <v>0</v>
      </c>
      <c r="H3179" s="18">
        <v>226.3800</v>
      </c>
      <c r="I3179" s="18">
        <f ca="1">((I3178 + G3179) - H3179)</f>
        <v>0</v>
      </c>
      <c r="J3179" s="18">
        <v>0</v>
      </c>
      <c r="K3179" s="19">
        <v>0</v>
      </c>
      <c r="L3179" s="17"/>
    </row>
    <row r="3180" ht="10.95" customHeight="true" customFormat="true" s="9">
      <c r="A3180" s="16">
        <v>45390</v>
      </c>
      <c r="B3180" s="17" t="s">
        <v>578</v>
      </c>
      <c r="C3180" s="17" t="s">
        <v>572</v>
      </c>
      <c r="D3180" s="17" t="s">
        <v>22</v>
      </c>
      <c r="E3180" s="17" t="s">
        <v>34</v>
      </c>
      <c r="F3180" s="17"/>
      <c r="G3180" s="18">
        <v>205.0000</v>
      </c>
      <c r="H3180" s="18">
        <v>0</v>
      </c>
      <c r="I3180" s="18">
        <f ca="1">((I3179 + G3180) - H3180)</f>
        <v>0</v>
      </c>
      <c r="J3180" s="18">
        <v>0</v>
      </c>
      <c r="K3180" s="19">
        <v>0</v>
      </c>
      <c r="L3180" s="17"/>
    </row>
    <row r="3181" ht="10.95" customHeight="true" customFormat="true" s="9">
      <c r="A3181" s="16">
        <v>45390</v>
      </c>
      <c r="B3181" s="17" t="s">
        <v>578</v>
      </c>
      <c r="C3181" s="17" t="s">
        <v>572</v>
      </c>
      <c r="D3181" s="17" t="s">
        <v>19</v>
      </c>
      <c r="E3181" s="17" t="s">
        <v>428</v>
      </c>
      <c r="F3181" s="17"/>
      <c r="G3181" s="18">
        <v>0</v>
      </c>
      <c r="H3181" s="18">
        <v>505.5300</v>
      </c>
      <c r="I3181" s="18">
        <f ca="1">((I3180 + G3181) - H3181)</f>
        <v>0</v>
      </c>
      <c r="J3181" s="18">
        <v>0</v>
      </c>
      <c r="K3181" s="19">
        <v>0</v>
      </c>
      <c r="L3181" s="17"/>
    </row>
    <row r="3182" ht="10.95" customHeight="true" customFormat="true" s="9">
      <c r="A3182" s="16">
        <v>45390</v>
      </c>
      <c r="B3182" s="17" t="s">
        <v>578</v>
      </c>
      <c r="C3182" s="17" t="s">
        <v>572</v>
      </c>
      <c r="D3182" s="17" t="s">
        <v>19</v>
      </c>
      <c r="E3182" s="17" t="s">
        <v>24</v>
      </c>
      <c r="F3182" s="17"/>
      <c r="G3182" s="18">
        <v>0</v>
      </c>
      <c r="H3182" s="18">
        <v>25.4500</v>
      </c>
      <c r="I3182" s="18">
        <f ca="1">((I3181 + G3182) - H3182)</f>
        <v>0</v>
      </c>
      <c r="J3182" s="18">
        <v>0</v>
      </c>
      <c r="K3182" s="19">
        <v>0</v>
      </c>
      <c r="L3182" s="17"/>
    </row>
    <row r="3183" ht="10.95" customHeight="true" customFormat="true" s="9">
      <c r="A3183" s="16">
        <v>45390</v>
      </c>
      <c r="B3183" s="17" t="s">
        <v>578</v>
      </c>
      <c r="C3183" s="17" t="s">
        <v>572</v>
      </c>
      <c r="D3183" s="17" t="s">
        <v>19</v>
      </c>
      <c r="E3183" s="17" t="s">
        <v>428</v>
      </c>
      <c r="F3183" s="17"/>
      <c r="G3183" s="18">
        <v>0</v>
      </c>
      <c r="H3183" s="18">
        <v>477.5900</v>
      </c>
      <c r="I3183" s="18">
        <f ca="1">((I3182 + G3183) - H3183)</f>
        <v>0</v>
      </c>
      <c r="J3183" s="18">
        <v>0</v>
      </c>
      <c r="K3183" s="19">
        <v>0</v>
      </c>
      <c r="L3183" s="17"/>
    </row>
    <row r="3184" ht="10.95" customHeight="true" customFormat="true" s="9">
      <c r="A3184" s="16">
        <v>45390</v>
      </c>
      <c r="B3184" s="17" t="s">
        <v>578</v>
      </c>
      <c r="C3184" s="17" t="s">
        <v>572</v>
      </c>
      <c r="D3184" s="17" t="s">
        <v>19</v>
      </c>
      <c r="E3184" s="17" t="s">
        <v>428</v>
      </c>
      <c r="F3184" s="17"/>
      <c r="G3184" s="18">
        <v>0</v>
      </c>
      <c r="H3184" s="18">
        <v>255.1800</v>
      </c>
      <c r="I3184" s="18">
        <f ca="1">((I3183 + G3184) - H3184)</f>
        <v>0</v>
      </c>
      <c r="J3184" s="18">
        <v>0</v>
      </c>
      <c r="K3184" s="19">
        <v>0</v>
      </c>
      <c r="L3184" s="17"/>
    </row>
    <row r="3185" ht="10.95" customHeight="true" customFormat="true" s="9">
      <c r="A3185" s="16">
        <v>45392</v>
      </c>
      <c r="B3185" s="17" t="s">
        <v>578</v>
      </c>
      <c r="C3185" s="17" t="s">
        <v>572</v>
      </c>
      <c r="D3185" s="17" t="s">
        <v>19</v>
      </c>
      <c r="E3185" s="17" t="s">
        <v>428</v>
      </c>
      <c r="F3185" s="17"/>
      <c r="G3185" s="18">
        <v>0</v>
      </c>
      <c r="H3185" s="18">
        <v>212.8000</v>
      </c>
      <c r="I3185" s="18">
        <f ca="1">((I3184 + G3185) - H3185)</f>
        <v>0</v>
      </c>
      <c r="J3185" s="18">
        <v>0</v>
      </c>
      <c r="K3185" s="19">
        <v>0</v>
      </c>
      <c r="L3185" s="17"/>
    </row>
    <row r="3186" ht="10.95" customHeight="true" customFormat="true" s="9">
      <c r="A3186" s="16">
        <v>45392</v>
      </c>
      <c r="B3186" s="17" t="s">
        <v>578</v>
      </c>
      <c r="C3186" s="17" t="s">
        <v>572</v>
      </c>
      <c r="D3186" s="17" t="s">
        <v>22</v>
      </c>
      <c r="E3186" s="17" t="s">
        <v>430</v>
      </c>
      <c r="F3186" s="17"/>
      <c r="G3186" s="18">
        <v>161.1500</v>
      </c>
      <c r="H3186" s="18">
        <v>0</v>
      </c>
      <c r="I3186" s="18">
        <f ca="1">((I3185 + G3186) - H3186)</f>
        <v>0</v>
      </c>
      <c r="J3186" s="18">
        <v>0</v>
      </c>
      <c r="K3186" s="19">
        <v>0</v>
      </c>
      <c r="L3186" s="17"/>
    </row>
    <row r="3187" ht="10.95" customHeight="true" customFormat="true" s="9">
      <c r="A3187" s="16">
        <v>45393</v>
      </c>
      <c r="B3187" s="17" t="s">
        <v>578</v>
      </c>
      <c r="C3187" s="17" t="s">
        <v>572</v>
      </c>
      <c r="D3187" s="17" t="s">
        <v>19</v>
      </c>
      <c r="E3187" s="17" t="s">
        <v>428</v>
      </c>
      <c r="F3187" s="17"/>
      <c r="G3187" s="18">
        <v>0</v>
      </c>
      <c r="H3187" s="18">
        <v>239.1300</v>
      </c>
      <c r="I3187" s="18">
        <f ca="1">((I3186 + G3187) - H3187)</f>
        <v>0</v>
      </c>
      <c r="J3187" s="18">
        <v>0</v>
      </c>
      <c r="K3187" s="19">
        <v>0</v>
      </c>
      <c r="L3187" s="17"/>
    </row>
    <row r="3188" ht="10.95" customHeight="true" customFormat="true" s="9">
      <c r="A3188" s="16">
        <v>45394</v>
      </c>
      <c r="B3188" s="17" t="s">
        <v>578</v>
      </c>
      <c r="C3188" s="17" t="s">
        <v>572</v>
      </c>
      <c r="D3188" s="17" t="s">
        <v>22</v>
      </c>
      <c r="E3188" s="17" t="s">
        <v>449</v>
      </c>
      <c r="F3188" s="17"/>
      <c r="G3188" s="18">
        <v>92.5200</v>
      </c>
      <c r="H3188" s="18">
        <v>0</v>
      </c>
      <c r="I3188" s="18">
        <f ca="1">((I3187 + G3188) - H3188)</f>
        <v>0</v>
      </c>
      <c r="J3188" s="18">
        <v>0</v>
      </c>
      <c r="K3188" s="19">
        <v>0</v>
      </c>
      <c r="L3188" s="17"/>
    </row>
    <row r="3189" ht="10.95" customHeight="true" customFormat="true" s="9">
      <c r="A3189" s="16">
        <v>45394</v>
      </c>
      <c r="B3189" s="17" t="s">
        <v>578</v>
      </c>
      <c r="C3189" s="17" t="s">
        <v>572</v>
      </c>
      <c r="D3189" s="17" t="s">
        <v>22</v>
      </c>
      <c r="E3189" s="17" t="s">
        <v>430</v>
      </c>
      <c r="F3189" s="17"/>
      <c r="G3189" s="18">
        <v>163.3500</v>
      </c>
      <c r="H3189" s="18">
        <v>0</v>
      </c>
      <c r="I3189" s="18">
        <f ca="1">((I3188 + G3189) - H3189)</f>
        <v>0</v>
      </c>
      <c r="J3189" s="18">
        <v>0</v>
      </c>
      <c r="K3189" s="19">
        <v>0</v>
      </c>
      <c r="L3189" s="17"/>
    </row>
    <row r="3190" ht="10.95" customHeight="true" customFormat="true" s="9">
      <c r="A3190" s="16">
        <v>45394</v>
      </c>
      <c r="B3190" s="17" t="s">
        <v>578</v>
      </c>
      <c r="C3190" s="17" t="s">
        <v>572</v>
      </c>
      <c r="D3190" s="17" t="s">
        <v>19</v>
      </c>
      <c r="E3190" s="17" t="s">
        <v>428</v>
      </c>
      <c r="F3190" s="17"/>
      <c r="G3190" s="18">
        <v>0</v>
      </c>
      <c r="H3190" s="18">
        <v>265.8300</v>
      </c>
      <c r="I3190" s="18">
        <f ca="1">((I3189 + G3190) - H3190)</f>
        <v>0</v>
      </c>
      <c r="J3190" s="18">
        <v>0</v>
      </c>
      <c r="K3190" s="19">
        <v>0</v>
      </c>
      <c r="L3190" s="17"/>
    </row>
    <row r="3191" ht="10.95" customHeight="true" customFormat="true" s="9">
      <c r="A3191" s="16">
        <v>45397</v>
      </c>
      <c r="B3191" s="17" t="s">
        <v>578</v>
      </c>
      <c r="C3191" s="17" t="s">
        <v>572</v>
      </c>
      <c r="D3191" s="17" t="s">
        <v>22</v>
      </c>
      <c r="E3191" s="17" t="s">
        <v>34</v>
      </c>
      <c r="F3191" s="17"/>
      <c r="G3191" s="18">
        <v>202.5500</v>
      </c>
      <c r="H3191" s="18">
        <v>0</v>
      </c>
      <c r="I3191" s="18">
        <f ca="1">((I3190 + G3191) - H3191)</f>
        <v>0</v>
      </c>
      <c r="J3191" s="18">
        <v>0</v>
      </c>
      <c r="K3191" s="19">
        <v>0</v>
      </c>
      <c r="L3191" s="17"/>
    </row>
    <row r="3192" ht="10.95" customHeight="true" customFormat="true" s="9">
      <c r="A3192" s="16">
        <v>45397</v>
      </c>
      <c r="B3192" s="17" t="s">
        <v>578</v>
      </c>
      <c r="C3192" s="17" t="s">
        <v>572</v>
      </c>
      <c r="D3192" s="17" t="s">
        <v>19</v>
      </c>
      <c r="E3192" s="17" t="s">
        <v>428</v>
      </c>
      <c r="F3192" s="17"/>
      <c r="G3192" s="18">
        <v>0</v>
      </c>
      <c r="H3192" s="18">
        <v>316.6200</v>
      </c>
      <c r="I3192" s="18">
        <f ca="1">((I3191 + G3192) - H3192)</f>
        <v>0</v>
      </c>
      <c r="J3192" s="18">
        <v>0</v>
      </c>
      <c r="K3192" s="19">
        <v>0</v>
      </c>
      <c r="L3192" s="17"/>
    </row>
    <row r="3193" ht="10.95" customHeight="true" customFormat="true" s="9">
      <c r="A3193" s="16">
        <v>45397</v>
      </c>
      <c r="B3193" s="17" t="s">
        <v>578</v>
      </c>
      <c r="C3193" s="17" t="s">
        <v>572</v>
      </c>
      <c r="D3193" s="17" t="s">
        <v>19</v>
      </c>
      <c r="E3193" s="17" t="s">
        <v>24</v>
      </c>
      <c r="F3193" s="17"/>
      <c r="G3193" s="18">
        <v>0</v>
      </c>
      <c r="H3193" s="18">
        <v>29.0900</v>
      </c>
      <c r="I3193" s="18">
        <f ca="1">((I3192 + G3193) - H3193)</f>
        <v>0</v>
      </c>
      <c r="J3193" s="18">
        <v>0</v>
      </c>
      <c r="K3193" s="19">
        <v>0</v>
      </c>
      <c r="L3193" s="17"/>
    </row>
    <row r="3194" ht="10.95" customHeight="true" customFormat="true" s="9">
      <c r="A3194" s="16">
        <v>45397</v>
      </c>
      <c r="B3194" s="17" t="s">
        <v>578</v>
      </c>
      <c r="C3194" s="17" t="s">
        <v>572</v>
      </c>
      <c r="D3194" s="17" t="s">
        <v>19</v>
      </c>
      <c r="E3194" s="17" t="s">
        <v>428</v>
      </c>
      <c r="F3194" s="17"/>
      <c r="G3194" s="18">
        <v>0</v>
      </c>
      <c r="H3194" s="18">
        <v>533.3900</v>
      </c>
      <c r="I3194" s="18">
        <f ca="1">((I3193 + G3194) - H3194)</f>
        <v>0</v>
      </c>
      <c r="J3194" s="18">
        <v>0</v>
      </c>
      <c r="K3194" s="19">
        <v>0</v>
      </c>
      <c r="L3194" s="17"/>
    </row>
    <row r="3195" ht="10.95" customHeight="true" customFormat="true" s="9">
      <c r="A3195" s="16">
        <v>45397</v>
      </c>
      <c r="B3195" s="17" t="s">
        <v>578</v>
      </c>
      <c r="C3195" s="17" t="s">
        <v>572</v>
      </c>
      <c r="D3195" s="17" t="s">
        <v>19</v>
      </c>
      <c r="E3195" s="17" t="s">
        <v>428</v>
      </c>
      <c r="F3195" s="17"/>
      <c r="G3195" s="18">
        <v>0</v>
      </c>
      <c r="H3195" s="18">
        <v>443.3200</v>
      </c>
      <c r="I3195" s="18">
        <f ca="1">((I3194 + G3195) - H3195)</f>
        <v>0</v>
      </c>
      <c r="J3195" s="18">
        <v>0</v>
      </c>
      <c r="K3195" s="19">
        <v>0</v>
      </c>
      <c r="L3195" s="17"/>
    </row>
    <row r="3196" ht="10.95" customHeight="true" customFormat="true" s="9">
      <c r="A3196" s="16">
        <v>45397</v>
      </c>
      <c r="B3196" s="17" t="s">
        <v>578</v>
      </c>
      <c r="C3196" s="17" t="s">
        <v>572</v>
      </c>
      <c r="D3196" s="17" t="s">
        <v>22</v>
      </c>
      <c r="E3196" s="17" t="s">
        <v>438</v>
      </c>
      <c r="F3196" s="17"/>
      <c r="G3196" s="18">
        <v>0.9800</v>
      </c>
      <c r="H3196" s="18">
        <v>0</v>
      </c>
      <c r="I3196" s="18">
        <f ca="1">((I3195 + G3196) - H3196)</f>
        <v>0</v>
      </c>
      <c r="J3196" s="18">
        <v>0</v>
      </c>
      <c r="K3196" s="19">
        <v>0</v>
      </c>
      <c r="L3196" s="17"/>
    </row>
    <row r="3197" ht="10.95" customHeight="true" customFormat="true" s="9">
      <c r="A3197" s="16">
        <v>45398</v>
      </c>
      <c r="B3197" s="17" t="s">
        <v>578</v>
      </c>
      <c r="C3197" s="17" t="s">
        <v>572</v>
      </c>
      <c r="D3197" s="17" t="s">
        <v>22</v>
      </c>
      <c r="E3197" s="17" t="s">
        <v>430</v>
      </c>
      <c r="F3197" s="17"/>
      <c r="G3197" s="18">
        <v>149.3000</v>
      </c>
      <c r="H3197" s="18">
        <v>0</v>
      </c>
      <c r="I3197" s="18">
        <f ca="1">((I3196 + G3197) - H3197)</f>
        <v>0</v>
      </c>
      <c r="J3197" s="18">
        <v>0</v>
      </c>
      <c r="K3197" s="19">
        <v>0</v>
      </c>
      <c r="L3197" s="17"/>
    </row>
    <row r="3198" ht="10.95" customHeight="true" customFormat="true" s="9">
      <c r="A3198" s="16">
        <v>45399</v>
      </c>
      <c r="B3198" s="17" t="s">
        <v>578</v>
      </c>
      <c r="C3198" s="17" t="s">
        <v>572</v>
      </c>
      <c r="D3198" s="17" t="s">
        <v>19</v>
      </c>
      <c r="E3198" s="17" t="s">
        <v>428</v>
      </c>
      <c r="F3198" s="17"/>
      <c r="G3198" s="18">
        <v>0</v>
      </c>
      <c r="H3198" s="18">
        <v>234.7400</v>
      </c>
      <c r="I3198" s="18">
        <f ca="1">((I3197 + G3198) - H3198)</f>
        <v>0</v>
      </c>
      <c r="J3198" s="18">
        <v>0</v>
      </c>
      <c r="K3198" s="19">
        <v>0</v>
      </c>
      <c r="L3198" s="17"/>
    </row>
    <row r="3199" ht="10.95" customHeight="true" customFormat="true" s="9">
      <c r="A3199" s="16">
        <v>45400</v>
      </c>
      <c r="B3199" s="17" t="s">
        <v>578</v>
      </c>
      <c r="C3199" s="17" t="s">
        <v>572</v>
      </c>
      <c r="D3199" s="17" t="s">
        <v>22</v>
      </c>
      <c r="E3199" s="17" t="s">
        <v>298</v>
      </c>
      <c r="F3199" s="17"/>
      <c r="G3199" s="18">
        <v>583.3300</v>
      </c>
      <c r="H3199" s="18">
        <v>0</v>
      </c>
      <c r="I3199" s="18">
        <f ca="1">((I3198 + G3199) - H3199)</f>
        <v>0</v>
      </c>
      <c r="J3199" s="18">
        <v>0</v>
      </c>
      <c r="K3199" s="19">
        <v>0</v>
      </c>
      <c r="L3199" s="17"/>
    </row>
    <row r="3200" ht="10.95" customHeight="true" customFormat="true" s="9">
      <c r="A3200" s="16">
        <v>45400</v>
      </c>
      <c r="B3200" s="17" t="s">
        <v>578</v>
      </c>
      <c r="C3200" s="17" t="s">
        <v>572</v>
      </c>
      <c r="D3200" s="17" t="s">
        <v>19</v>
      </c>
      <c r="E3200" s="17" t="s">
        <v>428</v>
      </c>
      <c r="F3200" s="17"/>
      <c r="G3200" s="18">
        <v>0</v>
      </c>
      <c r="H3200" s="18">
        <v>244.5000</v>
      </c>
      <c r="I3200" s="18">
        <f ca="1">((I3199 + G3200) - H3200)</f>
        <v>0</v>
      </c>
      <c r="J3200" s="18">
        <v>0</v>
      </c>
      <c r="K3200" s="19">
        <v>0</v>
      </c>
      <c r="L3200" s="17"/>
    </row>
    <row r="3201" ht="10.95" customHeight="true" customFormat="true" s="9">
      <c r="A3201" s="16">
        <v>45400</v>
      </c>
      <c r="B3201" s="17" t="s">
        <v>578</v>
      </c>
      <c r="C3201" s="17" t="s">
        <v>572</v>
      </c>
      <c r="D3201" s="17" t="s">
        <v>22</v>
      </c>
      <c r="E3201" s="17" t="s">
        <v>436</v>
      </c>
      <c r="F3201" s="17"/>
      <c r="G3201" s="18">
        <v>9.8200</v>
      </c>
      <c r="H3201" s="18">
        <v>0</v>
      </c>
      <c r="I3201" s="18">
        <f ca="1">((I3200 + G3201) - H3201)</f>
        <v>0</v>
      </c>
      <c r="J3201" s="18">
        <v>0</v>
      </c>
      <c r="K3201" s="19">
        <v>0</v>
      </c>
      <c r="L3201" s="17"/>
    </row>
    <row r="3202" ht="10.95" customHeight="true" customFormat="true" s="9">
      <c r="A3202" s="16">
        <v>45401</v>
      </c>
      <c r="B3202" s="17" t="s">
        <v>578</v>
      </c>
      <c r="C3202" s="17" t="s">
        <v>572</v>
      </c>
      <c r="D3202" s="17" t="s">
        <v>22</v>
      </c>
      <c r="E3202" s="17" t="s">
        <v>430</v>
      </c>
      <c r="F3202" s="17"/>
      <c r="G3202" s="18">
        <v>155.9300</v>
      </c>
      <c r="H3202" s="18">
        <v>0</v>
      </c>
      <c r="I3202" s="18">
        <f ca="1">((I3201 + G3202) - H3202)</f>
        <v>0</v>
      </c>
      <c r="J3202" s="18">
        <v>0</v>
      </c>
      <c r="K3202" s="19">
        <v>0</v>
      </c>
      <c r="L3202" s="17"/>
    </row>
    <row r="3203" ht="10.95" customHeight="true" customFormat="true" s="9">
      <c r="A3203" s="16">
        <v>45401</v>
      </c>
      <c r="B3203" s="17" t="s">
        <v>578</v>
      </c>
      <c r="C3203" s="17" t="s">
        <v>572</v>
      </c>
      <c r="D3203" s="17" t="s">
        <v>19</v>
      </c>
      <c r="E3203" s="17" t="s">
        <v>428</v>
      </c>
      <c r="F3203" s="17"/>
      <c r="G3203" s="18">
        <v>0</v>
      </c>
      <c r="H3203" s="18">
        <v>253.8500</v>
      </c>
      <c r="I3203" s="18">
        <f ca="1">((I3202 + G3203) - H3203)</f>
        <v>0</v>
      </c>
      <c r="J3203" s="18">
        <v>0</v>
      </c>
      <c r="K3203" s="19">
        <v>0</v>
      </c>
      <c r="L3203" s="17"/>
    </row>
    <row r="3204" ht="10.95" customHeight="true" customFormat="true" s="9">
      <c r="A3204" s="16">
        <v>45401</v>
      </c>
      <c r="B3204" s="17" t="s">
        <v>578</v>
      </c>
      <c r="C3204" s="17" t="s">
        <v>572</v>
      </c>
      <c r="D3204" s="17" t="s">
        <v>22</v>
      </c>
      <c r="E3204" s="17" t="s">
        <v>451</v>
      </c>
      <c r="F3204" s="17"/>
      <c r="G3204" s="18">
        <v>300.0000</v>
      </c>
      <c r="H3204" s="18">
        <v>0</v>
      </c>
      <c r="I3204" s="18">
        <f ca="1">((I3203 + G3204) - H3204)</f>
        <v>0</v>
      </c>
      <c r="J3204" s="18">
        <v>0</v>
      </c>
      <c r="K3204" s="19">
        <v>0</v>
      </c>
      <c r="L3204" s="17"/>
    </row>
    <row r="3205" ht="10.95" customHeight="true" customFormat="true" s="9">
      <c r="A3205" s="16">
        <v>45404</v>
      </c>
      <c r="B3205" s="17" t="s">
        <v>578</v>
      </c>
      <c r="C3205" s="17" t="s">
        <v>572</v>
      </c>
      <c r="D3205" s="17" t="s">
        <v>19</v>
      </c>
      <c r="E3205" s="17" t="s">
        <v>428</v>
      </c>
      <c r="F3205" s="17"/>
      <c r="G3205" s="18">
        <v>0</v>
      </c>
      <c r="H3205" s="18">
        <v>468.3600</v>
      </c>
      <c r="I3205" s="18">
        <f ca="1">((I3204 + G3205) - H3205)</f>
        <v>0</v>
      </c>
      <c r="J3205" s="18">
        <v>0</v>
      </c>
      <c r="K3205" s="19">
        <v>0</v>
      </c>
      <c r="L3205" s="17"/>
    </row>
    <row r="3206" ht="10.95" customHeight="true" customFormat="true" s="9">
      <c r="A3206" s="16">
        <v>45404</v>
      </c>
      <c r="B3206" s="17" t="s">
        <v>578</v>
      </c>
      <c r="C3206" s="17" t="s">
        <v>572</v>
      </c>
      <c r="D3206" s="17" t="s">
        <v>19</v>
      </c>
      <c r="E3206" s="17" t="s">
        <v>428</v>
      </c>
      <c r="F3206" s="17"/>
      <c r="G3206" s="18">
        <v>0</v>
      </c>
      <c r="H3206" s="18">
        <v>288.0300</v>
      </c>
      <c r="I3206" s="18">
        <f ca="1">((I3205 + G3206) - H3206)</f>
        <v>0</v>
      </c>
      <c r="J3206" s="18">
        <v>0</v>
      </c>
      <c r="K3206" s="19">
        <v>0</v>
      </c>
      <c r="L3206" s="17"/>
    </row>
    <row r="3207" ht="10.95" customHeight="true" customFormat="true" s="9">
      <c r="A3207" s="16">
        <v>45404</v>
      </c>
      <c r="B3207" s="17" t="s">
        <v>578</v>
      </c>
      <c r="C3207" s="17" t="s">
        <v>572</v>
      </c>
      <c r="D3207" s="17" t="s">
        <v>19</v>
      </c>
      <c r="E3207" s="17" t="s">
        <v>428</v>
      </c>
      <c r="F3207" s="17"/>
      <c r="G3207" s="18">
        <v>0</v>
      </c>
      <c r="H3207" s="18">
        <v>481.0500</v>
      </c>
      <c r="I3207" s="18">
        <f ca="1">((I3206 + G3207) - H3207)</f>
        <v>0</v>
      </c>
      <c r="J3207" s="18">
        <v>0</v>
      </c>
      <c r="K3207" s="19">
        <v>0</v>
      </c>
      <c r="L3207" s="17"/>
    </row>
    <row r="3208" ht="10.95" customHeight="true" customFormat="true" s="9">
      <c r="A3208" s="16">
        <v>45404</v>
      </c>
      <c r="B3208" s="17" t="s">
        <v>578</v>
      </c>
      <c r="C3208" s="17" t="s">
        <v>572</v>
      </c>
      <c r="D3208" s="17" t="s">
        <v>22</v>
      </c>
      <c r="E3208" s="17" t="s">
        <v>34</v>
      </c>
      <c r="F3208" s="17"/>
      <c r="G3208" s="18">
        <v>201.2300</v>
      </c>
      <c r="H3208" s="18">
        <v>0</v>
      </c>
      <c r="I3208" s="18">
        <f ca="1">((I3207 + G3208) - H3208)</f>
        <v>0</v>
      </c>
      <c r="J3208" s="18">
        <v>0</v>
      </c>
      <c r="K3208" s="19">
        <v>0</v>
      </c>
      <c r="L3208" s="17"/>
    </row>
    <row r="3209" ht="10.95" customHeight="true" customFormat="true" s="9">
      <c r="A3209" s="16">
        <v>45404</v>
      </c>
      <c r="B3209" s="17" t="s">
        <v>578</v>
      </c>
      <c r="C3209" s="17" t="s">
        <v>572</v>
      </c>
      <c r="D3209" s="17" t="s">
        <v>22</v>
      </c>
      <c r="E3209" s="17" t="s">
        <v>438</v>
      </c>
      <c r="F3209" s="17"/>
      <c r="G3209" s="18">
        <v>3.7000</v>
      </c>
      <c r="H3209" s="18">
        <v>0</v>
      </c>
      <c r="I3209" s="18">
        <f ca="1">((I3208 + G3209) - H3209)</f>
        <v>0</v>
      </c>
      <c r="J3209" s="18">
        <v>0</v>
      </c>
      <c r="K3209" s="19">
        <v>0</v>
      </c>
      <c r="L3209" s="17"/>
    </row>
    <row r="3210" ht="10.95" customHeight="true" customFormat="true" s="9">
      <c r="A3210" s="16">
        <v>45406</v>
      </c>
      <c r="B3210" s="17" t="s">
        <v>578</v>
      </c>
      <c r="C3210" s="17" t="s">
        <v>572</v>
      </c>
      <c r="D3210" s="17" t="s">
        <v>22</v>
      </c>
      <c r="E3210" s="17" t="s">
        <v>430</v>
      </c>
      <c r="F3210" s="17"/>
      <c r="G3210" s="18">
        <v>213.2600</v>
      </c>
      <c r="H3210" s="18">
        <v>0</v>
      </c>
      <c r="I3210" s="18">
        <f ca="1">((I3209 + G3210) - H3210)</f>
        <v>0</v>
      </c>
      <c r="J3210" s="18">
        <v>0</v>
      </c>
      <c r="K3210" s="19">
        <v>0</v>
      </c>
      <c r="L3210" s="17"/>
    </row>
    <row r="3211" ht="10.95" customHeight="true" customFormat="true" s="9">
      <c r="A3211" s="16">
        <v>45406</v>
      </c>
      <c r="B3211" s="17" t="s">
        <v>578</v>
      </c>
      <c r="C3211" s="17" t="s">
        <v>572</v>
      </c>
      <c r="D3211" s="17" t="s">
        <v>19</v>
      </c>
      <c r="E3211" s="17" t="s">
        <v>428</v>
      </c>
      <c r="F3211" s="17"/>
      <c r="G3211" s="18">
        <v>0</v>
      </c>
      <c r="H3211" s="18">
        <v>222.8800</v>
      </c>
      <c r="I3211" s="18">
        <f ca="1">((I3210 + G3211) - H3211)</f>
        <v>0</v>
      </c>
      <c r="J3211" s="18">
        <v>0</v>
      </c>
      <c r="K3211" s="19">
        <v>0</v>
      </c>
      <c r="L3211" s="17"/>
    </row>
    <row r="3212" ht="10.95" customHeight="true" customFormat="true" s="9">
      <c r="A3212" s="16">
        <v>45406</v>
      </c>
      <c r="B3212" s="17" t="s">
        <v>578</v>
      </c>
      <c r="C3212" s="17" t="s">
        <v>572</v>
      </c>
      <c r="D3212" s="17" t="s">
        <v>22</v>
      </c>
      <c r="E3212" s="17" t="s">
        <v>442</v>
      </c>
      <c r="F3212" s="17"/>
      <c r="G3212" s="18">
        <v>16.7200</v>
      </c>
      <c r="H3212" s="18">
        <v>0</v>
      </c>
      <c r="I3212" s="18">
        <f ca="1">((I3211 + G3212) - H3212)</f>
        <v>0</v>
      </c>
      <c r="J3212" s="18">
        <v>0</v>
      </c>
      <c r="K3212" s="19">
        <v>0</v>
      </c>
      <c r="L3212" s="17"/>
    </row>
    <row r="3213" ht="10.95" customHeight="true" customFormat="true" s="9">
      <c r="A3213" s="16">
        <v>45406</v>
      </c>
      <c r="B3213" s="17" t="s">
        <v>578</v>
      </c>
      <c r="C3213" s="17" t="s">
        <v>572</v>
      </c>
      <c r="D3213" s="17" t="s">
        <v>22</v>
      </c>
      <c r="E3213" s="17" t="s">
        <v>459</v>
      </c>
      <c r="F3213" s="17"/>
      <c r="G3213" s="18">
        <v>29.2500</v>
      </c>
      <c r="H3213" s="18">
        <v>0</v>
      </c>
      <c r="I3213" s="18">
        <f ca="1">((I3212 + G3213) - H3213)</f>
        <v>0</v>
      </c>
      <c r="J3213" s="18">
        <v>0</v>
      </c>
      <c r="K3213" s="19">
        <v>0</v>
      </c>
      <c r="L3213" s="17"/>
    </row>
    <row r="3214" ht="10.95" customHeight="true" customFormat="true" s="9">
      <c r="A3214" s="16">
        <v>45408</v>
      </c>
      <c r="B3214" s="17" t="s">
        <v>578</v>
      </c>
      <c r="C3214" s="17" t="s">
        <v>572</v>
      </c>
      <c r="D3214" s="17" t="s">
        <v>19</v>
      </c>
      <c r="E3214" s="17" t="s">
        <v>24</v>
      </c>
      <c r="F3214" s="17"/>
      <c r="G3214" s="18">
        <v>0</v>
      </c>
      <c r="H3214" s="18">
        <v>12.7300</v>
      </c>
      <c r="I3214" s="18">
        <f ca="1">((I3213 + G3214) - H3214)</f>
        <v>0</v>
      </c>
      <c r="J3214" s="18">
        <v>0</v>
      </c>
      <c r="K3214" s="19">
        <v>0</v>
      </c>
      <c r="L3214" s="17"/>
    </row>
    <row r="3215" ht="10.95" customHeight="true" customFormat="true" s="9">
      <c r="A3215" s="16">
        <v>45408</v>
      </c>
      <c r="B3215" s="17" t="s">
        <v>578</v>
      </c>
      <c r="C3215" s="17" t="s">
        <v>572</v>
      </c>
      <c r="D3215" s="17" t="s">
        <v>19</v>
      </c>
      <c r="E3215" s="17" t="s">
        <v>428</v>
      </c>
      <c r="F3215" s="17"/>
      <c r="G3215" s="18">
        <v>0</v>
      </c>
      <c r="H3215" s="18">
        <v>555.1200</v>
      </c>
      <c r="I3215" s="18">
        <f ca="1">((I3214 + G3215) - H3215)</f>
        <v>0</v>
      </c>
      <c r="J3215" s="18">
        <v>0</v>
      </c>
      <c r="K3215" s="19">
        <v>0</v>
      </c>
      <c r="L3215" s="17"/>
    </row>
    <row r="3216" ht="10.95" customHeight="true" customFormat="true" s="9">
      <c r="A3216" s="16">
        <v>45408</v>
      </c>
      <c r="B3216" s="17" t="s">
        <v>578</v>
      </c>
      <c r="C3216" s="17" t="s">
        <v>572</v>
      </c>
      <c r="D3216" s="17" t="s">
        <v>22</v>
      </c>
      <c r="E3216" s="17" t="s">
        <v>430</v>
      </c>
      <c r="F3216" s="17"/>
      <c r="G3216" s="18">
        <v>184.0400</v>
      </c>
      <c r="H3216" s="18">
        <v>0</v>
      </c>
      <c r="I3216" s="18">
        <f ca="1">((I3215 + G3216) - H3216)</f>
        <v>0</v>
      </c>
      <c r="J3216" s="18">
        <v>0</v>
      </c>
      <c r="K3216" s="19">
        <v>0</v>
      </c>
      <c r="L3216" s="17"/>
    </row>
    <row r="3217" ht="10.95" customHeight="true" customFormat="true" s="9">
      <c r="A3217" s="16">
        <v>45408</v>
      </c>
      <c r="B3217" s="17" t="s">
        <v>578</v>
      </c>
      <c r="C3217" s="17" t="s">
        <v>572</v>
      </c>
      <c r="D3217" s="17" t="s">
        <v>19</v>
      </c>
      <c r="E3217" s="17" t="s">
        <v>428</v>
      </c>
      <c r="F3217" s="17"/>
      <c r="G3217" s="18">
        <v>0</v>
      </c>
      <c r="H3217" s="18">
        <v>248.3900</v>
      </c>
      <c r="I3217" s="18">
        <f ca="1">((I3216 + G3217) - H3217)</f>
        <v>0</v>
      </c>
      <c r="J3217" s="18">
        <v>0</v>
      </c>
      <c r="K3217" s="19">
        <v>0</v>
      </c>
      <c r="L3217" s="17"/>
    </row>
    <row r="3218" ht="10.95" customHeight="true" customFormat="true" s="9">
      <c r="A3218" s="16">
        <v>45411</v>
      </c>
      <c r="B3218" s="17" t="s">
        <v>578</v>
      </c>
      <c r="C3218" s="17" t="s">
        <v>572</v>
      </c>
      <c r="D3218" s="17" t="s">
        <v>22</v>
      </c>
      <c r="E3218" s="17" t="s">
        <v>34</v>
      </c>
      <c r="F3218" s="17"/>
      <c r="G3218" s="18">
        <v>318.7700</v>
      </c>
      <c r="H3218" s="18">
        <v>0</v>
      </c>
      <c r="I3218" s="18">
        <f ca="1">((I3217 + G3218) - H3218)</f>
        <v>0</v>
      </c>
      <c r="J3218" s="18">
        <v>0</v>
      </c>
      <c r="K3218" s="19">
        <v>0</v>
      </c>
      <c r="L3218" s="17"/>
    </row>
    <row r="3219" ht="10.95" customHeight="true" customFormat="true" s="9">
      <c r="A3219" s="16">
        <v>45411</v>
      </c>
      <c r="B3219" s="17" t="s">
        <v>578</v>
      </c>
      <c r="C3219" s="17" t="s">
        <v>572</v>
      </c>
      <c r="D3219" s="17" t="s">
        <v>19</v>
      </c>
      <c r="E3219" s="17" t="s">
        <v>428</v>
      </c>
      <c r="F3219" s="17"/>
      <c r="G3219" s="18">
        <v>0</v>
      </c>
      <c r="H3219" s="18">
        <v>478.2000</v>
      </c>
      <c r="I3219" s="18">
        <f ca="1">((I3218 + G3219) - H3219)</f>
        <v>0</v>
      </c>
      <c r="J3219" s="18">
        <v>0</v>
      </c>
      <c r="K3219" s="19">
        <v>0</v>
      </c>
      <c r="L3219" s="17"/>
    </row>
    <row r="3220" ht="10.95" customHeight="true" customFormat="true" s="9">
      <c r="A3220" s="16">
        <v>45411</v>
      </c>
      <c r="B3220" s="17" t="s">
        <v>578</v>
      </c>
      <c r="C3220" s="17" t="s">
        <v>572</v>
      </c>
      <c r="D3220" s="17" t="s">
        <v>19</v>
      </c>
      <c r="E3220" s="17" t="s">
        <v>428</v>
      </c>
      <c r="F3220" s="17"/>
      <c r="G3220" s="18">
        <v>0</v>
      </c>
      <c r="H3220" s="18">
        <v>272.0700</v>
      </c>
      <c r="I3220" s="18">
        <f ca="1">((I3219 + G3220) - H3220)</f>
        <v>0</v>
      </c>
      <c r="J3220" s="18">
        <v>0</v>
      </c>
      <c r="K3220" s="19">
        <v>0</v>
      </c>
      <c r="L3220" s="17"/>
    </row>
    <row r="3221" ht="10.95" customHeight="true" customFormat="true" s="9">
      <c r="A3221" s="16">
        <v>45411</v>
      </c>
      <c r="B3221" s="17" t="s">
        <v>578</v>
      </c>
      <c r="C3221" s="17" t="s">
        <v>572</v>
      </c>
      <c r="D3221" s="17" t="s">
        <v>19</v>
      </c>
      <c r="E3221" s="17" t="s">
        <v>428</v>
      </c>
      <c r="F3221" s="17"/>
      <c r="G3221" s="18">
        <v>0</v>
      </c>
      <c r="H3221" s="18">
        <v>431.0300</v>
      </c>
      <c r="I3221" s="18">
        <f ca="1">((I3220 + G3221) - H3221)</f>
        <v>0</v>
      </c>
      <c r="J3221" s="18">
        <v>0</v>
      </c>
      <c r="K3221" s="19">
        <v>0</v>
      </c>
      <c r="L3221" s="17"/>
    </row>
    <row r="3222" ht="10.95" customHeight="true" customFormat="true" s="9">
      <c r="A3222" s="16">
        <v>45413</v>
      </c>
      <c r="B3222" s="17" t="s">
        <v>578</v>
      </c>
      <c r="C3222" s="17" t="s">
        <v>572</v>
      </c>
      <c r="D3222" s="17" t="s">
        <v>19</v>
      </c>
      <c r="E3222" s="17" t="s">
        <v>428</v>
      </c>
      <c r="F3222" s="17"/>
      <c r="G3222" s="18">
        <v>0</v>
      </c>
      <c r="H3222" s="18">
        <v>240.1100</v>
      </c>
      <c r="I3222" s="18">
        <f ca="1">((I3221 + G3222) - H3222)</f>
        <v>0</v>
      </c>
      <c r="J3222" s="18">
        <v>0</v>
      </c>
      <c r="K3222" s="19">
        <v>0</v>
      </c>
      <c r="L3222" s="17"/>
    </row>
    <row r="3223" ht="10.95" customHeight="true" customFormat="true" s="9">
      <c r="A3223" s="16">
        <v>45414</v>
      </c>
      <c r="B3223" s="17" t="s">
        <v>578</v>
      </c>
      <c r="C3223" s="17" t="s">
        <v>572</v>
      </c>
      <c r="D3223" s="17" t="s">
        <v>19</v>
      </c>
      <c r="E3223" s="17" t="s">
        <v>428</v>
      </c>
      <c r="F3223" s="17"/>
      <c r="G3223" s="18">
        <v>0</v>
      </c>
      <c r="H3223" s="18">
        <v>233.7700</v>
      </c>
      <c r="I3223" s="18">
        <f ca="1">((I3222 + G3223) - H3223)</f>
        <v>0</v>
      </c>
      <c r="J3223" s="18">
        <v>0</v>
      </c>
      <c r="K3223" s="19">
        <v>0</v>
      </c>
      <c r="L3223" s="17"/>
    </row>
    <row r="3224" ht="10.95" customHeight="true" customFormat="true" s="9">
      <c r="A3224" s="16">
        <v>45415</v>
      </c>
      <c r="B3224" s="17" t="s">
        <v>578</v>
      </c>
      <c r="C3224" s="17" t="s">
        <v>572</v>
      </c>
      <c r="D3224" s="17" t="s">
        <v>19</v>
      </c>
      <c r="E3224" s="17" t="s">
        <v>428</v>
      </c>
      <c r="F3224" s="17"/>
      <c r="G3224" s="18">
        <v>0</v>
      </c>
      <c r="H3224" s="18">
        <v>294.8400</v>
      </c>
      <c r="I3224" s="18">
        <f ca="1">((I3223 + G3224) - H3224)</f>
        <v>0</v>
      </c>
      <c r="J3224" s="18">
        <v>0</v>
      </c>
      <c r="K3224" s="19">
        <v>0</v>
      </c>
      <c r="L3224" s="17"/>
    </row>
    <row r="3225" ht="10.95" customHeight="true" customFormat="true" s="9">
      <c r="A3225" s="16">
        <v>45418</v>
      </c>
      <c r="B3225" s="17" t="s">
        <v>578</v>
      </c>
      <c r="C3225" s="17" t="s">
        <v>572</v>
      </c>
      <c r="D3225" s="17" t="s">
        <v>19</v>
      </c>
      <c r="E3225" s="17" t="s">
        <v>428</v>
      </c>
      <c r="F3225" s="17"/>
      <c r="G3225" s="18">
        <v>0</v>
      </c>
      <c r="H3225" s="18">
        <v>266.3500</v>
      </c>
      <c r="I3225" s="18">
        <f ca="1">((I3224 + G3225) - H3225)</f>
        <v>0</v>
      </c>
      <c r="J3225" s="18">
        <v>0</v>
      </c>
      <c r="K3225" s="19">
        <v>0</v>
      </c>
      <c r="L3225" s="17"/>
    </row>
    <row r="3226" ht="10.95" customHeight="true" customFormat="true" s="9">
      <c r="A3226" s="16">
        <v>45418</v>
      </c>
      <c r="B3226" s="17" t="s">
        <v>578</v>
      </c>
      <c r="C3226" s="17" t="s">
        <v>572</v>
      </c>
      <c r="D3226" s="17" t="s">
        <v>22</v>
      </c>
      <c r="E3226" s="17" t="s">
        <v>430</v>
      </c>
      <c r="F3226" s="17"/>
      <c r="G3226" s="18">
        <v>235.0100</v>
      </c>
      <c r="H3226" s="18">
        <v>0</v>
      </c>
      <c r="I3226" s="18">
        <f ca="1">((I3225 + G3226) - H3226)</f>
        <v>0</v>
      </c>
      <c r="J3226" s="18">
        <v>0</v>
      </c>
      <c r="K3226" s="19">
        <v>0</v>
      </c>
      <c r="L3226" s="17"/>
    </row>
    <row r="3227" ht="10.95" customHeight="true" customFormat="true" s="9">
      <c r="A3227" s="16">
        <v>45418</v>
      </c>
      <c r="B3227" s="17" t="s">
        <v>578</v>
      </c>
      <c r="C3227" s="17" t="s">
        <v>572</v>
      </c>
      <c r="D3227" s="17" t="s">
        <v>22</v>
      </c>
      <c r="E3227" s="17" t="s">
        <v>34</v>
      </c>
      <c r="F3227" s="17"/>
      <c r="G3227" s="18">
        <v>254.1400</v>
      </c>
      <c r="H3227" s="18">
        <v>0</v>
      </c>
      <c r="I3227" s="18">
        <f ca="1">((I3226 + G3227) - H3227)</f>
        <v>0</v>
      </c>
      <c r="J3227" s="18">
        <v>0</v>
      </c>
      <c r="K3227" s="19">
        <v>0</v>
      </c>
      <c r="L3227" s="17"/>
    </row>
    <row r="3228" ht="10.95" customHeight="true" customFormat="true" s="9">
      <c r="A3228" s="16">
        <v>45418</v>
      </c>
      <c r="B3228" s="17" t="s">
        <v>578</v>
      </c>
      <c r="C3228" s="17" t="s">
        <v>572</v>
      </c>
      <c r="D3228" s="17" t="s">
        <v>22</v>
      </c>
      <c r="E3228" s="17" t="s">
        <v>430</v>
      </c>
      <c r="F3228" s="17"/>
      <c r="G3228" s="18">
        <v>92.5400</v>
      </c>
      <c r="H3228" s="18">
        <v>0</v>
      </c>
      <c r="I3228" s="18">
        <f ca="1">((I3227 + G3228) - H3228)</f>
        <v>0</v>
      </c>
      <c r="J3228" s="18">
        <v>0</v>
      </c>
      <c r="K3228" s="19">
        <v>0</v>
      </c>
      <c r="L3228" s="17"/>
    </row>
    <row r="3229" ht="10.95" customHeight="true" customFormat="true" s="9">
      <c r="A3229" s="16">
        <v>45418</v>
      </c>
      <c r="B3229" s="17" t="s">
        <v>578</v>
      </c>
      <c r="C3229" s="17" t="s">
        <v>572</v>
      </c>
      <c r="D3229" s="17" t="s">
        <v>19</v>
      </c>
      <c r="E3229" s="17" t="s">
        <v>428</v>
      </c>
      <c r="F3229" s="17"/>
      <c r="G3229" s="18">
        <v>0</v>
      </c>
      <c r="H3229" s="18">
        <v>456.4900</v>
      </c>
      <c r="I3229" s="18">
        <f ca="1">((I3228 + G3229) - H3229)</f>
        <v>0</v>
      </c>
      <c r="J3229" s="18">
        <v>0</v>
      </c>
      <c r="K3229" s="19">
        <v>0</v>
      </c>
      <c r="L3229" s="17"/>
    </row>
    <row r="3230" ht="10.95" customHeight="true" customFormat="true" s="9">
      <c r="A3230" s="16">
        <v>45418</v>
      </c>
      <c r="B3230" s="17" t="s">
        <v>578</v>
      </c>
      <c r="C3230" s="17" t="s">
        <v>572</v>
      </c>
      <c r="D3230" s="17" t="s">
        <v>19</v>
      </c>
      <c r="E3230" s="17" t="s">
        <v>428</v>
      </c>
      <c r="F3230" s="17"/>
      <c r="G3230" s="18">
        <v>0</v>
      </c>
      <c r="H3230" s="18">
        <v>557.7100</v>
      </c>
      <c r="I3230" s="18">
        <f ca="1">((I3229 + G3230) - H3230)</f>
        <v>0</v>
      </c>
      <c r="J3230" s="18">
        <v>0</v>
      </c>
      <c r="K3230" s="19">
        <v>0</v>
      </c>
      <c r="L3230" s="17"/>
    </row>
    <row r="3231" ht="10.95" customHeight="true" customFormat="true" s="9">
      <c r="A3231" s="16">
        <v>45419</v>
      </c>
      <c r="B3231" s="17" t="s">
        <v>578</v>
      </c>
      <c r="C3231" s="17" t="s">
        <v>572</v>
      </c>
      <c r="D3231" s="17" t="s">
        <v>19</v>
      </c>
      <c r="E3231" s="17" t="s">
        <v>24</v>
      </c>
      <c r="F3231" s="17"/>
      <c r="G3231" s="18">
        <v>0</v>
      </c>
      <c r="H3231" s="18">
        <v>13.6400</v>
      </c>
      <c r="I3231" s="18">
        <f ca="1">((I3230 + G3231) - H3231)</f>
        <v>0</v>
      </c>
      <c r="J3231" s="18">
        <v>0</v>
      </c>
      <c r="K3231" s="19">
        <v>0</v>
      </c>
      <c r="L3231" s="17"/>
    </row>
    <row r="3232" ht="10.95" customHeight="true" customFormat="true" s="9">
      <c r="A3232" s="16">
        <v>45420</v>
      </c>
      <c r="B3232" s="17" t="s">
        <v>578</v>
      </c>
      <c r="C3232" s="17" t="s">
        <v>572</v>
      </c>
      <c r="D3232" s="17" t="s">
        <v>19</v>
      </c>
      <c r="E3232" s="17" t="s">
        <v>428</v>
      </c>
      <c r="F3232" s="17"/>
      <c r="G3232" s="18">
        <v>0</v>
      </c>
      <c r="H3232" s="18">
        <v>211.6300</v>
      </c>
      <c r="I3232" s="18">
        <f ca="1">((I3231 + G3232) - H3232)</f>
        <v>0</v>
      </c>
      <c r="J3232" s="18">
        <v>0</v>
      </c>
      <c r="K3232" s="19">
        <v>0</v>
      </c>
      <c r="L3232" s="17"/>
    </row>
    <row r="3233" ht="10.95" customHeight="true" customFormat="true" s="9">
      <c r="A3233" s="16">
        <v>45420</v>
      </c>
      <c r="B3233" s="17" t="s">
        <v>578</v>
      </c>
      <c r="C3233" s="17" t="s">
        <v>572</v>
      </c>
      <c r="D3233" s="17" t="s">
        <v>22</v>
      </c>
      <c r="E3233" s="17" t="s">
        <v>430</v>
      </c>
      <c r="F3233" s="17"/>
      <c r="G3233" s="18">
        <v>100.4800</v>
      </c>
      <c r="H3233" s="18">
        <v>0</v>
      </c>
      <c r="I3233" s="18">
        <f ca="1">((I3232 + G3233) - H3233)</f>
        <v>0</v>
      </c>
      <c r="J3233" s="18">
        <v>0</v>
      </c>
      <c r="K3233" s="19">
        <v>0</v>
      </c>
      <c r="L3233" s="17"/>
    </row>
    <row r="3234" ht="10.95" customHeight="true" customFormat="true" s="9">
      <c r="A3234" s="16">
        <v>45421</v>
      </c>
      <c r="B3234" s="17" t="s">
        <v>578</v>
      </c>
      <c r="C3234" s="17" t="s">
        <v>572</v>
      </c>
      <c r="D3234" s="17" t="s">
        <v>19</v>
      </c>
      <c r="E3234" s="17" t="s">
        <v>428</v>
      </c>
      <c r="F3234" s="17"/>
      <c r="G3234" s="18">
        <v>0</v>
      </c>
      <c r="H3234" s="18">
        <v>244.2800</v>
      </c>
      <c r="I3234" s="18">
        <f ca="1">((I3233 + G3234) - H3234)</f>
        <v>0</v>
      </c>
      <c r="J3234" s="18">
        <v>0</v>
      </c>
      <c r="K3234" s="19">
        <v>0</v>
      </c>
      <c r="L3234" s="17"/>
    </row>
    <row r="3235" ht="10.95" customHeight="true" customFormat="true" s="9">
      <c r="A3235" s="16">
        <v>45422</v>
      </c>
      <c r="B3235" s="17" t="s">
        <v>578</v>
      </c>
      <c r="C3235" s="17" t="s">
        <v>572</v>
      </c>
      <c r="D3235" s="17" t="s">
        <v>19</v>
      </c>
      <c r="E3235" s="17" t="s">
        <v>428</v>
      </c>
      <c r="F3235" s="17"/>
      <c r="G3235" s="18">
        <v>0</v>
      </c>
      <c r="H3235" s="18">
        <v>224.0600</v>
      </c>
      <c r="I3235" s="18">
        <f ca="1">((I3234 + G3235) - H3235)</f>
        <v>0</v>
      </c>
      <c r="J3235" s="18">
        <v>0</v>
      </c>
      <c r="K3235" s="19">
        <v>0</v>
      </c>
      <c r="L3235" s="17"/>
    </row>
    <row r="3236" ht="10.95" customHeight="true" customFormat="true" s="9">
      <c r="A3236" s="16">
        <v>45425</v>
      </c>
      <c r="B3236" s="17" t="s">
        <v>578</v>
      </c>
      <c r="C3236" s="17" t="s">
        <v>572</v>
      </c>
      <c r="D3236" s="17" t="s">
        <v>22</v>
      </c>
      <c r="E3236" s="17" t="s">
        <v>34</v>
      </c>
      <c r="F3236" s="17"/>
      <c r="G3236" s="18">
        <v>214.5000</v>
      </c>
      <c r="H3236" s="18">
        <v>0</v>
      </c>
      <c r="I3236" s="18">
        <f ca="1">((I3235 + G3236) - H3236)</f>
        <v>0</v>
      </c>
      <c r="J3236" s="18">
        <v>0</v>
      </c>
      <c r="K3236" s="19">
        <v>0</v>
      </c>
      <c r="L3236" s="17"/>
    </row>
    <row r="3237" ht="10.95" customHeight="true" customFormat="true" s="9">
      <c r="A3237" s="16">
        <v>45425</v>
      </c>
      <c r="B3237" s="17" t="s">
        <v>578</v>
      </c>
      <c r="C3237" s="17" t="s">
        <v>572</v>
      </c>
      <c r="D3237" s="17" t="s">
        <v>19</v>
      </c>
      <c r="E3237" s="17" t="s">
        <v>24</v>
      </c>
      <c r="F3237" s="17"/>
      <c r="G3237" s="18">
        <v>0</v>
      </c>
      <c r="H3237" s="18">
        <v>13.4500</v>
      </c>
      <c r="I3237" s="18">
        <f ca="1">((I3236 + G3237) - H3237)</f>
        <v>0</v>
      </c>
      <c r="J3237" s="18">
        <v>0</v>
      </c>
      <c r="K3237" s="19">
        <v>0</v>
      </c>
      <c r="L3237" s="17"/>
    </row>
    <row r="3238" ht="10.95" customHeight="true" customFormat="true" s="9">
      <c r="A3238" s="16">
        <v>45425</v>
      </c>
      <c r="B3238" s="17" t="s">
        <v>578</v>
      </c>
      <c r="C3238" s="17" t="s">
        <v>572</v>
      </c>
      <c r="D3238" s="17" t="s">
        <v>19</v>
      </c>
      <c r="E3238" s="17" t="s">
        <v>428</v>
      </c>
      <c r="F3238" s="17"/>
      <c r="G3238" s="18">
        <v>0</v>
      </c>
      <c r="H3238" s="18">
        <v>808.3700</v>
      </c>
      <c r="I3238" s="18">
        <f ca="1">((I3237 + G3238) - H3238)</f>
        <v>0</v>
      </c>
      <c r="J3238" s="18">
        <v>0</v>
      </c>
      <c r="K3238" s="19">
        <v>0</v>
      </c>
      <c r="L3238" s="17"/>
    </row>
    <row r="3239" ht="10.95" customHeight="true" customFormat="true" s="9">
      <c r="A3239" s="16">
        <v>45425</v>
      </c>
      <c r="B3239" s="17" t="s">
        <v>578</v>
      </c>
      <c r="C3239" s="17" t="s">
        <v>572</v>
      </c>
      <c r="D3239" s="17" t="s">
        <v>19</v>
      </c>
      <c r="E3239" s="17" t="s">
        <v>428</v>
      </c>
      <c r="F3239" s="17"/>
      <c r="G3239" s="18">
        <v>0</v>
      </c>
      <c r="H3239" s="18">
        <v>558.8100</v>
      </c>
      <c r="I3239" s="18">
        <f ca="1">((I3238 + G3239) - H3239)</f>
        <v>0</v>
      </c>
      <c r="J3239" s="18">
        <v>0</v>
      </c>
      <c r="K3239" s="19">
        <v>0</v>
      </c>
      <c r="L3239" s="17"/>
    </row>
    <row r="3240" ht="10.95" customHeight="true" customFormat="true" s="9">
      <c r="A3240" s="16">
        <v>45425</v>
      </c>
      <c r="B3240" s="17" t="s">
        <v>578</v>
      </c>
      <c r="C3240" s="17" t="s">
        <v>572</v>
      </c>
      <c r="D3240" s="17" t="s">
        <v>19</v>
      </c>
      <c r="E3240" s="17" t="s">
        <v>428</v>
      </c>
      <c r="F3240" s="17"/>
      <c r="G3240" s="18">
        <v>0</v>
      </c>
      <c r="H3240" s="18">
        <v>256.7700</v>
      </c>
      <c r="I3240" s="18">
        <f ca="1">((I3239 + G3240) - H3240)</f>
        <v>0</v>
      </c>
      <c r="J3240" s="18">
        <v>0</v>
      </c>
      <c r="K3240" s="19">
        <v>0</v>
      </c>
      <c r="L3240" s="17"/>
    </row>
    <row r="3241" ht="10.95" customHeight="true" customFormat="true" s="9">
      <c r="A3241" s="16">
        <v>45425</v>
      </c>
      <c r="B3241" s="17" t="s">
        <v>578</v>
      </c>
      <c r="C3241" s="17" t="s">
        <v>572</v>
      </c>
      <c r="D3241" s="17" t="s">
        <v>22</v>
      </c>
      <c r="E3241" s="17" t="s">
        <v>430</v>
      </c>
      <c r="F3241" s="17"/>
      <c r="G3241" s="18">
        <v>220.4400</v>
      </c>
      <c r="H3241" s="18">
        <v>0</v>
      </c>
      <c r="I3241" s="18">
        <f ca="1">((I3240 + G3241) - H3241)</f>
        <v>0</v>
      </c>
      <c r="J3241" s="18">
        <v>0</v>
      </c>
      <c r="K3241" s="19">
        <v>0</v>
      </c>
      <c r="L3241" s="17"/>
    </row>
    <row r="3242" ht="10.95" customHeight="true" customFormat="true" s="9">
      <c r="A3242" s="16">
        <v>45427</v>
      </c>
      <c r="B3242" s="17" t="s">
        <v>578</v>
      </c>
      <c r="C3242" s="17" t="s">
        <v>572</v>
      </c>
      <c r="D3242" s="17" t="s">
        <v>19</v>
      </c>
      <c r="E3242" s="17" t="s">
        <v>428</v>
      </c>
      <c r="F3242" s="17"/>
      <c r="G3242" s="18">
        <v>0</v>
      </c>
      <c r="H3242" s="18">
        <v>236.3600</v>
      </c>
      <c r="I3242" s="18">
        <f ca="1">((I3241 + G3242) - H3242)</f>
        <v>0</v>
      </c>
      <c r="J3242" s="18">
        <v>0</v>
      </c>
      <c r="K3242" s="19">
        <v>0</v>
      </c>
      <c r="L3242" s="17"/>
    </row>
    <row r="3243" ht="10.95" customHeight="true" customFormat="true" s="9">
      <c r="A3243" s="16">
        <v>45428</v>
      </c>
      <c r="B3243" s="17" t="s">
        <v>578</v>
      </c>
      <c r="C3243" s="17" t="s">
        <v>572</v>
      </c>
      <c r="D3243" s="17" t="s">
        <v>19</v>
      </c>
      <c r="E3243" s="17" t="s">
        <v>428</v>
      </c>
      <c r="F3243" s="17"/>
      <c r="G3243" s="18">
        <v>0</v>
      </c>
      <c r="H3243" s="18">
        <v>195.1500</v>
      </c>
      <c r="I3243" s="18">
        <f ca="1">((I3242 + G3243) - H3243)</f>
        <v>0</v>
      </c>
      <c r="J3243" s="18">
        <v>0</v>
      </c>
      <c r="K3243" s="19">
        <v>0</v>
      </c>
      <c r="L3243" s="17"/>
    </row>
    <row r="3244" ht="10.95" customHeight="true" customFormat="true" s="9">
      <c r="A3244" s="16">
        <v>45429</v>
      </c>
      <c r="B3244" s="17" t="s">
        <v>578</v>
      </c>
      <c r="C3244" s="17" t="s">
        <v>572</v>
      </c>
      <c r="D3244" s="17" t="s">
        <v>22</v>
      </c>
      <c r="E3244" s="17" t="s">
        <v>436</v>
      </c>
      <c r="F3244" s="17"/>
      <c r="G3244" s="18">
        <v>9.8200</v>
      </c>
      <c r="H3244" s="18">
        <v>0</v>
      </c>
      <c r="I3244" s="18">
        <f ca="1">((I3243 + G3244) - H3244)</f>
        <v>0</v>
      </c>
      <c r="J3244" s="18">
        <v>0</v>
      </c>
      <c r="K3244" s="19">
        <v>0</v>
      </c>
      <c r="L3244" s="17"/>
    </row>
    <row r="3245" ht="10.95" customHeight="true" customFormat="true" s="9">
      <c r="A3245" s="16">
        <v>45429</v>
      </c>
      <c r="B3245" s="17" t="s">
        <v>578</v>
      </c>
      <c r="C3245" s="17" t="s">
        <v>572</v>
      </c>
      <c r="D3245" s="17" t="s">
        <v>19</v>
      </c>
      <c r="E3245" s="17" t="s">
        <v>428</v>
      </c>
      <c r="F3245" s="17"/>
      <c r="G3245" s="18">
        <v>0</v>
      </c>
      <c r="H3245" s="18">
        <v>221.4500</v>
      </c>
      <c r="I3245" s="18">
        <f ca="1">((I3244 + G3245) - H3245)</f>
        <v>0</v>
      </c>
      <c r="J3245" s="18">
        <v>0</v>
      </c>
      <c r="K3245" s="19">
        <v>0</v>
      </c>
      <c r="L3245" s="17"/>
    </row>
    <row r="3246" ht="10.95" customHeight="true" customFormat="true" s="9">
      <c r="A3246" s="16">
        <v>45432</v>
      </c>
      <c r="B3246" s="17" t="s">
        <v>578</v>
      </c>
      <c r="C3246" s="17" t="s">
        <v>572</v>
      </c>
      <c r="D3246" s="17" t="s">
        <v>22</v>
      </c>
      <c r="E3246" s="17" t="s">
        <v>34</v>
      </c>
      <c r="F3246" s="17"/>
      <c r="G3246" s="18">
        <v>216.3600</v>
      </c>
      <c r="H3246" s="18">
        <v>0</v>
      </c>
      <c r="I3246" s="18">
        <f ca="1">((I3245 + G3246) - H3246)</f>
        <v>0</v>
      </c>
      <c r="J3246" s="18">
        <v>0</v>
      </c>
      <c r="K3246" s="19">
        <v>0</v>
      </c>
      <c r="L3246" s="17"/>
    </row>
    <row r="3247" ht="10.95" customHeight="true" customFormat="true" s="9">
      <c r="A3247" s="16">
        <v>45432</v>
      </c>
      <c r="B3247" s="17" t="s">
        <v>578</v>
      </c>
      <c r="C3247" s="17" t="s">
        <v>572</v>
      </c>
      <c r="D3247" s="17" t="s">
        <v>19</v>
      </c>
      <c r="E3247" s="17" t="s">
        <v>428</v>
      </c>
      <c r="F3247" s="17"/>
      <c r="G3247" s="18">
        <v>0</v>
      </c>
      <c r="H3247" s="18">
        <v>298.5000</v>
      </c>
      <c r="I3247" s="18">
        <f ca="1">((I3246 + G3247) - H3247)</f>
        <v>0</v>
      </c>
      <c r="J3247" s="18">
        <v>0</v>
      </c>
      <c r="K3247" s="19">
        <v>0</v>
      </c>
      <c r="L3247" s="17"/>
    </row>
    <row r="3248" ht="10.95" customHeight="true" customFormat="true" s="9">
      <c r="A3248" s="16">
        <v>45432</v>
      </c>
      <c r="B3248" s="17" t="s">
        <v>578</v>
      </c>
      <c r="C3248" s="17" t="s">
        <v>572</v>
      </c>
      <c r="D3248" s="17" t="s">
        <v>22</v>
      </c>
      <c r="E3248" s="17" t="s">
        <v>430</v>
      </c>
      <c r="F3248" s="17"/>
      <c r="G3248" s="18">
        <v>147.5200</v>
      </c>
      <c r="H3248" s="18">
        <v>0</v>
      </c>
      <c r="I3248" s="18">
        <f ca="1">((I3247 + G3248) - H3248)</f>
        <v>0</v>
      </c>
      <c r="J3248" s="18">
        <v>0</v>
      </c>
      <c r="K3248" s="19">
        <v>0</v>
      </c>
      <c r="L3248" s="17"/>
    </row>
    <row r="3249" ht="10.95" customHeight="true" customFormat="true" s="9">
      <c r="A3249" s="16">
        <v>45432</v>
      </c>
      <c r="B3249" s="17" t="s">
        <v>578</v>
      </c>
      <c r="C3249" s="17" t="s">
        <v>572</v>
      </c>
      <c r="D3249" s="17" t="s">
        <v>19</v>
      </c>
      <c r="E3249" s="17" t="s">
        <v>24</v>
      </c>
      <c r="F3249" s="17"/>
      <c r="G3249" s="18">
        <v>0</v>
      </c>
      <c r="H3249" s="18">
        <v>18.1800</v>
      </c>
      <c r="I3249" s="18">
        <f ca="1">((I3248 + G3249) - H3249)</f>
        <v>0</v>
      </c>
      <c r="J3249" s="18">
        <v>0</v>
      </c>
      <c r="K3249" s="19">
        <v>0</v>
      </c>
      <c r="L3249" s="17"/>
    </row>
    <row r="3250" ht="10.95" customHeight="true" customFormat="true" s="9">
      <c r="A3250" s="16">
        <v>45432</v>
      </c>
      <c r="B3250" s="17" t="s">
        <v>578</v>
      </c>
      <c r="C3250" s="17" t="s">
        <v>572</v>
      </c>
      <c r="D3250" s="17" t="s">
        <v>22</v>
      </c>
      <c r="E3250" s="17" t="s">
        <v>452</v>
      </c>
      <c r="F3250" s="17"/>
      <c r="G3250" s="18">
        <v>24.0000</v>
      </c>
      <c r="H3250" s="18">
        <v>0</v>
      </c>
      <c r="I3250" s="18">
        <f ca="1">((I3249 + G3250) - H3250)</f>
        <v>0</v>
      </c>
      <c r="J3250" s="18">
        <v>0</v>
      </c>
      <c r="K3250" s="19">
        <v>0</v>
      </c>
      <c r="L3250" s="17"/>
    </row>
    <row r="3251" ht="10.95" customHeight="true" customFormat="true" s="9">
      <c r="A3251" s="16">
        <v>45432</v>
      </c>
      <c r="B3251" s="17" t="s">
        <v>578</v>
      </c>
      <c r="C3251" s="17" t="s">
        <v>572</v>
      </c>
      <c r="D3251" s="17" t="s">
        <v>19</v>
      </c>
      <c r="E3251" s="17" t="s">
        <v>428</v>
      </c>
      <c r="F3251" s="17"/>
      <c r="G3251" s="18">
        <v>0</v>
      </c>
      <c r="H3251" s="18">
        <v>512.3500</v>
      </c>
      <c r="I3251" s="18">
        <f ca="1">((I3250 + G3251) - H3251)</f>
        <v>0</v>
      </c>
      <c r="J3251" s="18">
        <v>0</v>
      </c>
      <c r="K3251" s="19">
        <v>0</v>
      </c>
      <c r="L3251" s="17"/>
    </row>
    <row r="3252" ht="10.95" customHeight="true" customFormat="true" s="9">
      <c r="A3252" s="16">
        <v>45432</v>
      </c>
      <c r="B3252" s="17" t="s">
        <v>578</v>
      </c>
      <c r="C3252" s="17" t="s">
        <v>572</v>
      </c>
      <c r="D3252" s="17" t="s">
        <v>19</v>
      </c>
      <c r="E3252" s="17" t="s">
        <v>428</v>
      </c>
      <c r="F3252" s="17"/>
      <c r="G3252" s="18">
        <v>0</v>
      </c>
      <c r="H3252" s="18">
        <v>563.8600</v>
      </c>
      <c r="I3252" s="18">
        <f ca="1">((I3251 + G3252) - H3252)</f>
        <v>0</v>
      </c>
      <c r="J3252" s="18">
        <v>0</v>
      </c>
      <c r="K3252" s="19">
        <v>0</v>
      </c>
      <c r="L3252" s="17"/>
    </row>
    <row r="3253" ht="10.95" customHeight="true" customFormat="true" s="9">
      <c r="A3253" s="16">
        <v>45432</v>
      </c>
      <c r="B3253" s="17" t="s">
        <v>578</v>
      </c>
      <c r="C3253" s="17" t="s">
        <v>572</v>
      </c>
      <c r="D3253" s="17" t="s">
        <v>22</v>
      </c>
      <c r="E3253" s="17" t="s">
        <v>583</v>
      </c>
      <c r="F3253" s="17"/>
      <c r="G3253" s="18">
        <v>4014.0000</v>
      </c>
      <c r="H3253" s="18">
        <v>0</v>
      </c>
      <c r="I3253" s="18">
        <f ca="1">((I3252 + G3253) - H3253)</f>
        <v>0</v>
      </c>
      <c r="J3253" s="18">
        <v>0</v>
      </c>
      <c r="K3253" s="19">
        <v>0</v>
      </c>
      <c r="L3253" s="17" t="s">
        <v>28</v>
      </c>
    </row>
    <row r="3254" ht="10.95" customHeight="true" customFormat="true" s="9">
      <c r="A3254" s="16">
        <v>45432</v>
      </c>
      <c r="B3254" s="17" t="s">
        <v>578</v>
      </c>
      <c r="C3254" s="17" t="s">
        <v>572</v>
      </c>
      <c r="D3254" s="17" t="s">
        <v>22</v>
      </c>
      <c r="E3254" s="17" t="s">
        <v>430</v>
      </c>
      <c r="F3254" s="17"/>
      <c r="G3254" s="18">
        <v>163.1400</v>
      </c>
      <c r="H3254" s="18">
        <v>0</v>
      </c>
      <c r="I3254" s="18">
        <f ca="1">((I3253 + G3254) - H3254)</f>
        <v>0</v>
      </c>
      <c r="J3254" s="18">
        <v>0</v>
      </c>
      <c r="K3254" s="19">
        <v>0</v>
      </c>
      <c r="L3254" s="17"/>
    </row>
    <row r="3255" ht="10.95" customHeight="true" customFormat="true" s="9">
      <c r="A3255" s="16">
        <v>45434</v>
      </c>
      <c r="B3255" s="17" t="s">
        <v>578</v>
      </c>
      <c r="C3255" s="17" t="s">
        <v>572</v>
      </c>
      <c r="D3255" s="17" t="s">
        <v>19</v>
      </c>
      <c r="E3255" s="17" t="s">
        <v>428</v>
      </c>
      <c r="F3255" s="17"/>
      <c r="G3255" s="18">
        <v>0</v>
      </c>
      <c r="H3255" s="18">
        <v>205.6300</v>
      </c>
      <c r="I3255" s="18">
        <f ca="1">((I3254 + G3255) - H3255)</f>
        <v>0</v>
      </c>
      <c r="J3255" s="18">
        <v>0</v>
      </c>
      <c r="K3255" s="19">
        <v>0</v>
      </c>
      <c r="L3255" s="17"/>
    </row>
    <row r="3256" ht="10.95" customHeight="true" customFormat="true" s="9">
      <c r="A3256" s="16">
        <v>45435</v>
      </c>
      <c r="B3256" s="17" t="s">
        <v>578</v>
      </c>
      <c r="C3256" s="17" t="s">
        <v>572</v>
      </c>
      <c r="D3256" s="17" t="s">
        <v>19</v>
      </c>
      <c r="E3256" s="17" t="s">
        <v>428</v>
      </c>
      <c r="F3256" s="17"/>
      <c r="G3256" s="18">
        <v>0</v>
      </c>
      <c r="H3256" s="18">
        <v>194.0000</v>
      </c>
      <c r="I3256" s="18">
        <f ca="1">((I3255 + G3256) - H3256)</f>
        <v>0</v>
      </c>
      <c r="J3256" s="18">
        <v>0</v>
      </c>
      <c r="K3256" s="19">
        <v>0</v>
      </c>
      <c r="L3256" s="17"/>
    </row>
    <row r="3257" ht="10.95" customHeight="true" customFormat="true" s="9">
      <c r="A3257" s="16">
        <v>45435</v>
      </c>
      <c r="B3257" s="17" t="s">
        <v>578</v>
      </c>
      <c r="C3257" s="17" t="s">
        <v>572</v>
      </c>
      <c r="D3257" s="17" t="s">
        <v>22</v>
      </c>
      <c r="E3257" s="17" t="s">
        <v>430</v>
      </c>
      <c r="F3257" s="17"/>
      <c r="G3257" s="18">
        <v>160.4500</v>
      </c>
      <c r="H3257" s="18">
        <v>0</v>
      </c>
      <c r="I3257" s="18">
        <f ca="1">((I3256 + G3257) - H3257)</f>
        <v>0</v>
      </c>
      <c r="J3257" s="18">
        <v>0</v>
      </c>
      <c r="K3257" s="19">
        <v>0</v>
      </c>
      <c r="L3257" s="17"/>
    </row>
    <row r="3258" ht="10.95" customHeight="true" customFormat="true" s="9">
      <c r="A3258" s="16">
        <v>45436</v>
      </c>
      <c r="B3258" s="17" t="s">
        <v>578</v>
      </c>
      <c r="C3258" s="17" t="s">
        <v>572</v>
      </c>
      <c r="D3258" s="17" t="s">
        <v>22</v>
      </c>
      <c r="E3258" s="17" t="s">
        <v>430</v>
      </c>
      <c r="F3258" s="17"/>
      <c r="G3258" s="18">
        <v>197.5400</v>
      </c>
      <c r="H3258" s="18">
        <v>0</v>
      </c>
      <c r="I3258" s="18">
        <f ca="1">((I3257 + G3258) - H3258)</f>
        <v>0</v>
      </c>
      <c r="J3258" s="18">
        <v>0</v>
      </c>
      <c r="K3258" s="19">
        <v>0</v>
      </c>
      <c r="L3258" s="17"/>
    </row>
    <row r="3259" ht="10.95" customHeight="true" customFormat="true" s="9">
      <c r="A3259" s="16">
        <v>45436</v>
      </c>
      <c r="B3259" s="17" t="s">
        <v>578</v>
      </c>
      <c r="C3259" s="17" t="s">
        <v>572</v>
      </c>
      <c r="D3259" s="17" t="s">
        <v>22</v>
      </c>
      <c r="E3259" s="17" t="s">
        <v>442</v>
      </c>
      <c r="F3259" s="17"/>
      <c r="G3259" s="18">
        <v>16.7200</v>
      </c>
      <c r="H3259" s="18">
        <v>0</v>
      </c>
      <c r="I3259" s="18">
        <f ca="1">((I3258 + G3259) - H3259)</f>
        <v>0</v>
      </c>
      <c r="J3259" s="18">
        <v>0</v>
      </c>
      <c r="K3259" s="19">
        <v>0</v>
      </c>
      <c r="L3259" s="17"/>
    </row>
    <row r="3260" ht="10.95" customHeight="true" customFormat="true" s="9">
      <c r="A3260" s="16">
        <v>45436</v>
      </c>
      <c r="B3260" s="17" t="s">
        <v>578</v>
      </c>
      <c r="C3260" s="17" t="s">
        <v>572</v>
      </c>
      <c r="D3260" s="17" t="s">
        <v>19</v>
      </c>
      <c r="E3260" s="17" t="s">
        <v>428</v>
      </c>
      <c r="F3260" s="17"/>
      <c r="G3260" s="18">
        <v>0</v>
      </c>
      <c r="H3260" s="18">
        <v>248.2600</v>
      </c>
      <c r="I3260" s="18">
        <f ca="1">((I3259 + G3260) - H3260)</f>
        <v>0</v>
      </c>
      <c r="J3260" s="18">
        <v>0</v>
      </c>
      <c r="K3260" s="19">
        <v>0</v>
      </c>
      <c r="L3260" s="17"/>
    </row>
    <row r="3261" ht="10.95" customHeight="true" customFormat="true" s="9">
      <c r="A3261" s="16">
        <v>45439</v>
      </c>
      <c r="B3261" s="17" t="s">
        <v>578</v>
      </c>
      <c r="C3261" s="17" t="s">
        <v>572</v>
      </c>
      <c r="D3261" s="17" t="s">
        <v>19</v>
      </c>
      <c r="E3261" s="17" t="s">
        <v>428</v>
      </c>
      <c r="F3261" s="17"/>
      <c r="G3261" s="18">
        <v>0</v>
      </c>
      <c r="H3261" s="18">
        <v>599.6400</v>
      </c>
      <c r="I3261" s="18">
        <f ca="1">((I3260 + G3261) - H3261)</f>
        <v>0</v>
      </c>
      <c r="J3261" s="18">
        <v>0</v>
      </c>
      <c r="K3261" s="19">
        <v>0</v>
      </c>
      <c r="L3261" s="17"/>
    </row>
    <row r="3262" ht="10.95" customHeight="true" customFormat="true" s="9">
      <c r="A3262" s="16">
        <v>45439</v>
      </c>
      <c r="B3262" s="17" t="s">
        <v>578</v>
      </c>
      <c r="C3262" s="17" t="s">
        <v>572</v>
      </c>
      <c r="D3262" s="17" t="s">
        <v>19</v>
      </c>
      <c r="E3262" s="17" t="s">
        <v>428</v>
      </c>
      <c r="F3262" s="17"/>
      <c r="G3262" s="18">
        <v>0</v>
      </c>
      <c r="H3262" s="18">
        <v>306.0400</v>
      </c>
      <c r="I3262" s="18">
        <f ca="1">((I3261 + G3262) - H3262)</f>
        <v>0</v>
      </c>
      <c r="J3262" s="18">
        <v>0</v>
      </c>
      <c r="K3262" s="19">
        <v>0</v>
      </c>
      <c r="L3262" s="17"/>
    </row>
    <row r="3263" ht="10.95" customHeight="true" customFormat="true" s="9">
      <c r="A3263" s="16">
        <v>45439</v>
      </c>
      <c r="B3263" s="17" t="s">
        <v>578</v>
      </c>
      <c r="C3263" s="17" t="s">
        <v>572</v>
      </c>
      <c r="D3263" s="17" t="s">
        <v>22</v>
      </c>
      <c r="E3263" s="17" t="s">
        <v>34</v>
      </c>
      <c r="F3263" s="17"/>
      <c r="G3263" s="18">
        <v>272.2700</v>
      </c>
      <c r="H3263" s="18">
        <v>0</v>
      </c>
      <c r="I3263" s="18">
        <f ca="1">((I3262 + G3263) - H3263)</f>
        <v>0</v>
      </c>
      <c r="J3263" s="18">
        <v>0</v>
      </c>
      <c r="K3263" s="19">
        <v>0</v>
      </c>
      <c r="L3263" s="17"/>
    </row>
    <row r="3264" ht="10.95" customHeight="true" customFormat="true" s="9">
      <c r="A3264" s="16">
        <v>45439</v>
      </c>
      <c r="B3264" s="17" t="s">
        <v>578</v>
      </c>
      <c r="C3264" s="17" t="s">
        <v>572</v>
      </c>
      <c r="D3264" s="17" t="s">
        <v>19</v>
      </c>
      <c r="E3264" s="17" t="s">
        <v>428</v>
      </c>
      <c r="F3264" s="17"/>
      <c r="G3264" s="18">
        <v>0</v>
      </c>
      <c r="H3264" s="18">
        <v>509.6000</v>
      </c>
      <c r="I3264" s="18">
        <f ca="1">((I3263 + G3264) - H3264)</f>
        <v>0</v>
      </c>
      <c r="J3264" s="18">
        <v>0</v>
      </c>
      <c r="K3264" s="19">
        <v>0</v>
      </c>
      <c r="L3264" s="17"/>
    </row>
    <row r="3265" ht="10.95" customHeight="true" customFormat="true" s="9">
      <c r="A3265" s="16">
        <v>45440</v>
      </c>
      <c r="B3265" s="17" t="s">
        <v>578</v>
      </c>
      <c r="C3265" s="17" t="s">
        <v>572</v>
      </c>
      <c r="D3265" s="17" t="s">
        <v>19</v>
      </c>
      <c r="E3265" s="17" t="s">
        <v>24</v>
      </c>
      <c r="F3265" s="17"/>
      <c r="G3265" s="18">
        <v>0</v>
      </c>
      <c r="H3265" s="18">
        <v>20.9100</v>
      </c>
      <c r="I3265" s="18">
        <f ca="1">((I3264 + G3265) - H3265)</f>
        <v>0</v>
      </c>
      <c r="J3265" s="18">
        <v>0</v>
      </c>
      <c r="K3265" s="19">
        <v>0</v>
      </c>
      <c r="L3265" s="17"/>
    </row>
    <row r="3266" ht="10.95" customHeight="true" customFormat="true" s="9">
      <c r="A3266" s="16">
        <v>45441</v>
      </c>
      <c r="B3266" s="17" t="s">
        <v>578</v>
      </c>
      <c r="C3266" s="17" t="s">
        <v>572</v>
      </c>
      <c r="D3266" s="17" t="s">
        <v>22</v>
      </c>
      <c r="E3266" s="17" t="s">
        <v>430</v>
      </c>
      <c r="F3266" s="17"/>
      <c r="G3266" s="18">
        <v>148.0800</v>
      </c>
      <c r="H3266" s="18">
        <v>0</v>
      </c>
      <c r="I3266" s="18">
        <f ca="1">((I3265 + G3266) - H3266)</f>
        <v>0</v>
      </c>
      <c r="J3266" s="18">
        <v>0</v>
      </c>
      <c r="K3266" s="19">
        <v>0</v>
      </c>
      <c r="L3266" s="17"/>
    </row>
    <row r="3267" ht="10.95" customHeight="true" customFormat="true" s="9">
      <c r="A3267" s="16">
        <v>45441</v>
      </c>
      <c r="B3267" s="17" t="s">
        <v>578</v>
      </c>
      <c r="C3267" s="17" t="s">
        <v>572</v>
      </c>
      <c r="D3267" s="17" t="s">
        <v>19</v>
      </c>
      <c r="E3267" s="17" t="s">
        <v>428</v>
      </c>
      <c r="F3267" s="17"/>
      <c r="G3267" s="18">
        <v>0</v>
      </c>
      <c r="H3267" s="18">
        <v>221.6100</v>
      </c>
      <c r="I3267" s="18">
        <f ca="1">((I3266 + G3267) - H3267)</f>
        <v>0</v>
      </c>
      <c r="J3267" s="18">
        <v>0</v>
      </c>
      <c r="K3267" s="19">
        <v>0</v>
      </c>
      <c r="L3267" s="17"/>
    </row>
    <row r="3268" ht="10.95" customHeight="true" customFormat="true" s="9">
      <c r="A3268" s="16">
        <v>45442</v>
      </c>
      <c r="B3268" s="17" t="s">
        <v>578</v>
      </c>
      <c r="C3268" s="17" t="s">
        <v>572</v>
      </c>
      <c r="D3268" s="17" t="s">
        <v>19</v>
      </c>
      <c r="E3268" s="17" t="s">
        <v>428</v>
      </c>
      <c r="F3268" s="17"/>
      <c r="G3268" s="18">
        <v>0</v>
      </c>
      <c r="H3268" s="18">
        <v>224.1300</v>
      </c>
      <c r="I3268" s="18">
        <f ca="1">((I3267 + G3268) - H3268)</f>
        <v>0</v>
      </c>
      <c r="J3268" s="18">
        <v>0</v>
      </c>
      <c r="K3268" s="19">
        <v>0</v>
      </c>
      <c r="L3268" s="17"/>
    </row>
    <row r="3269" ht="10.95" customHeight="true" customFormat="true" s="9">
      <c r="A3269" s="16">
        <v>45443</v>
      </c>
      <c r="B3269" s="17" t="s">
        <v>578</v>
      </c>
      <c r="C3269" s="17" t="s">
        <v>572</v>
      </c>
      <c r="D3269" s="17" t="s">
        <v>19</v>
      </c>
      <c r="E3269" s="17" t="s">
        <v>428</v>
      </c>
      <c r="F3269" s="17"/>
      <c r="G3269" s="18">
        <v>0</v>
      </c>
      <c r="H3269" s="18">
        <v>312.5600</v>
      </c>
      <c r="I3269" s="18">
        <f ca="1">((I3268 + G3269) - H3269)</f>
        <v>0</v>
      </c>
      <c r="J3269" s="18">
        <v>0</v>
      </c>
      <c r="K3269" s="19">
        <v>0</v>
      </c>
      <c r="L3269" s="17"/>
    </row>
    <row r="3270" ht="10.95" customHeight="true" customFormat="true" s="9">
      <c r="A3270" s="16">
        <v>45446</v>
      </c>
      <c r="B3270" s="17" t="s">
        <v>578</v>
      </c>
      <c r="C3270" s="17" t="s">
        <v>572</v>
      </c>
      <c r="D3270" s="17" t="s">
        <v>19</v>
      </c>
      <c r="E3270" s="17" t="s">
        <v>428</v>
      </c>
      <c r="F3270" s="17"/>
      <c r="G3270" s="18">
        <v>0</v>
      </c>
      <c r="H3270" s="18">
        <v>496.4400</v>
      </c>
      <c r="I3270" s="18">
        <f ca="1">((I3269 + G3270) - H3270)</f>
        <v>0</v>
      </c>
      <c r="J3270" s="18">
        <v>0</v>
      </c>
      <c r="K3270" s="19">
        <v>0</v>
      </c>
      <c r="L3270" s="17"/>
    </row>
    <row r="3271" ht="10.95" customHeight="true" customFormat="true" s="9">
      <c r="A3271" s="16">
        <v>45446</v>
      </c>
      <c r="B3271" s="17" t="s">
        <v>578</v>
      </c>
      <c r="C3271" s="17" t="s">
        <v>572</v>
      </c>
      <c r="D3271" s="17" t="s">
        <v>22</v>
      </c>
      <c r="E3271" s="17" t="s">
        <v>430</v>
      </c>
      <c r="F3271" s="17"/>
      <c r="G3271" s="18">
        <v>36.3000</v>
      </c>
      <c r="H3271" s="18">
        <v>0</v>
      </c>
      <c r="I3271" s="18">
        <f ca="1">((I3270 + G3271) - H3271)</f>
        <v>0</v>
      </c>
      <c r="J3271" s="18">
        <v>0</v>
      </c>
      <c r="K3271" s="19">
        <v>0</v>
      </c>
      <c r="L3271" s="17"/>
    </row>
    <row r="3272" ht="10.95" customHeight="true" customFormat="true" s="9">
      <c r="A3272" s="16">
        <v>45446</v>
      </c>
      <c r="B3272" s="17" t="s">
        <v>578</v>
      </c>
      <c r="C3272" s="17" t="s">
        <v>572</v>
      </c>
      <c r="D3272" s="17" t="s">
        <v>22</v>
      </c>
      <c r="E3272" s="17" t="s">
        <v>430</v>
      </c>
      <c r="F3272" s="17"/>
      <c r="G3272" s="18">
        <v>199.2200</v>
      </c>
      <c r="H3272" s="18">
        <v>0</v>
      </c>
      <c r="I3272" s="18">
        <f ca="1">((I3271 + G3272) - H3272)</f>
        <v>0</v>
      </c>
      <c r="J3272" s="18">
        <v>0</v>
      </c>
      <c r="K3272" s="19">
        <v>0</v>
      </c>
      <c r="L3272" s="17"/>
    </row>
    <row r="3273" ht="10.95" customHeight="true" customFormat="true" s="9">
      <c r="A3273" s="16">
        <v>45446</v>
      </c>
      <c r="B3273" s="17" t="s">
        <v>578</v>
      </c>
      <c r="C3273" s="17" t="s">
        <v>572</v>
      </c>
      <c r="D3273" s="17" t="s">
        <v>19</v>
      </c>
      <c r="E3273" s="17" t="s">
        <v>428</v>
      </c>
      <c r="F3273" s="17"/>
      <c r="G3273" s="18">
        <v>0</v>
      </c>
      <c r="H3273" s="18">
        <v>519.4000</v>
      </c>
      <c r="I3273" s="18">
        <f ca="1">((I3272 + G3273) - H3273)</f>
        <v>0</v>
      </c>
      <c r="J3273" s="18">
        <v>0</v>
      </c>
      <c r="K3273" s="19">
        <v>0</v>
      </c>
      <c r="L3273" s="17"/>
    </row>
    <row r="3274" ht="10.95" customHeight="true" customFormat="true" s="9">
      <c r="A3274" s="16">
        <v>45446</v>
      </c>
      <c r="B3274" s="17" t="s">
        <v>578</v>
      </c>
      <c r="C3274" s="17" t="s">
        <v>572</v>
      </c>
      <c r="D3274" s="17" t="s">
        <v>22</v>
      </c>
      <c r="E3274" s="17" t="s">
        <v>430</v>
      </c>
      <c r="F3274" s="17"/>
      <c r="G3274" s="18">
        <v>37.4800</v>
      </c>
      <c r="H3274" s="18">
        <v>0</v>
      </c>
      <c r="I3274" s="18">
        <f ca="1">((I3273 + G3274) - H3274)</f>
        <v>0</v>
      </c>
      <c r="J3274" s="18">
        <v>0</v>
      </c>
      <c r="K3274" s="19">
        <v>0</v>
      </c>
      <c r="L3274" s="17"/>
    </row>
    <row r="3275" ht="10.95" customHeight="true" customFormat="true" s="9">
      <c r="A3275" s="16">
        <v>45446</v>
      </c>
      <c r="B3275" s="17" t="s">
        <v>578</v>
      </c>
      <c r="C3275" s="17" t="s">
        <v>572</v>
      </c>
      <c r="D3275" s="17" t="s">
        <v>19</v>
      </c>
      <c r="E3275" s="17" t="s">
        <v>428</v>
      </c>
      <c r="F3275" s="17"/>
      <c r="G3275" s="18">
        <v>0</v>
      </c>
      <c r="H3275" s="18">
        <v>279.5800</v>
      </c>
      <c r="I3275" s="18">
        <f ca="1">((I3274 + G3275) - H3275)</f>
        <v>0</v>
      </c>
      <c r="J3275" s="18">
        <v>0</v>
      </c>
      <c r="K3275" s="19">
        <v>0</v>
      </c>
      <c r="L3275" s="17"/>
    </row>
    <row r="3276" ht="10.95" customHeight="true" customFormat="true" s="9">
      <c r="A3276" s="16">
        <v>45446</v>
      </c>
      <c r="B3276" s="17" t="s">
        <v>578</v>
      </c>
      <c r="C3276" s="17" t="s">
        <v>572</v>
      </c>
      <c r="D3276" s="17" t="s">
        <v>22</v>
      </c>
      <c r="E3276" s="17" t="s">
        <v>34</v>
      </c>
      <c r="F3276" s="17"/>
      <c r="G3276" s="18">
        <v>271.0000</v>
      </c>
      <c r="H3276" s="18">
        <v>0</v>
      </c>
      <c r="I3276" s="18">
        <f ca="1">((I3275 + G3276) - H3276)</f>
        <v>0</v>
      </c>
      <c r="J3276" s="18">
        <v>0</v>
      </c>
      <c r="K3276" s="19">
        <v>0</v>
      </c>
      <c r="L3276" s="17"/>
    </row>
    <row r="3277" ht="10.95" customHeight="true" customFormat="true" s="9">
      <c r="A3277" s="16">
        <v>45447</v>
      </c>
      <c r="B3277" s="17" t="s">
        <v>578</v>
      </c>
      <c r="C3277" s="17" t="s">
        <v>572</v>
      </c>
      <c r="D3277" s="17" t="s">
        <v>22</v>
      </c>
      <c r="E3277" s="17" t="s">
        <v>430</v>
      </c>
      <c r="F3277" s="17"/>
      <c r="G3277" s="18">
        <v>171.3200</v>
      </c>
      <c r="H3277" s="18">
        <v>0</v>
      </c>
      <c r="I3277" s="18">
        <f ca="1">((I3276 + G3277) - H3277)</f>
        <v>0</v>
      </c>
      <c r="J3277" s="18">
        <v>0</v>
      </c>
      <c r="K3277" s="19">
        <v>0</v>
      </c>
      <c r="L3277" s="17"/>
    </row>
    <row r="3278" ht="10.95" customHeight="true" customFormat="true" s="9">
      <c r="A3278" s="16">
        <v>45447</v>
      </c>
      <c r="B3278" s="17" t="s">
        <v>578</v>
      </c>
      <c r="C3278" s="17" t="s">
        <v>572</v>
      </c>
      <c r="D3278" s="17" t="s">
        <v>19</v>
      </c>
      <c r="E3278" s="17" t="s">
        <v>24</v>
      </c>
      <c r="F3278" s="17"/>
      <c r="G3278" s="18">
        <v>0</v>
      </c>
      <c r="H3278" s="18">
        <v>20.0000</v>
      </c>
      <c r="I3278" s="18">
        <f ca="1">((I3277 + G3278) - H3278)</f>
        <v>0</v>
      </c>
      <c r="J3278" s="18">
        <v>0</v>
      </c>
      <c r="K3278" s="19">
        <v>0</v>
      </c>
      <c r="L3278" s="17"/>
    </row>
    <row r="3279" ht="10.95" customHeight="true" customFormat="true" s="9">
      <c r="A3279" s="16">
        <v>45448</v>
      </c>
      <c r="B3279" s="17" t="s">
        <v>578</v>
      </c>
      <c r="C3279" s="17" t="s">
        <v>572</v>
      </c>
      <c r="D3279" s="17" t="s">
        <v>22</v>
      </c>
      <c r="E3279" s="17" t="s">
        <v>438</v>
      </c>
      <c r="F3279" s="17"/>
      <c r="G3279" s="18">
        <v>0.8200</v>
      </c>
      <c r="H3279" s="18">
        <v>0</v>
      </c>
      <c r="I3279" s="18">
        <f ca="1">((I3278 + G3279) - H3279)</f>
        <v>0</v>
      </c>
      <c r="J3279" s="18">
        <v>0</v>
      </c>
      <c r="K3279" s="19">
        <v>0</v>
      </c>
      <c r="L3279" s="17"/>
    </row>
    <row r="3280" ht="10.95" customHeight="true" customFormat="true" s="9">
      <c r="A3280" s="16">
        <v>45448</v>
      </c>
      <c r="B3280" s="17" t="s">
        <v>578</v>
      </c>
      <c r="C3280" s="17" t="s">
        <v>572</v>
      </c>
      <c r="D3280" s="17" t="s">
        <v>19</v>
      </c>
      <c r="E3280" s="17" t="s">
        <v>428</v>
      </c>
      <c r="F3280" s="17"/>
      <c r="G3280" s="18">
        <v>0</v>
      </c>
      <c r="H3280" s="18">
        <v>227.9100</v>
      </c>
      <c r="I3280" s="18">
        <f ca="1">((I3279 + G3280) - H3280)</f>
        <v>0</v>
      </c>
      <c r="J3280" s="18">
        <v>0</v>
      </c>
      <c r="K3280" s="19">
        <v>0</v>
      </c>
      <c r="L3280" s="17"/>
    </row>
    <row r="3281" ht="10.95" customHeight="true" customFormat="true" s="9">
      <c r="A3281" s="16">
        <v>45449</v>
      </c>
      <c r="B3281" s="17" t="s">
        <v>578</v>
      </c>
      <c r="C3281" s="17" t="s">
        <v>572</v>
      </c>
      <c r="D3281" s="17" t="s">
        <v>19</v>
      </c>
      <c r="E3281" s="17" t="s">
        <v>428</v>
      </c>
      <c r="F3281" s="17"/>
      <c r="G3281" s="18">
        <v>0</v>
      </c>
      <c r="H3281" s="18">
        <v>252.4500</v>
      </c>
      <c r="I3281" s="18">
        <f ca="1">((I3280 + G3281) - H3281)</f>
        <v>0</v>
      </c>
      <c r="J3281" s="18">
        <v>0</v>
      </c>
      <c r="K3281" s="19">
        <v>0</v>
      </c>
      <c r="L3281" s="17"/>
    </row>
    <row r="3282" ht="10.95" customHeight="true" customFormat="true" s="9">
      <c r="A3282" s="16">
        <v>45450</v>
      </c>
      <c r="B3282" s="17" t="s">
        <v>578</v>
      </c>
      <c r="C3282" s="17" t="s">
        <v>572</v>
      </c>
      <c r="D3282" s="17" t="s">
        <v>19</v>
      </c>
      <c r="E3282" s="17" t="s">
        <v>428</v>
      </c>
      <c r="F3282" s="17"/>
      <c r="G3282" s="18">
        <v>0</v>
      </c>
      <c r="H3282" s="18">
        <v>180.3300</v>
      </c>
      <c r="I3282" s="18">
        <f ca="1">((I3281 + G3282) - H3282)</f>
        <v>0</v>
      </c>
      <c r="J3282" s="18">
        <v>0</v>
      </c>
      <c r="K3282" s="19">
        <v>0</v>
      </c>
      <c r="L3282" s="17"/>
    </row>
    <row r="3283" ht="10.95" customHeight="true" customFormat="true" s="9">
      <c r="A3283" s="16">
        <v>45453</v>
      </c>
      <c r="B3283" s="17" t="s">
        <v>578</v>
      </c>
      <c r="C3283" s="17" t="s">
        <v>572</v>
      </c>
      <c r="D3283" s="17" t="s">
        <v>22</v>
      </c>
      <c r="E3283" s="17" t="s">
        <v>34</v>
      </c>
      <c r="F3283" s="17"/>
      <c r="G3283" s="18">
        <v>235.4500</v>
      </c>
      <c r="H3283" s="18">
        <v>0</v>
      </c>
      <c r="I3283" s="18">
        <f ca="1">((I3282 + G3283) - H3283)</f>
        <v>0</v>
      </c>
      <c r="J3283" s="18">
        <v>0</v>
      </c>
      <c r="K3283" s="19">
        <v>0</v>
      </c>
      <c r="L3283" s="17"/>
    </row>
    <row r="3284" ht="10.95" customHeight="true" customFormat="true" s="9">
      <c r="A3284" s="16">
        <v>45453</v>
      </c>
      <c r="B3284" s="17" t="s">
        <v>578</v>
      </c>
      <c r="C3284" s="17" t="s">
        <v>572</v>
      </c>
      <c r="D3284" s="17" t="s">
        <v>22</v>
      </c>
      <c r="E3284" s="17" t="s">
        <v>430</v>
      </c>
      <c r="F3284" s="17"/>
      <c r="G3284" s="18">
        <v>224.0600</v>
      </c>
      <c r="H3284" s="18">
        <v>0</v>
      </c>
      <c r="I3284" s="18">
        <f ca="1">((I3283 + G3284) - H3284)</f>
        <v>0</v>
      </c>
      <c r="J3284" s="18">
        <v>0</v>
      </c>
      <c r="K3284" s="19">
        <v>0</v>
      </c>
      <c r="L3284" s="17"/>
    </row>
    <row r="3285" ht="10.95" customHeight="true" customFormat="true" s="9">
      <c r="A3285" s="16">
        <v>45454</v>
      </c>
      <c r="B3285" s="17" t="s">
        <v>578</v>
      </c>
      <c r="C3285" s="17" t="s">
        <v>572</v>
      </c>
      <c r="D3285" s="17" t="s">
        <v>19</v>
      </c>
      <c r="E3285" s="17" t="s">
        <v>428</v>
      </c>
      <c r="F3285" s="17"/>
      <c r="G3285" s="18">
        <v>0</v>
      </c>
      <c r="H3285" s="18">
        <v>559.8800</v>
      </c>
      <c r="I3285" s="18">
        <f ca="1">((I3284 + G3285) - H3285)</f>
        <v>0</v>
      </c>
      <c r="J3285" s="18">
        <v>0</v>
      </c>
      <c r="K3285" s="19">
        <v>0</v>
      </c>
      <c r="L3285" s="17"/>
    </row>
    <row r="3286" ht="10.95" customHeight="true" customFormat="true" s="9">
      <c r="A3286" s="16">
        <v>45454</v>
      </c>
      <c r="B3286" s="17" t="s">
        <v>578</v>
      </c>
      <c r="C3286" s="17" t="s">
        <v>572</v>
      </c>
      <c r="D3286" s="17" t="s">
        <v>19</v>
      </c>
      <c r="E3286" s="17" t="s">
        <v>428</v>
      </c>
      <c r="F3286" s="17"/>
      <c r="G3286" s="18">
        <v>0</v>
      </c>
      <c r="H3286" s="18">
        <v>282.5000</v>
      </c>
      <c r="I3286" s="18">
        <f ca="1">((I3285 + G3286) - H3286)</f>
        <v>0</v>
      </c>
      <c r="J3286" s="18">
        <v>0</v>
      </c>
      <c r="K3286" s="19">
        <v>0</v>
      </c>
      <c r="L3286" s="17"/>
    </row>
    <row r="3287" ht="10.95" customHeight="true" customFormat="true" s="9">
      <c r="A3287" s="16">
        <v>45454</v>
      </c>
      <c r="B3287" s="17" t="s">
        <v>578</v>
      </c>
      <c r="C3287" s="17" t="s">
        <v>572</v>
      </c>
      <c r="D3287" s="17" t="s">
        <v>19</v>
      </c>
      <c r="E3287" s="17" t="s">
        <v>428</v>
      </c>
      <c r="F3287" s="17"/>
      <c r="G3287" s="18">
        <v>0</v>
      </c>
      <c r="H3287" s="18">
        <v>508.7900</v>
      </c>
      <c r="I3287" s="18">
        <f ca="1">((I3286 + G3287) - H3287)</f>
        <v>0</v>
      </c>
      <c r="J3287" s="18">
        <v>0</v>
      </c>
      <c r="K3287" s="19">
        <v>0</v>
      </c>
      <c r="L3287" s="17"/>
    </row>
    <row r="3288" ht="10.95" customHeight="true" customFormat="true" s="9">
      <c r="A3288" s="16">
        <v>45454</v>
      </c>
      <c r="B3288" s="17" t="s">
        <v>578</v>
      </c>
      <c r="C3288" s="17" t="s">
        <v>572</v>
      </c>
      <c r="D3288" s="17" t="s">
        <v>22</v>
      </c>
      <c r="E3288" s="17" t="s">
        <v>298</v>
      </c>
      <c r="F3288" s="17"/>
      <c r="G3288" s="18">
        <v>1166.6700</v>
      </c>
      <c r="H3288" s="18">
        <v>0</v>
      </c>
      <c r="I3288" s="18">
        <f ca="1">((I3287 + G3288) - H3288)</f>
        <v>0</v>
      </c>
      <c r="J3288" s="18">
        <v>0</v>
      </c>
      <c r="K3288" s="19">
        <v>0</v>
      </c>
      <c r="L3288" s="17"/>
    </row>
    <row r="3289" ht="10.95" customHeight="true" customFormat="true" s="9">
      <c r="A3289" s="16">
        <v>45454</v>
      </c>
      <c r="B3289" s="17" t="s">
        <v>578</v>
      </c>
      <c r="C3289" s="17" t="s">
        <v>572</v>
      </c>
      <c r="D3289" s="17" t="s">
        <v>19</v>
      </c>
      <c r="E3289" s="17" t="s">
        <v>24</v>
      </c>
      <c r="F3289" s="17"/>
      <c r="G3289" s="18">
        <v>0</v>
      </c>
      <c r="H3289" s="18">
        <v>14.0900</v>
      </c>
      <c r="I3289" s="18">
        <f ca="1">((I3288 + G3289) - H3289)</f>
        <v>0</v>
      </c>
      <c r="J3289" s="18">
        <v>0</v>
      </c>
      <c r="K3289" s="19">
        <v>0</v>
      </c>
      <c r="L3289" s="17"/>
    </row>
    <row r="3290" ht="10.95" customHeight="true" customFormat="true" s="9">
      <c r="A3290" s="16">
        <v>45454</v>
      </c>
      <c r="B3290" s="17" t="s">
        <v>578</v>
      </c>
      <c r="C3290" s="17" t="s">
        <v>572</v>
      </c>
      <c r="D3290" s="17" t="s">
        <v>22</v>
      </c>
      <c r="E3290" s="17" t="s">
        <v>430</v>
      </c>
      <c r="F3290" s="17"/>
      <c r="G3290" s="18">
        <v>80.1300</v>
      </c>
      <c r="H3290" s="18">
        <v>0</v>
      </c>
      <c r="I3290" s="18">
        <f ca="1">((I3289 + G3290) - H3290)</f>
        <v>0</v>
      </c>
      <c r="J3290" s="18">
        <v>0</v>
      </c>
      <c r="K3290" s="19">
        <v>0</v>
      </c>
      <c r="L3290" s="17"/>
    </row>
    <row r="3291" ht="10.95" customHeight="true" customFormat="true" s="9">
      <c r="A3291" s="16">
        <v>45455</v>
      </c>
      <c r="B3291" s="17" t="s">
        <v>578</v>
      </c>
      <c r="C3291" s="17" t="s">
        <v>572</v>
      </c>
      <c r="D3291" s="17" t="s">
        <v>22</v>
      </c>
      <c r="E3291" s="17" t="s">
        <v>438</v>
      </c>
      <c r="F3291" s="17"/>
      <c r="G3291" s="18">
        <v>1.3000</v>
      </c>
      <c r="H3291" s="18">
        <v>0</v>
      </c>
      <c r="I3291" s="18">
        <f ca="1">((I3290 + G3291) - H3291)</f>
        <v>0</v>
      </c>
      <c r="J3291" s="18">
        <v>0</v>
      </c>
      <c r="K3291" s="19">
        <v>0</v>
      </c>
      <c r="L3291" s="17"/>
    </row>
    <row r="3292" ht="10.95" customHeight="true" customFormat="true" s="9">
      <c r="A3292" s="16">
        <v>45455</v>
      </c>
      <c r="B3292" s="17" t="s">
        <v>578</v>
      </c>
      <c r="C3292" s="17" t="s">
        <v>572</v>
      </c>
      <c r="D3292" s="17" t="s">
        <v>19</v>
      </c>
      <c r="E3292" s="17" t="s">
        <v>428</v>
      </c>
      <c r="F3292" s="17"/>
      <c r="G3292" s="18">
        <v>0</v>
      </c>
      <c r="H3292" s="18">
        <v>200.1200</v>
      </c>
      <c r="I3292" s="18">
        <f ca="1">((I3291 + G3292) - H3292)</f>
        <v>0</v>
      </c>
      <c r="J3292" s="18">
        <v>0</v>
      </c>
      <c r="K3292" s="19">
        <v>0</v>
      </c>
      <c r="L3292" s="17"/>
    </row>
    <row r="3293" ht="10.95" customHeight="true" customFormat="true" s="9">
      <c r="A3293" s="16">
        <v>45456</v>
      </c>
      <c r="B3293" s="17" t="s">
        <v>578</v>
      </c>
      <c r="C3293" s="17" t="s">
        <v>572</v>
      </c>
      <c r="D3293" s="17" t="s">
        <v>19</v>
      </c>
      <c r="E3293" s="17" t="s">
        <v>428</v>
      </c>
      <c r="F3293" s="17"/>
      <c r="G3293" s="18">
        <v>0</v>
      </c>
      <c r="H3293" s="18">
        <v>220.6500</v>
      </c>
      <c r="I3293" s="18">
        <f ca="1">((I3292 + G3293) - H3293)</f>
        <v>0</v>
      </c>
      <c r="J3293" s="18">
        <v>0</v>
      </c>
      <c r="K3293" s="19">
        <v>0</v>
      </c>
      <c r="L3293" s="17"/>
    </row>
    <row r="3294" ht="10.95" customHeight="true" customFormat="true" s="9">
      <c r="A3294" s="16">
        <v>45457</v>
      </c>
      <c r="B3294" s="17" t="s">
        <v>578</v>
      </c>
      <c r="C3294" s="17" t="s">
        <v>572</v>
      </c>
      <c r="D3294" s="17" t="s">
        <v>22</v>
      </c>
      <c r="E3294" s="17" t="s">
        <v>430</v>
      </c>
      <c r="F3294" s="17"/>
      <c r="G3294" s="18">
        <v>164.9800</v>
      </c>
      <c r="H3294" s="18">
        <v>0</v>
      </c>
      <c r="I3294" s="18">
        <f ca="1">((I3293 + G3294) - H3294)</f>
        <v>0</v>
      </c>
      <c r="J3294" s="18">
        <v>0</v>
      </c>
      <c r="K3294" s="19">
        <v>0</v>
      </c>
      <c r="L3294" s="17"/>
    </row>
    <row r="3295" ht="10.95" customHeight="true" customFormat="true" s="9">
      <c r="A3295" s="16">
        <v>45457</v>
      </c>
      <c r="B3295" s="17" t="s">
        <v>578</v>
      </c>
      <c r="C3295" s="17" t="s">
        <v>572</v>
      </c>
      <c r="D3295" s="17" t="s">
        <v>19</v>
      </c>
      <c r="E3295" s="17" t="s">
        <v>428</v>
      </c>
      <c r="F3295" s="17"/>
      <c r="G3295" s="18">
        <v>0</v>
      </c>
      <c r="H3295" s="18">
        <v>254.1300</v>
      </c>
      <c r="I3295" s="18">
        <f ca="1">((I3294 + G3295) - H3295)</f>
        <v>0</v>
      </c>
      <c r="J3295" s="18">
        <v>0</v>
      </c>
      <c r="K3295" s="19">
        <v>0</v>
      </c>
      <c r="L3295" s="17"/>
    </row>
    <row r="3296" ht="10.95" customHeight="true" customFormat="true" s="9">
      <c r="A3296" s="16">
        <v>45460</v>
      </c>
      <c r="B3296" s="17" t="s">
        <v>578</v>
      </c>
      <c r="C3296" s="17" t="s">
        <v>572</v>
      </c>
      <c r="D3296" s="17" t="s">
        <v>22</v>
      </c>
      <c r="E3296" s="17" t="s">
        <v>34</v>
      </c>
      <c r="F3296" s="17"/>
      <c r="G3296" s="18">
        <v>249.2300</v>
      </c>
      <c r="H3296" s="18">
        <v>0</v>
      </c>
      <c r="I3296" s="18">
        <f ca="1">((I3295 + G3296) - H3296)</f>
        <v>0</v>
      </c>
      <c r="J3296" s="18">
        <v>0</v>
      </c>
      <c r="K3296" s="19">
        <v>0</v>
      </c>
      <c r="L3296" s="17"/>
    </row>
    <row r="3297" ht="10.95" customHeight="true" customFormat="true" s="9">
      <c r="A3297" s="16">
        <v>45460</v>
      </c>
      <c r="B3297" s="17" t="s">
        <v>578</v>
      </c>
      <c r="C3297" s="17" t="s">
        <v>572</v>
      </c>
      <c r="D3297" s="17" t="s">
        <v>19</v>
      </c>
      <c r="E3297" s="17" t="s">
        <v>24</v>
      </c>
      <c r="F3297" s="17"/>
      <c r="G3297" s="18">
        <v>0</v>
      </c>
      <c r="H3297" s="18">
        <v>9.0900</v>
      </c>
      <c r="I3297" s="18">
        <f ca="1">((I3296 + G3297) - H3297)</f>
        <v>0</v>
      </c>
      <c r="J3297" s="18">
        <v>0</v>
      </c>
      <c r="K3297" s="19">
        <v>0</v>
      </c>
      <c r="L3297" s="17"/>
    </row>
    <row r="3298" ht="10.95" customHeight="true" customFormat="true" s="9">
      <c r="A3298" s="16">
        <v>45460</v>
      </c>
      <c r="B3298" s="17" t="s">
        <v>578</v>
      </c>
      <c r="C3298" s="17" t="s">
        <v>572</v>
      </c>
      <c r="D3298" s="17" t="s">
        <v>19</v>
      </c>
      <c r="E3298" s="17" t="s">
        <v>428</v>
      </c>
      <c r="F3298" s="17"/>
      <c r="G3298" s="18">
        <v>0</v>
      </c>
      <c r="H3298" s="18">
        <v>264.9900</v>
      </c>
      <c r="I3298" s="18">
        <f ca="1">((I3297 + G3298) - H3298)</f>
        <v>0</v>
      </c>
      <c r="J3298" s="18">
        <v>0</v>
      </c>
      <c r="K3298" s="19">
        <v>0</v>
      </c>
      <c r="L3298" s="17"/>
    </row>
    <row r="3299" ht="10.95" customHeight="true" customFormat="true" s="9">
      <c r="A3299" s="16">
        <v>45460</v>
      </c>
      <c r="B3299" s="17" t="s">
        <v>578</v>
      </c>
      <c r="C3299" s="17" t="s">
        <v>572</v>
      </c>
      <c r="D3299" s="17" t="s">
        <v>19</v>
      </c>
      <c r="E3299" s="17" t="s">
        <v>428</v>
      </c>
      <c r="F3299" s="17"/>
      <c r="G3299" s="18">
        <v>0</v>
      </c>
      <c r="H3299" s="18">
        <v>563.3300</v>
      </c>
      <c r="I3299" s="18">
        <f ca="1">((I3298 + G3299) - H3299)</f>
        <v>0</v>
      </c>
      <c r="J3299" s="18">
        <v>0</v>
      </c>
      <c r="K3299" s="19">
        <v>0</v>
      </c>
      <c r="L3299" s="17"/>
    </row>
    <row r="3300" ht="10.95" customHeight="true" customFormat="true" s="9">
      <c r="A3300" s="16">
        <v>45460</v>
      </c>
      <c r="B3300" s="17" t="s">
        <v>578</v>
      </c>
      <c r="C3300" s="17" t="s">
        <v>572</v>
      </c>
      <c r="D3300" s="17" t="s">
        <v>19</v>
      </c>
      <c r="E3300" s="17" t="s">
        <v>428</v>
      </c>
      <c r="F3300" s="17"/>
      <c r="G3300" s="18">
        <v>0</v>
      </c>
      <c r="H3300" s="18">
        <v>577.9200</v>
      </c>
      <c r="I3300" s="18">
        <f ca="1">((I3299 + G3300) - H3300)</f>
        <v>0</v>
      </c>
      <c r="J3300" s="18">
        <v>0</v>
      </c>
      <c r="K3300" s="19">
        <v>0</v>
      </c>
      <c r="L3300" s="17"/>
    </row>
    <row r="3301" ht="10.95" customHeight="true" customFormat="true" s="9">
      <c r="A3301" s="16">
        <v>45461</v>
      </c>
      <c r="B3301" s="17" t="s">
        <v>578</v>
      </c>
      <c r="C3301" s="17" t="s">
        <v>572</v>
      </c>
      <c r="D3301" s="17" t="s">
        <v>19</v>
      </c>
      <c r="E3301" s="17" t="s">
        <v>45</v>
      </c>
      <c r="F3301" s="17"/>
      <c r="G3301" s="18">
        <v>0</v>
      </c>
      <c r="H3301" s="18">
        <v>330.0000</v>
      </c>
      <c r="I3301" s="18">
        <f ca="1">((I3300 + G3301) - H3301)</f>
        <v>0</v>
      </c>
      <c r="J3301" s="18">
        <v>0</v>
      </c>
      <c r="K3301" s="19">
        <v>0</v>
      </c>
      <c r="L3301" s="17"/>
    </row>
    <row r="3302" ht="10.95" customHeight="true" customFormat="true" s="9">
      <c r="A3302" s="16">
        <v>45461</v>
      </c>
      <c r="B3302" s="17" t="s">
        <v>578</v>
      </c>
      <c r="C3302" s="17" t="s">
        <v>572</v>
      </c>
      <c r="D3302" s="17" t="s">
        <v>22</v>
      </c>
      <c r="E3302" s="17" t="s">
        <v>436</v>
      </c>
      <c r="F3302" s="17"/>
      <c r="G3302" s="18">
        <v>9.8100</v>
      </c>
      <c r="H3302" s="18">
        <v>0</v>
      </c>
      <c r="I3302" s="18">
        <f ca="1">((I3301 + G3302) - H3302)</f>
        <v>0</v>
      </c>
      <c r="J3302" s="18">
        <v>0</v>
      </c>
      <c r="K3302" s="19">
        <v>0</v>
      </c>
      <c r="L3302" s="17"/>
    </row>
    <row r="3303" ht="10.95" customHeight="true" customFormat="true" s="9">
      <c r="A3303" s="16">
        <v>45462</v>
      </c>
      <c r="B3303" s="17" t="s">
        <v>578</v>
      </c>
      <c r="C3303" s="17" t="s">
        <v>572</v>
      </c>
      <c r="D3303" s="17" t="s">
        <v>19</v>
      </c>
      <c r="E3303" s="17" t="s">
        <v>428</v>
      </c>
      <c r="F3303" s="17"/>
      <c r="G3303" s="18">
        <v>0</v>
      </c>
      <c r="H3303" s="18">
        <v>234.4400</v>
      </c>
      <c r="I3303" s="18">
        <f ca="1">((I3302 + G3303) - H3303)</f>
        <v>0</v>
      </c>
      <c r="J3303" s="18">
        <v>0</v>
      </c>
      <c r="K3303" s="19">
        <v>0</v>
      </c>
      <c r="L3303" s="17"/>
    </row>
    <row r="3304" ht="10.95" customHeight="true" customFormat="true" s="9">
      <c r="A3304" s="16">
        <v>45463</v>
      </c>
      <c r="B3304" s="17" t="s">
        <v>578</v>
      </c>
      <c r="C3304" s="17" t="s">
        <v>572</v>
      </c>
      <c r="D3304" s="17" t="s">
        <v>19</v>
      </c>
      <c r="E3304" s="17" t="s">
        <v>428</v>
      </c>
      <c r="F3304" s="17"/>
      <c r="G3304" s="18">
        <v>0</v>
      </c>
      <c r="H3304" s="18">
        <v>205.6400</v>
      </c>
      <c r="I3304" s="18">
        <f ca="1">((I3303 + G3304) - H3304)</f>
        <v>0</v>
      </c>
      <c r="J3304" s="18">
        <v>0</v>
      </c>
      <c r="K3304" s="19">
        <v>0</v>
      </c>
      <c r="L3304" s="17"/>
    </row>
    <row r="3305" ht="10.95" customHeight="true" customFormat="true" s="9">
      <c r="A3305" s="16">
        <v>45464</v>
      </c>
      <c r="B3305" s="17" t="s">
        <v>578</v>
      </c>
      <c r="C3305" s="17" t="s">
        <v>572</v>
      </c>
      <c r="D3305" s="17" t="s">
        <v>22</v>
      </c>
      <c r="E3305" s="17" t="s">
        <v>445</v>
      </c>
      <c r="F3305" s="17"/>
      <c r="G3305" s="18">
        <v>80.6500</v>
      </c>
      <c r="H3305" s="18">
        <v>0</v>
      </c>
      <c r="I3305" s="18">
        <f ca="1">((I3304 + G3305) - H3305)</f>
        <v>0</v>
      </c>
      <c r="J3305" s="18">
        <v>0</v>
      </c>
      <c r="K3305" s="19">
        <v>0</v>
      </c>
      <c r="L3305" s="17"/>
    </row>
    <row r="3306" ht="10.95" customHeight="true" customFormat="true" s="9">
      <c r="A3306" s="16">
        <v>45464</v>
      </c>
      <c r="B3306" s="17" t="s">
        <v>578</v>
      </c>
      <c r="C3306" s="17" t="s">
        <v>572</v>
      </c>
      <c r="D3306" s="17" t="s">
        <v>22</v>
      </c>
      <c r="E3306" s="17" t="s">
        <v>430</v>
      </c>
      <c r="F3306" s="17"/>
      <c r="G3306" s="18">
        <v>207.9900</v>
      </c>
      <c r="H3306" s="18">
        <v>0</v>
      </c>
      <c r="I3306" s="18">
        <f ca="1">((I3305 + G3306) - H3306)</f>
        <v>0</v>
      </c>
      <c r="J3306" s="18">
        <v>0</v>
      </c>
      <c r="K3306" s="19">
        <v>0</v>
      </c>
      <c r="L3306" s="17"/>
    </row>
    <row r="3307" ht="10.95" customHeight="true" customFormat="true" s="9">
      <c r="A3307" s="16">
        <v>45464</v>
      </c>
      <c r="B3307" s="17" t="s">
        <v>578</v>
      </c>
      <c r="C3307" s="17" t="s">
        <v>572</v>
      </c>
      <c r="D3307" s="17" t="s">
        <v>22</v>
      </c>
      <c r="E3307" s="17" t="s">
        <v>430</v>
      </c>
      <c r="F3307" s="17"/>
      <c r="G3307" s="18">
        <v>154.4000</v>
      </c>
      <c r="H3307" s="18">
        <v>0</v>
      </c>
      <c r="I3307" s="18">
        <f ca="1">((I3306 + G3307) - H3307)</f>
        <v>0</v>
      </c>
      <c r="J3307" s="18">
        <v>0</v>
      </c>
      <c r="K3307" s="19">
        <v>0</v>
      </c>
      <c r="L3307" s="17"/>
    </row>
    <row r="3308" ht="10.95" customHeight="true" customFormat="true" s="9">
      <c r="A3308" s="16">
        <v>45464</v>
      </c>
      <c r="B3308" s="17" t="s">
        <v>578</v>
      </c>
      <c r="C3308" s="17" t="s">
        <v>572</v>
      </c>
      <c r="D3308" s="17" t="s">
        <v>19</v>
      </c>
      <c r="E3308" s="17" t="s">
        <v>428</v>
      </c>
      <c r="F3308" s="17"/>
      <c r="G3308" s="18">
        <v>0</v>
      </c>
      <c r="H3308" s="18">
        <v>254.3000</v>
      </c>
      <c r="I3308" s="18">
        <f ca="1">((I3307 + G3308) - H3308)</f>
        <v>0</v>
      </c>
      <c r="J3308" s="18">
        <v>0</v>
      </c>
      <c r="K3308" s="19">
        <v>0</v>
      </c>
      <c r="L3308" s="17"/>
    </row>
    <row r="3309" ht="10.95" customHeight="true" customFormat="true" s="9">
      <c r="A3309" s="16">
        <v>45467</v>
      </c>
      <c r="B3309" s="17" t="s">
        <v>578</v>
      </c>
      <c r="C3309" s="17" t="s">
        <v>572</v>
      </c>
      <c r="D3309" s="17" t="s">
        <v>19</v>
      </c>
      <c r="E3309" s="17" t="s">
        <v>428</v>
      </c>
      <c r="F3309" s="17"/>
      <c r="G3309" s="18">
        <v>0</v>
      </c>
      <c r="H3309" s="18">
        <v>304.4800</v>
      </c>
      <c r="I3309" s="18">
        <f ca="1">((I3308 + G3309) - H3309)</f>
        <v>0</v>
      </c>
      <c r="J3309" s="18">
        <v>0</v>
      </c>
      <c r="K3309" s="19">
        <v>0</v>
      </c>
      <c r="L3309" s="17"/>
    </row>
    <row r="3310" ht="10.95" customHeight="true" customFormat="true" s="9">
      <c r="A3310" s="16">
        <v>45467</v>
      </c>
      <c r="B3310" s="17" t="s">
        <v>578</v>
      </c>
      <c r="C3310" s="17" t="s">
        <v>572</v>
      </c>
      <c r="D3310" s="17" t="s">
        <v>22</v>
      </c>
      <c r="E3310" s="17" t="s">
        <v>34</v>
      </c>
      <c r="F3310" s="17"/>
      <c r="G3310" s="18">
        <v>257.0500</v>
      </c>
      <c r="H3310" s="18">
        <v>0</v>
      </c>
      <c r="I3310" s="18">
        <f ca="1">((I3309 + G3310) - H3310)</f>
        <v>0</v>
      </c>
      <c r="J3310" s="18">
        <v>0</v>
      </c>
      <c r="K3310" s="19">
        <v>0</v>
      </c>
      <c r="L3310" s="17"/>
    </row>
    <row r="3311" ht="10.95" customHeight="true" customFormat="true" s="9">
      <c r="A3311" s="16">
        <v>45467</v>
      </c>
      <c r="B3311" s="17" t="s">
        <v>578</v>
      </c>
      <c r="C3311" s="17" t="s">
        <v>572</v>
      </c>
      <c r="D3311" s="17" t="s">
        <v>19</v>
      </c>
      <c r="E3311" s="17" t="s">
        <v>428</v>
      </c>
      <c r="F3311" s="17"/>
      <c r="G3311" s="18">
        <v>0</v>
      </c>
      <c r="H3311" s="18">
        <v>466.5300</v>
      </c>
      <c r="I3311" s="18">
        <f ca="1">((I3310 + G3311) - H3311)</f>
        <v>0</v>
      </c>
      <c r="J3311" s="18">
        <v>0</v>
      </c>
      <c r="K3311" s="19">
        <v>0</v>
      </c>
      <c r="L3311" s="17"/>
    </row>
    <row r="3312" ht="10.95" customHeight="true" customFormat="true" s="9">
      <c r="A3312" s="16">
        <v>45467</v>
      </c>
      <c r="B3312" s="17" t="s">
        <v>578</v>
      </c>
      <c r="C3312" s="17" t="s">
        <v>572</v>
      </c>
      <c r="D3312" s="17" t="s">
        <v>22</v>
      </c>
      <c r="E3312" s="17" t="s">
        <v>442</v>
      </c>
      <c r="F3312" s="17"/>
      <c r="G3312" s="18">
        <v>16.7200</v>
      </c>
      <c r="H3312" s="18">
        <v>0</v>
      </c>
      <c r="I3312" s="18">
        <f ca="1">((I3311 + G3312) - H3312)</f>
        <v>0</v>
      </c>
      <c r="J3312" s="18">
        <v>0</v>
      </c>
      <c r="K3312" s="19">
        <v>0</v>
      </c>
      <c r="L3312" s="17"/>
    </row>
    <row r="3313" ht="10.95" customHeight="true" customFormat="true" s="9">
      <c r="A3313" s="16">
        <v>45467</v>
      </c>
      <c r="B3313" s="17" t="s">
        <v>578</v>
      </c>
      <c r="C3313" s="17" t="s">
        <v>572</v>
      </c>
      <c r="D3313" s="17" t="s">
        <v>19</v>
      </c>
      <c r="E3313" s="17" t="s">
        <v>428</v>
      </c>
      <c r="F3313" s="17"/>
      <c r="G3313" s="18">
        <v>0</v>
      </c>
      <c r="H3313" s="18">
        <v>561.9200</v>
      </c>
      <c r="I3313" s="18">
        <f ca="1">((I3312 + G3313) - H3313)</f>
        <v>0</v>
      </c>
      <c r="J3313" s="18">
        <v>0</v>
      </c>
      <c r="K3313" s="19">
        <v>0</v>
      </c>
      <c r="L3313" s="17"/>
    </row>
    <row r="3314" ht="10.95" customHeight="true" customFormat="true" s="9">
      <c r="A3314" s="16">
        <v>45467</v>
      </c>
      <c r="B3314" s="17" t="s">
        <v>578</v>
      </c>
      <c r="C3314" s="17" t="s">
        <v>572</v>
      </c>
      <c r="D3314" s="17" t="s">
        <v>19</v>
      </c>
      <c r="E3314" s="17" t="s">
        <v>24</v>
      </c>
      <c r="F3314" s="17"/>
      <c r="G3314" s="18">
        <v>0</v>
      </c>
      <c r="H3314" s="18">
        <v>14.5500</v>
      </c>
      <c r="I3314" s="18">
        <f ca="1">((I3313 + G3314) - H3314)</f>
        <v>0</v>
      </c>
      <c r="J3314" s="18">
        <v>0</v>
      </c>
      <c r="K3314" s="19">
        <v>0</v>
      </c>
      <c r="L3314" s="17"/>
    </row>
    <row r="3315" ht="10.95" customHeight="true" customFormat="true" s="9">
      <c r="A3315" s="16">
        <v>45468</v>
      </c>
      <c r="B3315" s="17" t="s">
        <v>578</v>
      </c>
      <c r="C3315" s="17" t="s">
        <v>572</v>
      </c>
      <c r="D3315" s="17" t="s">
        <v>19</v>
      </c>
      <c r="E3315" s="17" t="s">
        <v>428</v>
      </c>
      <c r="F3315" s="17"/>
      <c r="G3315" s="18">
        <v>0</v>
      </c>
      <c r="H3315" s="18">
        <v>0.4100</v>
      </c>
      <c r="I3315" s="18">
        <f ca="1">((I3314 + G3315) - H3315)</f>
        <v>0</v>
      </c>
      <c r="J3315" s="18">
        <v>0</v>
      </c>
      <c r="K3315" s="19">
        <v>0</v>
      </c>
      <c r="L3315" s="17"/>
    </row>
    <row r="3316" ht="10.95" customHeight="true" customFormat="true" s="9">
      <c r="A3316" s="16">
        <v>45469</v>
      </c>
      <c r="B3316" s="17" t="s">
        <v>578</v>
      </c>
      <c r="C3316" s="17" t="s">
        <v>572</v>
      </c>
      <c r="D3316" s="17" t="s">
        <v>19</v>
      </c>
      <c r="E3316" s="17" t="s">
        <v>428</v>
      </c>
      <c r="F3316" s="17"/>
      <c r="G3316" s="18">
        <v>0</v>
      </c>
      <c r="H3316" s="18">
        <v>237.1700</v>
      </c>
      <c r="I3316" s="18">
        <f ca="1">((I3315 + G3316) - H3316)</f>
        <v>0</v>
      </c>
      <c r="J3316" s="18">
        <v>0</v>
      </c>
      <c r="K3316" s="19">
        <v>0</v>
      </c>
      <c r="L3316" s="17"/>
    </row>
    <row r="3317" ht="10.95" customHeight="true" customFormat="true" s="9">
      <c r="A3317" s="16">
        <v>45470</v>
      </c>
      <c r="B3317" s="17" t="s">
        <v>578</v>
      </c>
      <c r="C3317" s="17" t="s">
        <v>572</v>
      </c>
      <c r="D3317" s="17" t="s">
        <v>19</v>
      </c>
      <c r="E3317" s="17" t="s">
        <v>428</v>
      </c>
      <c r="F3317" s="17"/>
      <c r="G3317" s="18">
        <v>0</v>
      </c>
      <c r="H3317" s="18">
        <v>239.6700</v>
      </c>
      <c r="I3317" s="18">
        <f ca="1">((I3316 + G3317) - H3317)</f>
        <v>0</v>
      </c>
      <c r="J3317" s="18">
        <v>0</v>
      </c>
      <c r="K3317" s="19">
        <v>0</v>
      </c>
      <c r="L3317" s="17"/>
    </row>
    <row r="3318" ht="10.95" customHeight="true" customFormat="true" s="9">
      <c r="A3318" s="16">
        <v>45470</v>
      </c>
      <c r="B3318" s="17" t="s">
        <v>578</v>
      </c>
      <c r="C3318" s="17" t="s">
        <v>572</v>
      </c>
      <c r="D3318" s="17" t="s">
        <v>22</v>
      </c>
      <c r="E3318" s="17" t="s">
        <v>461</v>
      </c>
      <c r="F3318" s="17"/>
      <c r="G3318" s="18">
        <v>326.9500</v>
      </c>
      <c r="H3318" s="18">
        <v>0</v>
      </c>
      <c r="I3318" s="18">
        <f ca="1">((I3317 + G3318) - H3318)</f>
        <v>0</v>
      </c>
      <c r="J3318" s="18">
        <v>0</v>
      </c>
      <c r="K3318" s="19">
        <v>0</v>
      </c>
      <c r="L3318" s="17"/>
    </row>
    <row r="3319" ht="10.95" customHeight="true" customFormat="true" s="9">
      <c r="A3319" s="16">
        <v>45471</v>
      </c>
      <c r="B3319" s="17" t="s">
        <v>578</v>
      </c>
      <c r="C3319" s="17" t="s">
        <v>572</v>
      </c>
      <c r="D3319" s="17" t="s">
        <v>22</v>
      </c>
      <c r="E3319" s="17" t="s">
        <v>438</v>
      </c>
      <c r="F3319" s="17"/>
      <c r="G3319" s="18">
        <v>0.9100</v>
      </c>
      <c r="H3319" s="18">
        <v>0</v>
      </c>
      <c r="I3319" s="18">
        <f ca="1">((I3318 + G3319) - H3319)</f>
        <v>0</v>
      </c>
      <c r="J3319" s="18">
        <v>0</v>
      </c>
      <c r="K3319" s="19">
        <v>0</v>
      </c>
      <c r="L3319" s="17"/>
    </row>
    <row r="3320" ht="10.95" customHeight="true" customFormat="true" s="9">
      <c r="A3320" s="16">
        <v>45471</v>
      </c>
      <c r="B3320" s="17" t="s">
        <v>578</v>
      </c>
      <c r="C3320" s="17" t="s">
        <v>572</v>
      </c>
      <c r="D3320" s="17" t="s">
        <v>22</v>
      </c>
      <c r="E3320" s="17" t="s">
        <v>430</v>
      </c>
      <c r="F3320" s="17"/>
      <c r="G3320" s="18">
        <v>136.3200</v>
      </c>
      <c r="H3320" s="18">
        <v>0</v>
      </c>
      <c r="I3320" s="18">
        <f ca="1">((I3319 + G3320) - H3320)</f>
        <v>0</v>
      </c>
      <c r="J3320" s="18">
        <v>0</v>
      </c>
      <c r="K3320" s="19">
        <v>0</v>
      </c>
      <c r="L3320" s="17"/>
    </row>
    <row r="3321" ht="10.95" customHeight="true" customFormat="true" s="9">
      <c r="A3321" s="16">
        <v>45471</v>
      </c>
      <c r="B3321" s="17" t="s">
        <v>578</v>
      </c>
      <c r="C3321" s="17" t="s">
        <v>572</v>
      </c>
      <c r="D3321" s="17" t="s">
        <v>19</v>
      </c>
      <c r="E3321" s="17" t="s">
        <v>428</v>
      </c>
      <c r="F3321" s="17"/>
      <c r="G3321" s="18">
        <v>0</v>
      </c>
      <c r="H3321" s="18">
        <v>271.8900</v>
      </c>
      <c r="I3321" s="18">
        <f ca="1">((I3320 + G3321) - H3321)</f>
        <v>0</v>
      </c>
      <c r="J3321" s="18">
        <v>0</v>
      </c>
      <c r="K3321" s="19">
        <v>0</v>
      </c>
      <c r="L3321" s="17"/>
    </row>
    <row r="3322" ht="10.95" customHeight="true" customFormat="true" s="9">
      <c r="A3322" s="16">
        <v>45471</v>
      </c>
      <c r="B3322" s="17" t="s">
        <v>578</v>
      </c>
      <c r="C3322" s="17" t="s">
        <v>572</v>
      </c>
      <c r="D3322" s="17" t="s">
        <v>22</v>
      </c>
      <c r="E3322" s="17" t="s">
        <v>430</v>
      </c>
      <c r="F3322" s="17"/>
      <c r="G3322" s="18">
        <v>227.9800</v>
      </c>
      <c r="H3322" s="18">
        <v>0</v>
      </c>
      <c r="I3322" s="18">
        <f ca="1">((I3321 + G3322) - H3322)</f>
        <v>0</v>
      </c>
      <c r="J3322" s="18">
        <v>0</v>
      </c>
      <c r="K3322" s="19">
        <v>0</v>
      </c>
      <c r="L3322" s="17"/>
    </row>
    <row r="3323" ht="10.95" customHeight="true" customFormat="true" s="9">
      <c r="A3323" s="16">
        <v>45473</v>
      </c>
      <c r="B3323" s="17" t="s">
        <v>578</v>
      </c>
      <c r="C3323" s="17" t="s">
        <v>572</v>
      </c>
      <c r="D3323" s="17" t="s">
        <v>25</v>
      </c>
      <c r="E3323" s="17" t="s">
        <v>46</v>
      </c>
      <c r="F3323" s="17" t="s">
        <v>47</v>
      </c>
      <c r="G3323" s="18">
        <v>8167.1200</v>
      </c>
      <c r="H3323" s="18">
        <v>0</v>
      </c>
      <c r="I3323" s="18">
        <f ca="1">((I3322 + G3323) - H3323)</f>
        <v>0</v>
      </c>
      <c r="J3323" s="18">
        <v>0</v>
      </c>
      <c r="K3323" s="19">
        <v>0</v>
      </c>
      <c r="L3323" s="17" t="s">
        <v>28</v>
      </c>
    </row>
    <row r="3324" ht="10.95" customHeight="true" customFormat="true" s="9">
      <c r="A3324" s="16">
        <v>45473</v>
      </c>
      <c r="B3324" s="17" t="s">
        <v>578</v>
      </c>
      <c r="C3324" s="17" t="s">
        <v>572</v>
      </c>
      <c r="D3324" s="17" t="s">
        <v>25</v>
      </c>
      <c r="E3324" s="17" t="s">
        <v>585</v>
      </c>
      <c r="F3324" s="17" t="s">
        <v>47</v>
      </c>
      <c r="G3324" s="18">
        <v>58.8900</v>
      </c>
      <c r="H3324" s="18">
        <v>0</v>
      </c>
      <c r="I3324" s="18">
        <f ca="1">((I3323 + G3324) - H3324)</f>
        <v>0</v>
      </c>
      <c r="J3324" s="18">
        <v>0</v>
      </c>
      <c r="K3324" s="19">
        <v>0</v>
      </c>
      <c r="L3324" s="17"/>
    </row>
    <row r="3325" ht="10.95" customHeight="true" customFormat="true" s="9">
      <c r="A3325" s="16">
        <v>45473</v>
      </c>
      <c r="B3325" s="17" t="s">
        <v>578</v>
      </c>
      <c r="C3325" s="17" t="s">
        <v>572</v>
      </c>
      <c r="D3325" s="17" t="s">
        <v>25</v>
      </c>
      <c r="E3325" s="17" t="s">
        <v>148</v>
      </c>
      <c r="F3325" s="17" t="s">
        <v>50</v>
      </c>
      <c r="G3325" s="18">
        <v>308.7500</v>
      </c>
      <c r="H3325" s="18">
        <v>0</v>
      </c>
      <c r="I3325" s="18">
        <f ca="1">((I3324 + G3325) - H3325)</f>
        <v>0</v>
      </c>
      <c r="J3325" s="18">
        <v>0</v>
      </c>
      <c r="K3325" s="19">
        <v>0</v>
      </c>
      <c r="L3325" s="17" t="s">
        <v>28</v>
      </c>
    </row>
    <row r="3326" ht="10.95" customHeight="true" customFormat="true" s="9">
      <c r="A3326" s="16">
        <v>45473</v>
      </c>
      <c r="B3326" s="17" t="s">
        <v>578</v>
      </c>
      <c r="C3326" s="17" t="s">
        <v>572</v>
      </c>
      <c r="D3326" s="17" t="s">
        <v>25</v>
      </c>
      <c r="E3326" s="17" t="s">
        <v>260</v>
      </c>
      <c r="F3326" s="17" t="s">
        <v>50</v>
      </c>
      <c r="G3326" s="18">
        <v>0</v>
      </c>
      <c r="H3326" s="18">
        <v>61.8900</v>
      </c>
      <c r="I3326" s="18">
        <f ca="1">((I3325 + G3326) - H3326)</f>
        <v>0</v>
      </c>
      <c r="J3326" s="18">
        <v>0</v>
      </c>
      <c r="K3326" s="19">
        <v>0</v>
      </c>
      <c r="L3326" s="17" t="s">
        <v>28</v>
      </c>
    </row>
    <row r="3327" ht="10.95" customHeight="true" customFormat="true" s="9">
      <c r="A3327" s="20" t="s">
        <v>586</v>
      </c>
      <c r="B3327" s="20"/>
      <c r="C3327" s="20"/>
      <c r="D3327" s="20"/>
      <c r="E3327" s="20"/>
      <c r="F3327" s="20"/>
      <c r="G3327" s="21">
        <f ca="1">SUM(G2710:G3326)</f>
        <v>0</v>
      </c>
      <c r="H3327" s="21">
        <f ca="1">SUM(H2710:H3326)</f>
        <v>0</v>
      </c>
      <c r="I3327" s="21">
        <f ca="1">I3326</f>
        <v>0</v>
      </c>
      <c r="J3327" s="21">
        <f ca="1">SUM(J2710:J3326)</f>
        <v>0</v>
      </c>
      <c r="K3327" s="20"/>
      <c r="L3327" s="20"/>
    </row>
    <row r="3328" ht="10.95" customHeight="true" customFormat="true" s="9">
      <c r="A3328" s="20" t="s">
        <v>53</v>
      </c>
      <c r="B3328" s="20"/>
      <c r="C3328" s="20"/>
      <c r="D3328" s="20"/>
      <c r="E3328" s="20"/>
      <c r="F3328" s="20"/>
      <c r="G3328" s="21">
        <v>0</v>
      </c>
      <c r="H3328" s="21">
        <v>12.4000</v>
      </c>
      <c r="I3328" s="21">
        <v>0</v>
      </c>
      <c r="J3328" s="21">
        <v>0</v>
      </c>
      <c r="K3328" s="20"/>
      <c r="L3328" s="20"/>
    </row>
    <row r="3329" ht="10.95" customHeight="true" customFormat="true" s="9">
      <c r="A3329" s="10" t="s">
        <v>54</v>
      </c>
      <c r="B3329" s="10"/>
      <c r="C3329" s="10"/>
      <c r="D3329" s="10"/>
      <c r="E3329" s="10"/>
      <c r="F3329" s="10"/>
      <c r="G3329" s="11">
        <v>0</v>
      </c>
      <c r="H3329" s="11">
        <v>8846.6100</v>
      </c>
      <c r="I3329" s="11">
        <f ca="1">I3326</f>
        <v>0</v>
      </c>
      <c r="J3329" s="11">
        <v>0</v>
      </c>
      <c r="K3329" s="10"/>
      <c r="L3329" s="10"/>
    </row>
    <row r="3330" ht="13.35" customHeight="true"/>
    <row r="3331" ht="12.1" customHeight="true" customFormat="true" s="5">
      <c r="A3331" s="8" t="s">
        <v>587</v>
      </c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</row>
    <row r="3332" ht="10.95" customHeight="true" customFormat="true" s="9">
      <c r="A3332" s="10" t="s">
        <v>16</v>
      </c>
      <c r="B3332" s="10"/>
      <c r="C3332" s="10"/>
      <c r="D3332" s="10"/>
      <c r="E3332" s="10"/>
      <c r="F3332" s="10"/>
      <c r="G3332" s="11">
        <v>0</v>
      </c>
      <c r="H3332" s="11">
        <v>0</v>
      </c>
      <c r="I3332" s="11">
        <f ca="1">(G3332 - H3332)</f>
        <v>0</v>
      </c>
      <c r="J3332" s="11">
        <v>0</v>
      </c>
      <c r="K3332" s="10"/>
      <c r="L3332" s="10"/>
    </row>
    <row r="3333" ht="10.95" customHeight="true" customFormat="true" s="9">
      <c r="A3333" s="12">
        <v>45149</v>
      </c>
      <c r="B3333" s="13" t="s">
        <v>588</v>
      </c>
      <c r="C3333" s="13" t="s">
        <v>572</v>
      </c>
      <c r="D3333" s="13" t="s">
        <v>22</v>
      </c>
      <c r="E3333" s="13" t="s">
        <v>583</v>
      </c>
      <c r="F3333" s="13"/>
      <c r="G3333" s="14">
        <v>44702.0000</v>
      </c>
      <c r="H3333" s="14">
        <v>0</v>
      </c>
      <c r="I3333" s="14">
        <f ca="1">((I3332 + G3333) - H3333)</f>
        <v>0</v>
      </c>
      <c r="J3333" s="14">
        <v>0</v>
      </c>
      <c r="K3333" s="15">
        <v>0</v>
      </c>
      <c r="L3333" s="13" t="s">
        <v>28</v>
      </c>
    </row>
    <row r="3334" ht="10.95" customHeight="true" customFormat="true" s="9">
      <c r="A3334" s="16">
        <v>45160</v>
      </c>
      <c r="B3334" s="17" t="s">
        <v>588</v>
      </c>
      <c r="C3334" s="17" t="s">
        <v>572</v>
      </c>
      <c r="D3334" s="17" t="s">
        <v>22</v>
      </c>
      <c r="E3334" s="17" t="s">
        <v>583</v>
      </c>
      <c r="F3334" s="17"/>
      <c r="G3334" s="18">
        <v>6098.0000</v>
      </c>
      <c r="H3334" s="18">
        <v>0</v>
      </c>
      <c r="I3334" s="18">
        <f ca="1">((I3333 + G3334) - H3334)</f>
        <v>0</v>
      </c>
      <c r="J3334" s="18">
        <v>0</v>
      </c>
      <c r="K3334" s="19">
        <v>0</v>
      </c>
      <c r="L3334" s="17" t="s">
        <v>28</v>
      </c>
    </row>
    <row r="3335" ht="10.95" customHeight="true" customFormat="true" s="9">
      <c r="A3335" s="16">
        <v>45183</v>
      </c>
      <c r="B3335" s="17" t="s">
        <v>588</v>
      </c>
      <c r="C3335" s="17" t="s">
        <v>572</v>
      </c>
      <c r="D3335" s="17" t="s">
        <v>22</v>
      </c>
      <c r="E3335" s="17" t="s">
        <v>583</v>
      </c>
      <c r="F3335" s="17"/>
      <c r="G3335" s="18">
        <v>5431.0000</v>
      </c>
      <c r="H3335" s="18">
        <v>0</v>
      </c>
      <c r="I3335" s="18">
        <f ca="1">((I3334 + G3335) - H3335)</f>
        <v>0</v>
      </c>
      <c r="J3335" s="18">
        <v>0</v>
      </c>
      <c r="K3335" s="19">
        <v>0</v>
      </c>
      <c r="L3335" s="17" t="s">
        <v>28</v>
      </c>
    </row>
    <row r="3336" ht="10.95" customHeight="true" customFormat="true" s="9">
      <c r="A3336" s="16">
        <v>45199</v>
      </c>
      <c r="B3336" s="17" t="s">
        <v>588</v>
      </c>
      <c r="C3336" s="17" t="s">
        <v>572</v>
      </c>
      <c r="D3336" s="17" t="s">
        <v>25</v>
      </c>
      <c r="E3336" s="17" t="s">
        <v>579</v>
      </c>
      <c r="F3336" s="17" t="s">
        <v>27</v>
      </c>
      <c r="G3336" s="18">
        <v>0</v>
      </c>
      <c r="H3336" s="18">
        <v>44702.0000</v>
      </c>
      <c r="I3336" s="18">
        <f ca="1">((I3335 + G3336) - H3336)</f>
        <v>0</v>
      </c>
      <c r="J3336" s="18">
        <v>0</v>
      </c>
      <c r="K3336" s="19">
        <v>0</v>
      </c>
      <c r="L3336" s="17" t="s">
        <v>28</v>
      </c>
    </row>
    <row r="3337" ht="10.95" customHeight="true" customFormat="true" s="9">
      <c r="A3337" s="16">
        <v>45199</v>
      </c>
      <c r="B3337" s="17" t="s">
        <v>588</v>
      </c>
      <c r="C3337" s="17" t="s">
        <v>572</v>
      </c>
      <c r="D3337" s="17" t="s">
        <v>25</v>
      </c>
      <c r="E3337" s="17" t="s">
        <v>579</v>
      </c>
      <c r="F3337" s="17" t="s">
        <v>27</v>
      </c>
      <c r="G3337" s="18">
        <v>0</v>
      </c>
      <c r="H3337" s="18">
        <v>6098.0000</v>
      </c>
      <c r="I3337" s="18">
        <f ca="1">((I3336 + G3337) - H3337)</f>
        <v>0</v>
      </c>
      <c r="J3337" s="18">
        <v>0</v>
      </c>
      <c r="K3337" s="19">
        <v>0</v>
      </c>
      <c r="L3337" s="17" t="s">
        <v>28</v>
      </c>
    </row>
    <row r="3338" ht="10.95" customHeight="true" customFormat="true" s="9">
      <c r="A3338" s="16">
        <v>45199</v>
      </c>
      <c r="B3338" s="17" t="s">
        <v>588</v>
      </c>
      <c r="C3338" s="17" t="s">
        <v>572</v>
      </c>
      <c r="D3338" s="17" t="s">
        <v>25</v>
      </c>
      <c r="E3338" s="17" t="s">
        <v>579</v>
      </c>
      <c r="F3338" s="17" t="s">
        <v>27</v>
      </c>
      <c r="G3338" s="18">
        <v>0</v>
      </c>
      <c r="H3338" s="18">
        <v>5431.0000</v>
      </c>
      <c r="I3338" s="18">
        <f ca="1">((I3337 + G3338) - H3338)</f>
        <v>0</v>
      </c>
      <c r="J3338" s="18">
        <v>0</v>
      </c>
      <c r="K3338" s="19">
        <v>0</v>
      </c>
      <c r="L3338" s="17" t="s">
        <v>28</v>
      </c>
    </row>
    <row r="3339" ht="10.95" customHeight="true" customFormat="true" s="9">
      <c r="A3339" s="16">
        <v>45230</v>
      </c>
      <c r="B3339" s="17" t="s">
        <v>588</v>
      </c>
      <c r="C3339" s="17" t="s">
        <v>572</v>
      </c>
      <c r="D3339" s="17" t="s">
        <v>22</v>
      </c>
      <c r="E3339" s="17" t="s">
        <v>583</v>
      </c>
      <c r="F3339" s="17"/>
      <c r="G3339" s="18">
        <v>42406.0000</v>
      </c>
      <c r="H3339" s="18">
        <v>0</v>
      </c>
      <c r="I3339" s="18">
        <f ca="1">((I3338 + G3339) - H3339)</f>
        <v>0</v>
      </c>
      <c r="J3339" s="18">
        <v>0</v>
      </c>
      <c r="K3339" s="19">
        <v>0</v>
      </c>
      <c r="L3339" s="17" t="s">
        <v>28</v>
      </c>
    </row>
    <row r="3340" ht="10.95" customHeight="true" customFormat="true" s="9">
      <c r="A3340" s="16">
        <v>45291</v>
      </c>
      <c r="B3340" s="17" t="s">
        <v>588</v>
      </c>
      <c r="C3340" s="17" t="s">
        <v>572</v>
      </c>
      <c r="D3340" s="17" t="s">
        <v>25</v>
      </c>
      <c r="E3340" s="17" t="s">
        <v>581</v>
      </c>
      <c r="F3340" s="17" t="s">
        <v>32</v>
      </c>
      <c r="G3340" s="18">
        <v>0</v>
      </c>
      <c r="H3340" s="18">
        <v>42406.0000</v>
      </c>
      <c r="I3340" s="18">
        <f ca="1">((I3339 + G3340) - H3340)</f>
        <v>0</v>
      </c>
      <c r="J3340" s="18">
        <v>0</v>
      </c>
      <c r="K3340" s="19">
        <v>0</v>
      </c>
      <c r="L3340" s="17" t="s">
        <v>28</v>
      </c>
    </row>
    <row r="3341" ht="10.95" customHeight="true" customFormat="true" s="9">
      <c r="A3341" s="20" t="s">
        <v>589</v>
      </c>
      <c r="B3341" s="20"/>
      <c r="C3341" s="20"/>
      <c r="D3341" s="20"/>
      <c r="E3341" s="20"/>
      <c r="F3341" s="20"/>
      <c r="G3341" s="21">
        <f ca="1">SUM(G3333:G3340)</f>
        <v>0</v>
      </c>
      <c r="H3341" s="21">
        <f ca="1">SUM(H3333:H3340)</f>
        <v>0</v>
      </c>
      <c r="I3341" s="21">
        <f ca="1">I3340</f>
        <v>0</v>
      </c>
      <c r="J3341" s="21">
        <f ca="1">SUM(J3333:J3340)</f>
        <v>0</v>
      </c>
      <c r="K3341" s="20"/>
      <c r="L3341" s="20"/>
    </row>
    <row r="3342" ht="10.95" customHeight="true" customFormat="true" s="9">
      <c r="A3342" s="20" t="s">
        <v>53</v>
      </c>
      <c r="B3342" s="20"/>
      <c r="C3342" s="20"/>
      <c r="D3342" s="20"/>
      <c r="E3342" s="20"/>
      <c r="F3342" s="20"/>
      <c r="G3342" s="21">
        <v>0</v>
      </c>
      <c r="H3342" s="21">
        <v>0</v>
      </c>
      <c r="I3342" s="21">
        <v>0</v>
      </c>
      <c r="J3342" s="21">
        <v>0</v>
      </c>
      <c r="K3342" s="20"/>
      <c r="L3342" s="20"/>
    </row>
    <row r="3343" ht="10.95" customHeight="true" customFormat="true" s="9">
      <c r="A3343" s="10" t="s">
        <v>54</v>
      </c>
      <c r="B3343" s="10"/>
      <c r="C3343" s="10"/>
      <c r="D3343" s="10"/>
      <c r="E3343" s="10"/>
      <c r="F3343" s="10"/>
      <c r="G3343" s="11">
        <v>0</v>
      </c>
      <c r="H3343" s="11">
        <v>0</v>
      </c>
      <c r="I3343" s="11">
        <f ca="1">I3340</f>
        <v>0</v>
      </c>
      <c r="J3343" s="11">
        <v>0</v>
      </c>
      <c r="K3343" s="10"/>
      <c r="L3343" s="10"/>
    </row>
    <row r="3344" ht="13.35" customHeight="true"/>
    <row r="3345" ht="12.1" customHeight="true" customFormat="true" s="5">
      <c r="A3345" s="8" t="s">
        <v>590</v>
      </c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</row>
    <row r="3346" ht="10.95" customHeight="true" customFormat="true" s="9">
      <c r="A3346" s="10" t="s">
        <v>16</v>
      </c>
      <c r="B3346" s="10"/>
      <c r="C3346" s="10"/>
      <c r="D3346" s="10"/>
      <c r="E3346" s="10"/>
      <c r="F3346" s="10"/>
      <c r="G3346" s="11">
        <v>146989.3000</v>
      </c>
      <c r="H3346" s="11">
        <v>0</v>
      </c>
      <c r="I3346" s="11">
        <f ca="1">(G3346 - H3346)</f>
        <v>0</v>
      </c>
      <c r="J3346" s="11">
        <v>0</v>
      </c>
      <c r="K3346" s="10"/>
      <c r="L3346" s="10"/>
    </row>
    <row r="3347" ht="10.95" customHeight="true" customFormat="true" s="9">
      <c r="A3347" s="12">
        <v>45473</v>
      </c>
      <c r="B3347" s="13" t="s">
        <v>591</v>
      </c>
      <c r="C3347" s="13" t="s">
        <v>572</v>
      </c>
      <c r="D3347" s="13" t="s">
        <v>25</v>
      </c>
      <c r="E3347" s="13" t="s">
        <v>592</v>
      </c>
      <c r="F3347" s="13" t="s">
        <v>50</v>
      </c>
      <c r="G3347" s="14">
        <v>0</v>
      </c>
      <c r="H3347" s="14">
        <v>5.0200</v>
      </c>
      <c r="I3347" s="14">
        <f ca="1">((I3346 + G3347) - H3347)</f>
        <v>0</v>
      </c>
      <c r="J3347" s="14">
        <v>0</v>
      </c>
      <c r="K3347" s="15">
        <v>0</v>
      </c>
      <c r="L3347" s="13" t="s">
        <v>28</v>
      </c>
    </row>
    <row r="3348" ht="10.95" customHeight="true" customFormat="true" s="9">
      <c r="A3348" s="16">
        <v>45473</v>
      </c>
      <c r="B3348" s="17" t="s">
        <v>591</v>
      </c>
      <c r="C3348" s="17" t="s">
        <v>572</v>
      </c>
      <c r="D3348" s="17" t="s">
        <v>25</v>
      </c>
      <c r="E3348" s="17" t="s">
        <v>61</v>
      </c>
      <c r="F3348" s="17" t="s">
        <v>50</v>
      </c>
      <c r="G3348" s="18">
        <v>0</v>
      </c>
      <c r="H3348" s="18">
        <v>26202.2700</v>
      </c>
      <c r="I3348" s="18">
        <f ca="1">((I3347 + G3348) - H3348)</f>
        <v>0</v>
      </c>
      <c r="J3348" s="18">
        <v>0</v>
      </c>
      <c r="K3348" s="19">
        <v>0</v>
      </c>
      <c r="L3348" s="17" t="s">
        <v>28</v>
      </c>
    </row>
    <row r="3349" ht="10.95" customHeight="true" customFormat="true" s="9">
      <c r="A3349" s="16">
        <v>45473</v>
      </c>
      <c r="B3349" s="17" t="s">
        <v>591</v>
      </c>
      <c r="C3349" s="17" t="s">
        <v>572</v>
      </c>
      <c r="D3349" s="17" t="s">
        <v>25</v>
      </c>
      <c r="E3349" s="17" t="s">
        <v>593</v>
      </c>
      <c r="F3349" s="17" t="s">
        <v>50</v>
      </c>
      <c r="G3349" s="18">
        <v>0</v>
      </c>
      <c r="H3349" s="18">
        <v>197.5200</v>
      </c>
      <c r="I3349" s="18">
        <f ca="1">((I3348 + G3349) - H3349)</f>
        <v>0</v>
      </c>
      <c r="J3349" s="18">
        <v>0</v>
      </c>
      <c r="K3349" s="19">
        <v>0</v>
      </c>
      <c r="L3349" s="17" t="s">
        <v>28</v>
      </c>
    </row>
    <row r="3350" ht="10.95" customHeight="true" customFormat="true" s="9">
      <c r="A3350" s="16">
        <v>45473</v>
      </c>
      <c r="B3350" s="17" t="s">
        <v>591</v>
      </c>
      <c r="C3350" s="17" t="s">
        <v>572</v>
      </c>
      <c r="D3350" s="17" t="s">
        <v>25</v>
      </c>
      <c r="E3350" s="17" t="s">
        <v>594</v>
      </c>
      <c r="F3350" s="17" t="s">
        <v>50</v>
      </c>
      <c r="G3350" s="18">
        <v>0</v>
      </c>
      <c r="H3350" s="18">
        <v>1572.4800</v>
      </c>
      <c r="I3350" s="18">
        <f ca="1">((I3349 + G3350) - H3350)</f>
        <v>0</v>
      </c>
      <c r="J3350" s="18">
        <v>0</v>
      </c>
      <c r="K3350" s="19">
        <v>0</v>
      </c>
      <c r="L3350" s="17" t="s">
        <v>28</v>
      </c>
    </row>
    <row r="3351" ht="10.95" customHeight="true" customFormat="true" s="9">
      <c r="A3351" s="20" t="s">
        <v>595</v>
      </c>
      <c r="B3351" s="20"/>
      <c r="C3351" s="20"/>
      <c r="D3351" s="20"/>
      <c r="E3351" s="20"/>
      <c r="F3351" s="20"/>
      <c r="G3351" s="21">
        <f ca="1">SUM(G3347:G3350)</f>
        <v>0</v>
      </c>
      <c r="H3351" s="21">
        <f ca="1">SUM(H3347:H3350)</f>
        <v>0</v>
      </c>
      <c r="I3351" s="21">
        <f ca="1">I3350</f>
        <v>0</v>
      </c>
      <c r="J3351" s="21">
        <f ca="1">SUM(J3347:J3350)</f>
        <v>0</v>
      </c>
      <c r="K3351" s="20"/>
      <c r="L3351" s="20"/>
    </row>
    <row r="3352" ht="10.95" customHeight="true" customFormat="true" s="9">
      <c r="A3352" s="20" t="s">
        <v>53</v>
      </c>
      <c r="B3352" s="20"/>
      <c r="C3352" s="20"/>
      <c r="D3352" s="20"/>
      <c r="E3352" s="20"/>
      <c r="F3352" s="20"/>
      <c r="G3352" s="21">
        <v>0</v>
      </c>
      <c r="H3352" s="21">
        <v>27977.2900</v>
      </c>
      <c r="I3352" s="21">
        <v>0</v>
      </c>
      <c r="J3352" s="21">
        <v>0</v>
      </c>
      <c r="K3352" s="20"/>
      <c r="L3352" s="20"/>
    </row>
    <row r="3353" ht="10.95" customHeight="true" customFormat="true" s="9">
      <c r="A3353" s="10" t="s">
        <v>54</v>
      </c>
      <c r="B3353" s="10"/>
      <c r="C3353" s="10"/>
      <c r="D3353" s="10"/>
      <c r="E3353" s="10"/>
      <c r="F3353" s="10"/>
      <c r="G3353" s="11">
        <v>119012.0100</v>
      </c>
      <c r="H3353" s="11">
        <v>0</v>
      </c>
      <c r="I3353" s="11">
        <f ca="1">I3350</f>
        <v>0</v>
      </c>
      <c r="J3353" s="11">
        <v>0</v>
      </c>
      <c r="K3353" s="10"/>
      <c r="L3353" s="10"/>
    </row>
    <row r="3354" ht="13.35" customHeight="true"/>
    <row r="3355" ht="12.1" customHeight="true" customFormat="true" s="5">
      <c r="A3355" s="8" t="s">
        <v>596</v>
      </c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</row>
    <row r="3356" ht="10.95" customHeight="true" customFormat="true" s="9">
      <c r="A3356" s="10" t="s">
        <v>16</v>
      </c>
      <c r="B3356" s="10"/>
      <c r="C3356" s="10"/>
      <c r="D3356" s="10"/>
      <c r="E3356" s="10"/>
      <c r="F3356" s="10"/>
      <c r="G3356" s="11">
        <v>278119.6700</v>
      </c>
      <c r="H3356" s="11">
        <v>0</v>
      </c>
      <c r="I3356" s="11">
        <f ca="1">(G3356 - H3356)</f>
        <v>0</v>
      </c>
      <c r="J3356" s="11">
        <v>0</v>
      </c>
      <c r="K3356" s="10"/>
      <c r="L3356" s="10"/>
    </row>
    <row r="3357" ht="10.95" customHeight="true" customFormat="true" s="9">
      <c r="A3357" s="12">
        <v>45473</v>
      </c>
      <c r="B3357" s="13" t="s">
        <v>597</v>
      </c>
      <c r="C3357" s="13" t="s">
        <v>572</v>
      </c>
      <c r="D3357" s="13" t="s">
        <v>25</v>
      </c>
      <c r="E3357" s="13" t="s">
        <v>61</v>
      </c>
      <c r="F3357" s="13" t="s">
        <v>50</v>
      </c>
      <c r="G3357" s="14">
        <v>0</v>
      </c>
      <c r="H3357" s="14">
        <v>42670.8900</v>
      </c>
      <c r="I3357" s="14">
        <f ca="1">((I3356 + G3357) - H3357)</f>
        <v>0</v>
      </c>
      <c r="J3357" s="14">
        <v>0</v>
      </c>
      <c r="K3357" s="15">
        <v>0</v>
      </c>
      <c r="L3357" s="13" t="s">
        <v>28</v>
      </c>
    </row>
    <row r="3358" ht="10.95" customHeight="true" customFormat="true" s="9">
      <c r="A3358" s="20" t="s">
        <v>598</v>
      </c>
      <c r="B3358" s="20"/>
      <c r="C3358" s="20"/>
      <c r="D3358" s="20"/>
      <c r="E3358" s="20"/>
      <c r="F3358" s="20"/>
      <c r="G3358" s="21">
        <f ca="1">G3357</f>
        <v>0</v>
      </c>
      <c r="H3358" s="21">
        <f ca="1">H3357</f>
        <v>0</v>
      </c>
      <c r="I3358" s="21">
        <f ca="1">I3357</f>
        <v>0</v>
      </c>
      <c r="J3358" s="21">
        <f ca="1">J3357</f>
        <v>0</v>
      </c>
      <c r="K3358" s="20"/>
      <c r="L3358" s="20"/>
    </row>
    <row r="3359" ht="10.95" customHeight="true" customFormat="true" s="9">
      <c r="A3359" s="20" t="s">
        <v>53</v>
      </c>
      <c r="B3359" s="20"/>
      <c r="C3359" s="20"/>
      <c r="D3359" s="20"/>
      <c r="E3359" s="20"/>
      <c r="F3359" s="20"/>
      <c r="G3359" s="21">
        <v>0</v>
      </c>
      <c r="H3359" s="21">
        <v>42670.8900</v>
      </c>
      <c r="I3359" s="21">
        <v>0</v>
      </c>
      <c r="J3359" s="21">
        <v>0</v>
      </c>
      <c r="K3359" s="20"/>
      <c r="L3359" s="20"/>
    </row>
    <row r="3360" ht="10.95" customHeight="true" customFormat="true" s="9">
      <c r="A3360" s="10" t="s">
        <v>54</v>
      </c>
      <c r="B3360" s="10"/>
      <c r="C3360" s="10"/>
      <c r="D3360" s="10"/>
      <c r="E3360" s="10"/>
      <c r="F3360" s="10"/>
      <c r="G3360" s="11">
        <v>235448.7800</v>
      </c>
      <c r="H3360" s="11">
        <v>0</v>
      </c>
      <c r="I3360" s="11">
        <f ca="1">I3357</f>
        <v>0</v>
      </c>
      <c r="J3360" s="11">
        <v>0</v>
      </c>
      <c r="K3360" s="10"/>
      <c r="L3360" s="10"/>
    </row>
    <row r="3361" ht="13.35" customHeight="true"/>
    <row r="3362" ht="12.1" customHeight="true" customFormat="true" s="5">
      <c r="A3362" s="8" t="s">
        <v>599</v>
      </c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</row>
    <row r="3363" ht="10.95" customHeight="true" customFormat="true" s="9">
      <c r="A3363" s="10" t="s">
        <v>16</v>
      </c>
      <c r="B3363" s="10"/>
      <c r="C3363" s="10"/>
      <c r="D3363" s="10"/>
      <c r="E3363" s="10"/>
      <c r="F3363" s="10"/>
      <c r="G3363" s="11">
        <v>240024.8200</v>
      </c>
      <c r="H3363" s="11">
        <v>0</v>
      </c>
      <c r="I3363" s="11">
        <f ca="1">(G3363 - H3363)</f>
        <v>0</v>
      </c>
      <c r="J3363" s="11">
        <v>0</v>
      </c>
      <c r="K3363" s="10"/>
      <c r="L3363" s="10"/>
    </row>
    <row r="3364" ht="10.95" customHeight="true" customFormat="true" s="9">
      <c r="A3364" s="12">
        <v>45199</v>
      </c>
      <c r="B3364" s="13" t="s">
        <v>600</v>
      </c>
      <c r="C3364" s="13" t="s">
        <v>572</v>
      </c>
      <c r="D3364" s="13" t="s">
        <v>25</v>
      </c>
      <c r="E3364" s="13" t="s">
        <v>273</v>
      </c>
      <c r="F3364" s="13" t="s">
        <v>27</v>
      </c>
      <c r="G3364" s="14">
        <v>0</v>
      </c>
      <c r="H3364" s="14">
        <v>5.0200</v>
      </c>
      <c r="I3364" s="14">
        <f ca="1">((I3363 + G3364) - H3364)</f>
        <v>0</v>
      </c>
      <c r="J3364" s="14">
        <v>0</v>
      </c>
      <c r="K3364" s="15">
        <v>0</v>
      </c>
      <c r="L3364" s="13" t="s">
        <v>28</v>
      </c>
    </row>
    <row r="3365" ht="10.95" customHeight="true" customFormat="true" s="9">
      <c r="A3365" s="16">
        <v>45199</v>
      </c>
      <c r="B3365" s="17" t="s">
        <v>600</v>
      </c>
      <c r="C3365" s="17" t="s">
        <v>572</v>
      </c>
      <c r="D3365" s="17" t="s">
        <v>25</v>
      </c>
      <c r="E3365" s="17" t="s">
        <v>144</v>
      </c>
      <c r="F3365" s="17" t="s">
        <v>27</v>
      </c>
      <c r="G3365" s="18">
        <v>0</v>
      </c>
      <c r="H3365" s="18">
        <v>3946.2500</v>
      </c>
      <c r="I3365" s="18">
        <f ca="1">((I3364 + G3365) - H3365)</f>
        <v>0</v>
      </c>
      <c r="J3365" s="18">
        <v>0</v>
      </c>
      <c r="K3365" s="19">
        <v>0</v>
      </c>
      <c r="L3365" s="17" t="s">
        <v>28</v>
      </c>
    </row>
    <row r="3366" ht="10.95" customHeight="true" customFormat="true" s="9">
      <c r="A3366" s="16">
        <v>45291</v>
      </c>
      <c r="B3366" s="17" t="s">
        <v>600</v>
      </c>
      <c r="C3366" s="17" t="s">
        <v>572</v>
      </c>
      <c r="D3366" s="17" t="s">
        <v>25</v>
      </c>
      <c r="E3366" s="17" t="s">
        <v>146</v>
      </c>
      <c r="F3366" s="17" t="s">
        <v>32</v>
      </c>
      <c r="G3366" s="18">
        <v>3946.2500</v>
      </c>
      <c r="H3366" s="18">
        <v>0</v>
      </c>
      <c r="I3366" s="18">
        <f ca="1">((I3365 + G3366) - H3366)</f>
        <v>0</v>
      </c>
      <c r="J3366" s="18">
        <v>0</v>
      </c>
      <c r="K3366" s="19">
        <v>0</v>
      </c>
      <c r="L3366" s="17" t="s">
        <v>28</v>
      </c>
    </row>
    <row r="3367" ht="10.95" customHeight="true" customFormat="true" s="9">
      <c r="A3367" s="16">
        <v>45473</v>
      </c>
      <c r="B3367" s="17" t="s">
        <v>600</v>
      </c>
      <c r="C3367" s="17" t="s">
        <v>572</v>
      </c>
      <c r="D3367" s="17" t="s">
        <v>25</v>
      </c>
      <c r="E3367" s="17" t="s">
        <v>601</v>
      </c>
      <c r="F3367" s="17" t="s">
        <v>50</v>
      </c>
      <c r="G3367" s="18">
        <v>5.0200</v>
      </c>
      <c r="H3367" s="18">
        <v>0</v>
      </c>
      <c r="I3367" s="18">
        <f ca="1">((I3366 + G3367) - H3367)</f>
        <v>0</v>
      </c>
      <c r="J3367" s="18">
        <v>0</v>
      </c>
      <c r="K3367" s="19">
        <v>0</v>
      </c>
      <c r="L3367" s="17" t="s">
        <v>28</v>
      </c>
    </row>
    <row r="3368" ht="10.95" customHeight="true" customFormat="true" s="9">
      <c r="A3368" s="16">
        <v>45473</v>
      </c>
      <c r="B3368" s="17" t="s">
        <v>600</v>
      </c>
      <c r="C3368" s="17" t="s">
        <v>572</v>
      </c>
      <c r="D3368" s="17" t="s">
        <v>25</v>
      </c>
      <c r="E3368" s="17" t="s">
        <v>61</v>
      </c>
      <c r="F3368" s="17" t="s">
        <v>50</v>
      </c>
      <c r="G3368" s="18">
        <v>0</v>
      </c>
      <c r="H3368" s="18">
        <v>30526.5900</v>
      </c>
      <c r="I3368" s="18">
        <f ca="1">((I3367 + G3368) - H3368)</f>
        <v>0</v>
      </c>
      <c r="J3368" s="18">
        <v>0</v>
      </c>
      <c r="K3368" s="19">
        <v>0</v>
      </c>
      <c r="L3368" s="17" t="s">
        <v>28</v>
      </c>
    </row>
    <row r="3369" ht="10.95" customHeight="true" customFormat="true" s="9">
      <c r="A3369" s="20" t="s">
        <v>602</v>
      </c>
      <c r="B3369" s="20"/>
      <c r="C3369" s="20"/>
      <c r="D3369" s="20"/>
      <c r="E3369" s="20"/>
      <c r="F3369" s="20"/>
      <c r="G3369" s="21">
        <f ca="1">SUM(G3364:G3368)</f>
        <v>0</v>
      </c>
      <c r="H3369" s="21">
        <f ca="1">SUM(H3364:H3368)</f>
        <v>0</v>
      </c>
      <c r="I3369" s="21">
        <f ca="1">I3368</f>
        <v>0</v>
      </c>
      <c r="J3369" s="21">
        <f ca="1">SUM(J3364:J3368)</f>
        <v>0</v>
      </c>
      <c r="K3369" s="20"/>
      <c r="L3369" s="20"/>
    </row>
    <row r="3370" ht="10.95" customHeight="true" customFormat="true" s="9">
      <c r="A3370" s="20" t="s">
        <v>53</v>
      </c>
      <c r="B3370" s="20"/>
      <c r="C3370" s="20"/>
      <c r="D3370" s="20"/>
      <c r="E3370" s="20"/>
      <c r="F3370" s="20"/>
      <c r="G3370" s="21">
        <v>0</v>
      </c>
      <c r="H3370" s="21">
        <v>30526.5900</v>
      </c>
      <c r="I3370" s="21">
        <v>0</v>
      </c>
      <c r="J3370" s="21">
        <v>0</v>
      </c>
      <c r="K3370" s="20"/>
      <c r="L3370" s="20"/>
    </row>
    <row r="3371" ht="10.95" customHeight="true" customFormat="true" s="9">
      <c r="A3371" s="10" t="s">
        <v>54</v>
      </c>
      <c r="B3371" s="10"/>
      <c r="C3371" s="10"/>
      <c r="D3371" s="10"/>
      <c r="E3371" s="10"/>
      <c r="F3371" s="10"/>
      <c r="G3371" s="11">
        <v>209498.2300</v>
      </c>
      <c r="H3371" s="11">
        <v>0</v>
      </c>
      <c r="I3371" s="11">
        <f ca="1">I3368</f>
        <v>0</v>
      </c>
      <c r="J3371" s="11">
        <v>0</v>
      </c>
      <c r="K3371" s="10"/>
      <c r="L3371" s="10"/>
    </row>
    <row r="3372" ht="13.35" customHeight="true"/>
    <row r="3373" ht="12.1" customHeight="true" customFormat="true" s="5">
      <c r="A3373" s="8" t="s">
        <v>603</v>
      </c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</row>
    <row r="3374" ht="10.95" customHeight="true" customFormat="true" s="9">
      <c r="A3374" s="10" t="s">
        <v>16</v>
      </c>
      <c r="B3374" s="10"/>
      <c r="C3374" s="10"/>
      <c r="D3374" s="10"/>
      <c r="E3374" s="10"/>
      <c r="F3374" s="10"/>
      <c r="G3374" s="11">
        <v>0</v>
      </c>
      <c r="H3374" s="11">
        <v>0</v>
      </c>
      <c r="I3374" s="11">
        <f ca="1">(G3374 - H3374)</f>
        <v>0</v>
      </c>
      <c r="J3374" s="11">
        <v>0</v>
      </c>
      <c r="K3374" s="10"/>
      <c r="L3374" s="10"/>
    </row>
    <row r="3375" ht="10.95" customHeight="true" customFormat="true" s="9">
      <c r="A3375" s="12">
        <v>45208</v>
      </c>
      <c r="B3375" s="13" t="s">
        <v>604</v>
      </c>
      <c r="C3375" s="13" t="s">
        <v>572</v>
      </c>
      <c r="D3375" s="13" t="s">
        <v>22</v>
      </c>
      <c r="E3375" s="13" t="s">
        <v>605</v>
      </c>
      <c r="F3375" s="13"/>
      <c r="G3375" s="14">
        <v>2976.0000</v>
      </c>
      <c r="H3375" s="14">
        <v>0</v>
      </c>
      <c r="I3375" s="14">
        <f ca="1">((I3374 + G3375) - H3375)</f>
        <v>0</v>
      </c>
      <c r="J3375" s="14">
        <v>0</v>
      </c>
      <c r="K3375" s="15">
        <v>0</v>
      </c>
      <c r="L3375" s="13" t="s">
        <v>28</v>
      </c>
    </row>
    <row r="3376" ht="10.95" customHeight="true" customFormat="true" s="9">
      <c r="A3376" s="16">
        <v>45473</v>
      </c>
      <c r="B3376" s="17" t="s">
        <v>604</v>
      </c>
      <c r="C3376" s="17" t="s">
        <v>572</v>
      </c>
      <c r="D3376" s="17" t="s">
        <v>25</v>
      </c>
      <c r="E3376" s="17" t="s">
        <v>540</v>
      </c>
      <c r="F3376" s="17" t="s">
        <v>50</v>
      </c>
      <c r="G3376" s="18">
        <v>47500.0000</v>
      </c>
      <c r="H3376" s="18">
        <v>0</v>
      </c>
      <c r="I3376" s="18">
        <f ca="1">((I3375 + G3376) - H3376)</f>
        <v>0</v>
      </c>
      <c r="J3376" s="18">
        <v>0</v>
      </c>
      <c r="K3376" s="19">
        <v>0</v>
      </c>
      <c r="L3376" s="17" t="s">
        <v>28</v>
      </c>
    </row>
    <row r="3377" ht="10.95" customHeight="true" customFormat="true" s="9">
      <c r="A3377" s="16">
        <v>45473</v>
      </c>
      <c r="B3377" s="17" t="s">
        <v>604</v>
      </c>
      <c r="C3377" s="17" t="s">
        <v>572</v>
      </c>
      <c r="D3377" s="17" t="s">
        <v>25</v>
      </c>
      <c r="E3377" s="17" t="s">
        <v>606</v>
      </c>
      <c r="F3377" s="17" t="s">
        <v>50</v>
      </c>
      <c r="G3377" s="18">
        <v>2302.6600</v>
      </c>
      <c r="H3377" s="18">
        <v>0</v>
      </c>
      <c r="I3377" s="18">
        <f ca="1">((I3376 + G3377) - H3377)</f>
        <v>0</v>
      </c>
      <c r="J3377" s="18">
        <v>0</v>
      </c>
      <c r="K3377" s="19">
        <v>0</v>
      </c>
      <c r="L3377" s="17" t="s">
        <v>28</v>
      </c>
    </row>
    <row r="3378" ht="10.95" customHeight="true" customFormat="true" s="9">
      <c r="A3378" s="20" t="s">
        <v>607</v>
      </c>
      <c r="B3378" s="20"/>
      <c r="C3378" s="20"/>
      <c r="D3378" s="20"/>
      <c r="E3378" s="20"/>
      <c r="F3378" s="20"/>
      <c r="G3378" s="21">
        <f ca="1">SUM(G3375:G3377)</f>
        <v>0</v>
      </c>
      <c r="H3378" s="21">
        <f ca="1">SUM(H3375:H3377)</f>
        <v>0</v>
      </c>
      <c r="I3378" s="21">
        <f ca="1">I3377</f>
        <v>0</v>
      </c>
      <c r="J3378" s="21">
        <f ca="1">SUM(J3375:J3377)</f>
        <v>0</v>
      </c>
      <c r="K3378" s="20"/>
      <c r="L3378" s="20"/>
    </row>
    <row r="3379" ht="10.95" customHeight="true" customFormat="true" s="9">
      <c r="A3379" s="20" t="s">
        <v>53</v>
      </c>
      <c r="B3379" s="20"/>
      <c r="C3379" s="20"/>
      <c r="D3379" s="20"/>
      <c r="E3379" s="20"/>
      <c r="F3379" s="20"/>
      <c r="G3379" s="21">
        <v>52778.6600</v>
      </c>
      <c r="H3379" s="21">
        <v>0</v>
      </c>
      <c r="I3379" s="21">
        <v>0</v>
      </c>
      <c r="J3379" s="21">
        <v>0</v>
      </c>
      <c r="K3379" s="20"/>
      <c r="L3379" s="20"/>
    </row>
    <row r="3380" ht="10.95" customHeight="true" customFormat="true" s="9">
      <c r="A3380" s="10" t="s">
        <v>54</v>
      </c>
      <c r="B3380" s="10"/>
      <c r="C3380" s="10"/>
      <c r="D3380" s="10"/>
      <c r="E3380" s="10"/>
      <c r="F3380" s="10"/>
      <c r="G3380" s="11">
        <v>52778.6600</v>
      </c>
      <c r="H3380" s="11">
        <v>0</v>
      </c>
      <c r="I3380" s="11">
        <f ca="1">I3377</f>
        <v>0</v>
      </c>
      <c r="J3380" s="11">
        <v>0</v>
      </c>
      <c r="K3380" s="10"/>
      <c r="L3380" s="10"/>
    </row>
    <row r="3381" ht="13.35" customHeight="true"/>
    <row r="3382" ht="12.1" customHeight="true" customFormat="true" s="5">
      <c r="A3382" s="8" t="s">
        <v>608</v>
      </c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</row>
    <row r="3383" ht="10.95" customHeight="true" customFormat="true" s="9">
      <c r="A3383" s="10" t="s">
        <v>16</v>
      </c>
      <c r="B3383" s="10"/>
      <c r="C3383" s="10"/>
      <c r="D3383" s="10"/>
      <c r="E3383" s="10"/>
      <c r="F3383" s="10"/>
      <c r="G3383" s="11">
        <v>0</v>
      </c>
      <c r="H3383" s="11">
        <v>0</v>
      </c>
      <c r="I3383" s="11">
        <f ca="1">(G3383 - H3383)</f>
        <v>0</v>
      </c>
      <c r="J3383" s="11">
        <v>0</v>
      </c>
      <c r="K3383" s="10"/>
      <c r="L3383" s="10"/>
    </row>
    <row r="3384" ht="10.95" customHeight="true" customFormat="true" s="9">
      <c r="A3384" s="12">
        <v>45138</v>
      </c>
      <c r="B3384" s="13" t="s">
        <v>609</v>
      </c>
      <c r="C3384" s="13" t="s">
        <v>610</v>
      </c>
      <c r="D3384" s="13" t="s">
        <v>22</v>
      </c>
      <c r="E3384" s="13" t="s">
        <v>611</v>
      </c>
      <c r="F3384" s="13"/>
      <c r="G3384" s="14">
        <v>861.3300</v>
      </c>
      <c r="H3384" s="14">
        <v>0</v>
      </c>
      <c r="I3384" s="14">
        <f ca="1">((I3383 + G3384) - H3384)</f>
        <v>0</v>
      </c>
      <c r="J3384" s="14">
        <v>0</v>
      </c>
      <c r="K3384" s="15">
        <v>0</v>
      </c>
      <c r="L3384" s="13" t="s">
        <v>28</v>
      </c>
    </row>
    <row r="3385" ht="10.95" customHeight="true" customFormat="true" s="9">
      <c r="A3385" s="16">
        <v>45166</v>
      </c>
      <c r="B3385" s="17" t="s">
        <v>609</v>
      </c>
      <c r="C3385" s="17" t="s">
        <v>610</v>
      </c>
      <c r="D3385" s="17" t="s">
        <v>22</v>
      </c>
      <c r="E3385" s="17" t="s">
        <v>611</v>
      </c>
      <c r="F3385" s="17"/>
      <c r="G3385" s="18">
        <v>302.5500</v>
      </c>
      <c r="H3385" s="18">
        <v>0</v>
      </c>
      <c r="I3385" s="18">
        <f ca="1">((I3384 + G3385) - H3385)</f>
        <v>0</v>
      </c>
      <c r="J3385" s="18">
        <v>0</v>
      </c>
      <c r="K3385" s="19">
        <v>0</v>
      </c>
      <c r="L3385" s="17" t="s">
        <v>28</v>
      </c>
    </row>
    <row r="3386" ht="10.95" customHeight="true" customFormat="true" s="9">
      <c r="A3386" s="16">
        <v>45198</v>
      </c>
      <c r="B3386" s="17" t="s">
        <v>609</v>
      </c>
      <c r="C3386" s="17" t="s">
        <v>610</v>
      </c>
      <c r="D3386" s="17" t="s">
        <v>22</v>
      </c>
      <c r="E3386" s="17" t="s">
        <v>612</v>
      </c>
      <c r="F3386" s="17"/>
      <c r="G3386" s="18">
        <v>2411.4400</v>
      </c>
      <c r="H3386" s="18">
        <v>0</v>
      </c>
      <c r="I3386" s="18">
        <f ca="1">((I3385 + G3386) - H3386)</f>
        <v>0</v>
      </c>
      <c r="J3386" s="18">
        <v>0</v>
      </c>
      <c r="K3386" s="19">
        <v>0</v>
      </c>
      <c r="L3386" s="17" t="s">
        <v>28</v>
      </c>
    </row>
    <row r="3387" ht="10.95" customHeight="true" customFormat="true" s="9">
      <c r="A3387" s="16">
        <v>45230</v>
      </c>
      <c r="B3387" s="17" t="s">
        <v>609</v>
      </c>
      <c r="C3387" s="17" t="s">
        <v>610</v>
      </c>
      <c r="D3387" s="17" t="s">
        <v>22</v>
      </c>
      <c r="E3387" s="17" t="s">
        <v>613</v>
      </c>
      <c r="F3387" s="17"/>
      <c r="G3387" s="18">
        <v>686.6900</v>
      </c>
      <c r="H3387" s="18">
        <v>0</v>
      </c>
      <c r="I3387" s="18">
        <f ca="1">((I3386 + G3387) - H3387)</f>
        <v>0</v>
      </c>
      <c r="J3387" s="18">
        <v>0</v>
      </c>
      <c r="K3387" s="19">
        <v>0</v>
      </c>
      <c r="L3387" s="17" t="s">
        <v>28</v>
      </c>
    </row>
    <row r="3388" ht="10.95" customHeight="true" customFormat="true" s="9">
      <c r="A3388" s="16">
        <v>45291</v>
      </c>
      <c r="B3388" s="17" t="s">
        <v>609</v>
      </c>
      <c r="C3388" s="17" t="s">
        <v>610</v>
      </c>
      <c r="D3388" s="17" t="s">
        <v>25</v>
      </c>
      <c r="E3388" s="17" t="s">
        <v>113</v>
      </c>
      <c r="F3388" s="17" t="s">
        <v>32</v>
      </c>
      <c r="G3388" s="18">
        <v>0</v>
      </c>
      <c r="H3388" s="18">
        <v>2799.8400</v>
      </c>
      <c r="I3388" s="18">
        <f ca="1">((I3387 + G3388) - H3388)</f>
        <v>0</v>
      </c>
      <c r="J3388" s="18">
        <v>0</v>
      </c>
      <c r="K3388" s="19">
        <v>0</v>
      </c>
      <c r="L3388" s="17" t="s">
        <v>28</v>
      </c>
    </row>
    <row r="3389" ht="10.95" customHeight="true" customFormat="true" s="9">
      <c r="A3389" s="16">
        <v>45296</v>
      </c>
      <c r="B3389" s="17" t="s">
        <v>609</v>
      </c>
      <c r="C3389" s="17" t="s">
        <v>610</v>
      </c>
      <c r="D3389" s="17" t="s">
        <v>22</v>
      </c>
      <c r="E3389" s="17" t="s">
        <v>613</v>
      </c>
      <c r="F3389" s="17"/>
      <c r="G3389" s="18">
        <v>2133.1000</v>
      </c>
      <c r="H3389" s="18">
        <v>0</v>
      </c>
      <c r="I3389" s="18">
        <f ca="1">((I3388 + G3389) - H3389)</f>
        <v>0</v>
      </c>
      <c r="J3389" s="18">
        <v>0</v>
      </c>
      <c r="K3389" s="19">
        <v>0</v>
      </c>
      <c r="L3389" s="17" t="s">
        <v>28</v>
      </c>
    </row>
    <row r="3390" ht="10.95" customHeight="true" customFormat="true" s="9">
      <c r="A3390" s="16">
        <v>45382</v>
      </c>
      <c r="B3390" s="17" t="s">
        <v>609</v>
      </c>
      <c r="C3390" s="17" t="s">
        <v>610</v>
      </c>
      <c r="D3390" s="17" t="s">
        <v>25</v>
      </c>
      <c r="E3390" s="17" t="s">
        <v>329</v>
      </c>
      <c r="F3390" s="17" t="s">
        <v>39</v>
      </c>
      <c r="G3390" s="18">
        <v>0</v>
      </c>
      <c r="H3390" s="18">
        <v>405.5000</v>
      </c>
      <c r="I3390" s="18">
        <f ca="1">((I3389 + G3390) - H3390)</f>
        <v>0</v>
      </c>
      <c r="J3390" s="18">
        <v>0</v>
      </c>
      <c r="K3390" s="19">
        <v>0</v>
      </c>
      <c r="L3390" s="17" t="s">
        <v>28</v>
      </c>
    </row>
    <row r="3391" ht="10.95" customHeight="true" customFormat="true" s="9">
      <c r="A3391" s="16">
        <v>45473</v>
      </c>
      <c r="B3391" s="17" t="s">
        <v>609</v>
      </c>
      <c r="C3391" s="17" t="s">
        <v>610</v>
      </c>
      <c r="D3391" s="17" t="s">
        <v>25</v>
      </c>
      <c r="E3391" s="17" t="s">
        <v>138</v>
      </c>
      <c r="F3391" s="17" t="s">
        <v>47</v>
      </c>
      <c r="G3391" s="18">
        <v>0</v>
      </c>
      <c r="H3391" s="18">
        <v>887.1100</v>
      </c>
      <c r="I3391" s="18">
        <f ca="1">((I3390 + G3391) - H3391)</f>
        <v>0</v>
      </c>
      <c r="J3391" s="18">
        <v>0</v>
      </c>
      <c r="K3391" s="19">
        <v>0</v>
      </c>
      <c r="L3391" s="17" t="s">
        <v>28</v>
      </c>
    </row>
    <row r="3392" ht="10.95" customHeight="true" customFormat="true" s="9">
      <c r="A3392" s="16">
        <v>45473</v>
      </c>
      <c r="B3392" s="17" t="s">
        <v>609</v>
      </c>
      <c r="C3392" s="17" t="s">
        <v>610</v>
      </c>
      <c r="D3392" s="17" t="s">
        <v>25</v>
      </c>
      <c r="E3392" s="17" t="s">
        <v>614</v>
      </c>
      <c r="F3392" s="17" t="s">
        <v>50</v>
      </c>
      <c r="G3392" s="18">
        <v>0</v>
      </c>
      <c r="H3392" s="18">
        <v>2302.6600</v>
      </c>
      <c r="I3392" s="18">
        <f ca="1">((I3391 + G3392) - H3392)</f>
        <v>0</v>
      </c>
      <c r="J3392" s="18">
        <v>0</v>
      </c>
      <c r="K3392" s="19">
        <v>0</v>
      </c>
      <c r="L3392" s="17" t="s">
        <v>28</v>
      </c>
    </row>
    <row r="3393" ht="10.95" customHeight="true" customFormat="true" s="9">
      <c r="A3393" s="20" t="s">
        <v>615</v>
      </c>
      <c r="B3393" s="20"/>
      <c r="C3393" s="20"/>
      <c r="D3393" s="20"/>
      <c r="E3393" s="20"/>
      <c r="F3393" s="20"/>
      <c r="G3393" s="21">
        <f ca="1">SUM(G3384:G3392)</f>
        <v>0</v>
      </c>
      <c r="H3393" s="21">
        <f ca="1">SUM(H3384:H3392)</f>
        <v>0</v>
      </c>
      <c r="I3393" s="21">
        <f ca="1">I3392</f>
        <v>0</v>
      </c>
      <c r="J3393" s="21">
        <f ca="1">SUM(J3384:J3392)</f>
        <v>0</v>
      </c>
      <c r="K3393" s="20"/>
      <c r="L3393" s="20"/>
    </row>
    <row r="3394" ht="10.95" customHeight="true" customFormat="true" s="9">
      <c r="A3394" s="20" t="s">
        <v>53</v>
      </c>
      <c r="B3394" s="20"/>
      <c r="C3394" s="20"/>
      <c r="D3394" s="20"/>
      <c r="E3394" s="20"/>
      <c r="F3394" s="20"/>
      <c r="G3394" s="21">
        <v>0</v>
      </c>
      <c r="H3394" s="21">
        <v>0</v>
      </c>
      <c r="I3394" s="21">
        <v>0</v>
      </c>
      <c r="J3394" s="21">
        <v>0</v>
      </c>
      <c r="K3394" s="20"/>
      <c r="L3394" s="20"/>
    </row>
    <row r="3395" ht="10.95" customHeight="true" customFormat="true" s="9">
      <c r="A3395" s="10" t="s">
        <v>54</v>
      </c>
      <c r="B3395" s="10"/>
      <c r="C3395" s="10"/>
      <c r="D3395" s="10"/>
      <c r="E3395" s="10"/>
      <c r="F3395" s="10"/>
      <c r="G3395" s="11">
        <v>0</v>
      </c>
      <c r="H3395" s="11">
        <v>0</v>
      </c>
      <c r="I3395" s="11">
        <f ca="1">I3392</f>
        <v>0</v>
      </c>
      <c r="J3395" s="11">
        <v>0</v>
      </c>
      <c r="K3395" s="10"/>
      <c r="L3395" s="10"/>
    </row>
    <row r="3396" ht="13.35" customHeight="true"/>
    <row r="3397" ht="12.1" customHeight="true" customFormat="true" s="5">
      <c r="A3397" s="8" t="s">
        <v>616</v>
      </c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</row>
    <row r="3398" ht="10.95" customHeight="true" customFormat="true" s="9">
      <c r="A3398" s="10" t="s">
        <v>16</v>
      </c>
      <c r="B3398" s="10"/>
      <c r="C3398" s="10"/>
      <c r="D3398" s="10"/>
      <c r="E3398" s="10"/>
      <c r="F3398" s="10"/>
      <c r="G3398" s="11">
        <v>0</v>
      </c>
      <c r="H3398" s="11">
        <v>10728.2900</v>
      </c>
      <c r="I3398" s="11">
        <f ca="1">(G3398 - H3398)</f>
        <v>0</v>
      </c>
      <c r="J3398" s="11">
        <v>0</v>
      </c>
      <c r="K3398" s="10"/>
      <c r="L3398" s="10"/>
    </row>
    <row r="3399" ht="10.95" customHeight="true" customFormat="true" s="9">
      <c r="A3399" s="12">
        <v>45110</v>
      </c>
      <c r="B3399" s="13" t="s">
        <v>617</v>
      </c>
      <c r="C3399" s="13" t="s">
        <v>572</v>
      </c>
      <c r="D3399" s="13" t="s">
        <v>333</v>
      </c>
      <c r="E3399" s="13" t="s">
        <v>618</v>
      </c>
      <c r="F3399" s="13" t="s">
        <v>335</v>
      </c>
      <c r="G3399" s="14">
        <v>0</v>
      </c>
      <c r="H3399" s="14">
        <v>819.0000</v>
      </c>
      <c r="I3399" s="14">
        <f ca="1">((I3398 + G3399) - H3399)</f>
        <v>0</v>
      </c>
      <c r="J3399" s="14">
        <v>0</v>
      </c>
      <c r="K3399" s="15">
        <v>0</v>
      </c>
      <c r="L3399" s="13" t="s">
        <v>28</v>
      </c>
    </row>
    <row r="3400" ht="10.95" customHeight="true" customFormat="true" s="9">
      <c r="A3400" s="16">
        <v>45117</v>
      </c>
      <c r="B3400" s="17" t="s">
        <v>617</v>
      </c>
      <c r="C3400" s="17" t="s">
        <v>572</v>
      </c>
      <c r="D3400" s="17" t="s">
        <v>333</v>
      </c>
      <c r="E3400" s="17" t="s">
        <v>618</v>
      </c>
      <c r="F3400" s="17" t="s">
        <v>336</v>
      </c>
      <c r="G3400" s="18">
        <v>0</v>
      </c>
      <c r="H3400" s="18">
        <v>1338.0000</v>
      </c>
      <c r="I3400" s="18">
        <f ca="1">((I3399 + G3400) - H3400)</f>
        <v>0</v>
      </c>
      <c r="J3400" s="18">
        <v>0</v>
      </c>
      <c r="K3400" s="19">
        <v>0</v>
      </c>
      <c r="L3400" s="17" t="s">
        <v>28</v>
      </c>
    </row>
    <row r="3401" ht="10.95" customHeight="true" customFormat="true" s="9">
      <c r="A3401" s="16">
        <v>45124</v>
      </c>
      <c r="B3401" s="17" t="s">
        <v>617</v>
      </c>
      <c r="C3401" s="17" t="s">
        <v>572</v>
      </c>
      <c r="D3401" s="17" t="s">
        <v>333</v>
      </c>
      <c r="E3401" s="17" t="s">
        <v>618</v>
      </c>
      <c r="F3401" s="17" t="s">
        <v>337</v>
      </c>
      <c r="G3401" s="18">
        <v>0</v>
      </c>
      <c r="H3401" s="18">
        <v>1319.0000</v>
      </c>
      <c r="I3401" s="18">
        <f ca="1">((I3400 + G3401) - H3401)</f>
        <v>0</v>
      </c>
      <c r="J3401" s="18">
        <v>0</v>
      </c>
      <c r="K3401" s="19">
        <v>0</v>
      </c>
      <c r="L3401" s="17" t="s">
        <v>28</v>
      </c>
    </row>
    <row r="3402" ht="10.95" customHeight="true" customFormat="true" s="9">
      <c r="A3402" s="16">
        <v>45131</v>
      </c>
      <c r="B3402" s="17" t="s">
        <v>617</v>
      </c>
      <c r="C3402" s="17" t="s">
        <v>572</v>
      </c>
      <c r="D3402" s="17" t="s">
        <v>333</v>
      </c>
      <c r="E3402" s="17" t="s">
        <v>618</v>
      </c>
      <c r="F3402" s="17" t="s">
        <v>338</v>
      </c>
      <c r="G3402" s="18">
        <v>0</v>
      </c>
      <c r="H3402" s="18">
        <v>1319.0000</v>
      </c>
      <c r="I3402" s="18">
        <f ca="1">((I3401 + G3402) - H3402)</f>
        <v>0</v>
      </c>
      <c r="J3402" s="18">
        <v>0</v>
      </c>
      <c r="K3402" s="19">
        <v>0</v>
      </c>
      <c r="L3402" s="17" t="s">
        <v>28</v>
      </c>
    </row>
    <row r="3403" ht="10.95" customHeight="true" customFormat="true" s="9">
      <c r="A3403" s="16">
        <v>45138</v>
      </c>
      <c r="B3403" s="17" t="s">
        <v>617</v>
      </c>
      <c r="C3403" s="17" t="s">
        <v>572</v>
      </c>
      <c r="D3403" s="17" t="s">
        <v>333</v>
      </c>
      <c r="E3403" s="17" t="s">
        <v>618</v>
      </c>
      <c r="F3403" s="17" t="s">
        <v>339</v>
      </c>
      <c r="G3403" s="18">
        <v>0</v>
      </c>
      <c r="H3403" s="18">
        <v>1303.0000</v>
      </c>
      <c r="I3403" s="18">
        <f ca="1">((I3402 + G3403) - H3403)</f>
        <v>0</v>
      </c>
      <c r="J3403" s="18">
        <v>0</v>
      </c>
      <c r="K3403" s="19">
        <v>0</v>
      </c>
      <c r="L3403" s="17" t="s">
        <v>28</v>
      </c>
    </row>
    <row r="3404" ht="10.95" customHeight="true" customFormat="true" s="9">
      <c r="A3404" s="16">
        <v>45145</v>
      </c>
      <c r="B3404" s="17" t="s">
        <v>617</v>
      </c>
      <c r="C3404" s="17" t="s">
        <v>572</v>
      </c>
      <c r="D3404" s="17" t="s">
        <v>333</v>
      </c>
      <c r="E3404" s="17" t="s">
        <v>618</v>
      </c>
      <c r="F3404" s="17" t="s">
        <v>340</v>
      </c>
      <c r="G3404" s="18">
        <v>0</v>
      </c>
      <c r="H3404" s="18">
        <v>1323.0000</v>
      </c>
      <c r="I3404" s="18">
        <f ca="1">((I3403 + G3404) - H3404)</f>
        <v>0</v>
      </c>
      <c r="J3404" s="18">
        <v>0</v>
      </c>
      <c r="K3404" s="19">
        <v>0</v>
      </c>
      <c r="L3404" s="17" t="s">
        <v>28</v>
      </c>
    </row>
    <row r="3405" ht="10.95" customHeight="true" customFormat="true" s="9">
      <c r="A3405" s="16">
        <v>45152</v>
      </c>
      <c r="B3405" s="17" t="s">
        <v>617</v>
      </c>
      <c r="C3405" s="17" t="s">
        <v>572</v>
      </c>
      <c r="D3405" s="17" t="s">
        <v>333</v>
      </c>
      <c r="E3405" s="17" t="s">
        <v>618</v>
      </c>
      <c r="F3405" s="17" t="s">
        <v>341</v>
      </c>
      <c r="G3405" s="18">
        <v>0</v>
      </c>
      <c r="H3405" s="18">
        <v>1346.0000</v>
      </c>
      <c r="I3405" s="18">
        <f ca="1">((I3404 + G3405) - H3405)</f>
        <v>0</v>
      </c>
      <c r="J3405" s="18">
        <v>0</v>
      </c>
      <c r="K3405" s="19">
        <v>0</v>
      </c>
      <c r="L3405" s="17" t="s">
        <v>28</v>
      </c>
    </row>
    <row r="3406" ht="10.95" customHeight="true" customFormat="true" s="9">
      <c r="A3406" s="16">
        <v>45159</v>
      </c>
      <c r="B3406" s="17" t="s">
        <v>617</v>
      </c>
      <c r="C3406" s="17" t="s">
        <v>572</v>
      </c>
      <c r="D3406" s="17" t="s">
        <v>333</v>
      </c>
      <c r="E3406" s="17" t="s">
        <v>618</v>
      </c>
      <c r="F3406" s="17" t="s">
        <v>342</v>
      </c>
      <c r="G3406" s="18">
        <v>0</v>
      </c>
      <c r="H3406" s="18">
        <v>1373.0000</v>
      </c>
      <c r="I3406" s="18">
        <f ca="1">((I3405 + G3406) - H3406)</f>
        <v>0</v>
      </c>
      <c r="J3406" s="18">
        <v>0</v>
      </c>
      <c r="K3406" s="19">
        <v>0</v>
      </c>
      <c r="L3406" s="17" t="s">
        <v>28</v>
      </c>
    </row>
    <row r="3407" ht="10.95" customHeight="true" customFormat="true" s="9">
      <c r="A3407" s="16">
        <v>45166</v>
      </c>
      <c r="B3407" s="17" t="s">
        <v>617</v>
      </c>
      <c r="C3407" s="17" t="s">
        <v>572</v>
      </c>
      <c r="D3407" s="17" t="s">
        <v>333</v>
      </c>
      <c r="E3407" s="17" t="s">
        <v>618</v>
      </c>
      <c r="F3407" s="17" t="s">
        <v>343</v>
      </c>
      <c r="G3407" s="18">
        <v>0</v>
      </c>
      <c r="H3407" s="18">
        <v>1389.0000</v>
      </c>
      <c r="I3407" s="18">
        <f ca="1">((I3406 + G3407) - H3407)</f>
        <v>0</v>
      </c>
      <c r="J3407" s="18">
        <v>0</v>
      </c>
      <c r="K3407" s="19">
        <v>0</v>
      </c>
      <c r="L3407" s="17" t="s">
        <v>28</v>
      </c>
    </row>
    <row r="3408" ht="10.95" customHeight="true" customFormat="true" s="9">
      <c r="A3408" s="16">
        <v>45173</v>
      </c>
      <c r="B3408" s="17" t="s">
        <v>617</v>
      </c>
      <c r="C3408" s="17" t="s">
        <v>572</v>
      </c>
      <c r="D3408" s="17" t="s">
        <v>333</v>
      </c>
      <c r="E3408" s="17" t="s">
        <v>618</v>
      </c>
      <c r="F3408" s="17" t="s">
        <v>344</v>
      </c>
      <c r="G3408" s="18">
        <v>0</v>
      </c>
      <c r="H3408" s="18">
        <v>1353.0000</v>
      </c>
      <c r="I3408" s="18">
        <f ca="1">((I3407 + G3408) - H3408)</f>
        <v>0</v>
      </c>
      <c r="J3408" s="18">
        <v>0</v>
      </c>
      <c r="K3408" s="19">
        <v>0</v>
      </c>
      <c r="L3408" s="17" t="s">
        <v>28</v>
      </c>
    </row>
    <row r="3409" ht="10.95" customHeight="true" customFormat="true" s="9">
      <c r="A3409" s="16">
        <v>45180</v>
      </c>
      <c r="B3409" s="17" t="s">
        <v>617</v>
      </c>
      <c r="C3409" s="17" t="s">
        <v>572</v>
      </c>
      <c r="D3409" s="17" t="s">
        <v>333</v>
      </c>
      <c r="E3409" s="17" t="s">
        <v>618</v>
      </c>
      <c r="F3409" s="17" t="s">
        <v>345</v>
      </c>
      <c r="G3409" s="18">
        <v>0</v>
      </c>
      <c r="H3409" s="18">
        <v>1381.0000</v>
      </c>
      <c r="I3409" s="18">
        <f ca="1">((I3408 + G3409) - H3409)</f>
        <v>0</v>
      </c>
      <c r="J3409" s="18">
        <v>0</v>
      </c>
      <c r="K3409" s="19">
        <v>0</v>
      </c>
      <c r="L3409" s="17" t="s">
        <v>28</v>
      </c>
    </row>
    <row r="3410" ht="10.95" customHeight="true" customFormat="true" s="9">
      <c r="A3410" s="16">
        <v>45187</v>
      </c>
      <c r="B3410" s="17" t="s">
        <v>617</v>
      </c>
      <c r="C3410" s="17" t="s">
        <v>572</v>
      </c>
      <c r="D3410" s="17" t="s">
        <v>333</v>
      </c>
      <c r="E3410" s="17" t="s">
        <v>618</v>
      </c>
      <c r="F3410" s="17" t="s">
        <v>346</v>
      </c>
      <c r="G3410" s="18">
        <v>0</v>
      </c>
      <c r="H3410" s="18">
        <v>1345.0000</v>
      </c>
      <c r="I3410" s="18">
        <f ca="1">((I3409 + G3410) - H3410)</f>
        <v>0</v>
      </c>
      <c r="J3410" s="18">
        <v>0</v>
      </c>
      <c r="K3410" s="19">
        <v>0</v>
      </c>
      <c r="L3410" s="17" t="s">
        <v>28</v>
      </c>
    </row>
    <row r="3411" ht="10.95" customHeight="true" customFormat="true" s="9">
      <c r="A3411" s="16">
        <v>45194</v>
      </c>
      <c r="B3411" s="17" t="s">
        <v>617</v>
      </c>
      <c r="C3411" s="17" t="s">
        <v>572</v>
      </c>
      <c r="D3411" s="17" t="s">
        <v>333</v>
      </c>
      <c r="E3411" s="17" t="s">
        <v>618</v>
      </c>
      <c r="F3411" s="17" t="s">
        <v>347</v>
      </c>
      <c r="G3411" s="18">
        <v>0</v>
      </c>
      <c r="H3411" s="18">
        <v>1338.0000</v>
      </c>
      <c r="I3411" s="18">
        <f ca="1">((I3410 + G3411) - H3411)</f>
        <v>0</v>
      </c>
      <c r="J3411" s="18">
        <v>0</v>
      </c>
      <c r="K3411" s="19">
        <v>0</v>
      </c>
      <c r="L3411" s="17" t="s">
        <v>28</v>
      </c>
    </row>
    <row r="3412" ht="10.95" customHeight="true" customFormat="true" s="9">
      <c r="A3412" s="16">
        <v>45199</v>
      </c>
      <c r="B3412" s="17" t="s">
        <v>617</v>
      </c>
      <c r="C3412" s="17" t="s">
        <v>572</v>
      </c>
      <c r="D3412" s="17" t="s">
        <v>25</v>
      </c>
      <c r="E3412" s="17" t="s">
        <v>579</v>
      </c>
      <c r="F3412" s="17" t="s">
        <v>27</v>
      </c>
      <c r="G3412" s="18">
        <v>10729.0000</v>
      </c>
      <c r="H3412" s="18">
        <v>0</v>
      </c>
      <c r="I3412" s="18">
        <f ca="1">((I3411 + G3412) - H3412)</f>
        <v>0</v>
      </c>
      <c r="J3412" s="18">
        <v>0</v>
      </c>
      <c r="K3412" s="19">
        <v>0</v>
      </c>
      <c r="L3412" s="17" t="s">
        <v>28</v>
      </c>
    </row>
    <row r="3413" ht="10.95" customHeight="true" customFormat="true" s="9">
      <c r="A3413" s="16">
        <v>45199</v>
      </c>
      <c r="B3413" s="17" t="s">
        <v>617</v>
      </c>
      <c r="C3413" s="17" t="s">
        <v>572</v>
      </c>
      <c r="D3413" s="17" t="s">
        <v>25</v>
      </c>
      <c r="E3413" s="17" t="s">
        <v>579</v>
      </c>
      <c r="F3413" s="17" t="s">
        <v>27</v>
      </c>
      <c r="G3413" s="18">
        <v>6098.0000</v>
      </c>
      <c r="H3413" s="18">
        <v>0</v>
      </c>
      <c r="I3413" s="18">
        <f ca="1">((I3412 + G3413) - H3413)</f>
        <v>0</v>
      </c>
      <c r="J3413" s="18">
        <v>0</v>
      </c>
      <c r="K3413" s="19">
        <v>0</v>
      </c>
      <c r="L3413" s="17" t="s">
        <v>28</v>
      </c>
    </row>
    <row r="3414" ht="10.95" customHeight="true" customFormat="true" s="9">
      <c r="A3414" s="16">
        <v>45199</v>
      </c>
      <c r="B3414" s="17" t="s">
        <v>617</v>
      </c>
      <c r="C3414" s="17" t="s">
        <v>572</v>
      </c>
      <c r="D3414" s="17" t="s">
        <v>25</v>
      </c>
      <c r="E3414" s="17" t="s">
        <v>579</v>
      </c>
      <c r="F3414" s="17" t="s">
        <v>27</v>
      </c>
      <c r="G3414" s="18">
        <v>5431.0000</v>
      </c>
      <c r="H3414" s="18">
        <v>0</v>
      </c>
      <c r="I3414" s="18">
        <f ca="1">((I3413 + G3414) - H3414)</f>
        <v>0</v>
      </c>
      <c r="J3414" s="18">
        <v>0</v>
      </c>
      <c r="K3414" s="19">
        <v>0</v>
      </c>
      <c r="L3414" s="17" t="s">
        <v>28</v>
      </c>
    </row>
    <row r="3415" ht="10.95" customHeight="true" customFormat="true" s="9">
      <c r="A3415" s="16">
        <v>45201</v>
      </c>
      <c r="B3415" s="17" t="s">
        <v>617</v>
      </c>
      <c r="C3415" s="17" t="s">
        <v>572</v>
      </c>
      <c r="D3415" s="17" t="s">
        <v>333</v>
      </c>
      <c r="E3415" s="17" t="s">
        <v>618</v>
      </c>
      <c r="F3415" s="17" t="s">
        <v>348</v>
      </c>
      <c r="G3415" s="18">
        <v>0</v>
      </c>
      <c r="H3415" s="18">
        <v>1350.0000</v>
      </c>
      <c r="I3415" s="18">
        <f ca="1">((I3414 + G3415) - H3415)</f>
        <v>0</v>
      </c>
      <c r="J3415" s="18">
        <v>0</v>
      </c>
      <c r="K3415" s="19">
        <v>0</v>
      </c>
      <c r="L3415" s="17" t="s">
        <v>28</v>
      </c>
    </row>
    <row r="3416" ht="10.95" customHeight="true" customFormat="true" s="9">
      <c r="A3416" s="16">
        <v>45208</v>
      </c>
      <c r="B3416" s="17" t="s">
        <v>617</v>
      </c>
      <c r="C3416" s="17" t="s">
        <v>572</v>
      </c>
      <c r="D3416" s="17" t="s">
        <v>333</v>
      </c>
      <c r="E3416" s="17" t="s">
        <v>618</v>
      </c>
      <c r="F3416" s="17" t="s">
        <v>349</v>
      </c>
      <c r="G3416" s="18">
        <v>0</v>
      </c>
      <c r="H3416" s="18">
        <v>1443.0000</v>
      </c>
      <c r="I3416" s="18">
        <f ca="1">((I3415 + G3416) - H3416)</f>
        <v>0</v>
      </c>
      <c r="J3416" s="18">
        <v>0</v>
      </c>
      <c r="K3416" s="19">
        <v>0</v>
      </c>
      <c r="L3416" s="17" t="s">
        <v>28</v>
      </c>
    </row>
    <row r="3417" ht="10.95" customHeight="true" customFormat="true" s="9">
      <c r="A3417" s="16">
        <v>45215</v>
      </c>
      <c r="B3417" s="17" t="s">
        <v>617</v>
      </c>
      <c r="C3417" s="17" t="s">
        <v>572</v>
      </c>
      <c r="D3417" s="17" t="s">
        <v>333</v>
      </c>
      <c r="E3417" s="17" t="s">
        <v>618</v>
      </c>
      <c r="F3417" s="17" t="s">
        <v>350</v>
      </c>
      <c r="G3417" s="18">
        <v>0</v>
      </c>
      <c r="H3417" s="18">
        <v>1492.0000</v>
      </c>
      <c r="I3417" s="18">
        <f ca="1">((I3416 + G3417) - H3417)</f>
        <v>0</v>
      </c>
      <c r="J3417" s="18">
        <v>0</v>
      </c>
      <c r="K3417" s="19">
        <v>0</v>
      </c>
      <c r="L3417" s="17" t="s">
        <v>28</v>
      </c>
    </row>
    <row r="3418" ht="10.95" customHeight="true" customFormat="true" s="9">
      <c r="A3418" s="16">
        <v>45222</v>
      </c>
      <c r="B3418" s="17" t="s">
        <v>617</v>
      </c>
      <c r="C3418" s="17" t="s">
        <v>572</v>
      </c>
      <c r="D3418" s="17" t="s">
        <v>333</v>
      </c>
      <c r="E3418" s="17" t="s">
        <v>618</v>
      </c>
      <c r="F3418" s="17" t="s">
        <v>351</v>
      </c>
      <c r="G3418" s="18">
        <v>0</v>
      </c>
      <c r="H3418" s="18">
        <v>1443.0000</v>
      </c>
      <c r="I3418" s="18">
        <f ca="1">((I3417 + G3418) - H3418)</f>
        <v>0</v>
      </c>
      <c r="J3418" s="18">
        <v>0</v>
      </c>
      <c r="K3418" s="19">
        <v>0</v>
      </c>
      <c r="L3418" s="17" t="s">
        <v>28</v>
      </c>
    </row>
    <row r="3419" ht="10.95" customHeight="true" customFormat="true" s="9">
      <c r="A3419" s="16">
        <v>45229</v>
      </c>
      <c r="B3419" s="17" t="s">
        <v>617</v>
      </c>
      <c r="C3419" s="17" t="s">
        <v>572</v>
      </c>
      <c r="D3419" s="17" t="s">
        <v>333</v>
      </c>
      <c r="E3419" s="17" t="s">
        <v>618</v>
      </c>
      <c r="F3419" s="17" t="s">
        <v>352</v>
      </c>
      <c r="G3419" s="18">
        <v>0</v>
      </c>
      <c r="H3419" s="18">
        <v>1451.0000</v>
      </c>
      <c r="I3419" s="18">
        <f ca="1">((I3418 + G3419) - H3419)</f>
        <v>0</v>
      </c>
      <c r="J3419" s="18">
        <v>0</v>
      </c>
      <c r="K3419" s="19">
        <v>0</v>
      </c>
      <c r="L3419" s="17" t="s">
        <v>28</v>
      </c>
    </row>
    <row r="3420" ht="10.95" customHeight="true" customFormat="true" s="9">
      <c r="A3420" s="16">
        <v>45236</v>
      </c>
      <c r="B3420" s="17" t="s">
        <v>617</v>
      </c>
      <c r="C3420" s="17" t="s">
        <v>572</v>
      </c>
      <c r="D3420" s="17" t="s">
        <v>333</v>
      </c>
      <c r="E3420" s="17" t="s">
        <v>618</v>
      </c>
      <c r="F3420" s="17" t="s">
        <v>353</v>
      </c>
      <c r="G3420" s="18">
        <v>0</v>
      </c>
      <c r="H3420" s="18">
        <v>1484.0000</v>
      </c>
      <c r="I3420" s="18">
        <f ca="1">((I3419 + G3420) - H3420)</f>
        <v>0</v>
      </c>
      <c r="J3420" s="18">
        <v>0</v>
      </c>
      <c r="K3420" s="19">
        <v>0</v>
      </c>
      <c r="L3420" s="17" t="s">
        <v>28</v>
      </c>
    </row>
    <row r="3421" ht="10.95" customHeight="true" customFormat="true" s="9">
      <c r="A3421" s="16">
        <v>45243</v>
      </c>
      <c r="B3421" s="17" t="s">
        <v>617</v>
      </c>
      <c r="C3421" s="17" t="s">
        <v>572</v>
      </c>
      <c r="D3421" s="17" t="s">
        <v>333</v>
      </c>
      <c r="E3421" s="17" t="s">
        <v>618</v>
      </c>
      <c r="F3421" s="17" t="s">
        <v>354</v>
      </c>
      <c r="G3421" s="18">
        <v>0</v>
      </c>
      <c r="H3421" s="18">
        <v>1502.0000</v>
      </c>
      <c r="I3421" s="18">
        <f ca="1">((I3420 + G3421) - H3421)</f>
        <v>0</v>
      </c>
      <c r="J3421" s="18">
        <v>0</v>
      </c>
      <c r="K3421" s="19">
        <v>0</v>
      </c>
      <c r="L3421" s="17" t="s">
        <v>28</v>
      </c>
    </row>
    <row r="3422" ht="10.95" customHeight="true" customFormat="true" s="9">
      <c r="A3422" s="16">
        <v>45250</v>
      </c>
      <c r="B3422" s="17" t="s">
        <v>617</v>
      </c>
      <c r="C3422" s="17" t="s">
        <v>572</v>
      </c>
      <c r="D3422" s="17" t="s">
        <v>333</v>
      </c>
      <c r="E3422" s="17" t="s">
        <v>618</v>
      </c>
      <c r="F3422" s="17" t="s">
        <v>355</v>
      </c>
      <c r="G3422" s="18">
        <v>0</v>
      </c>
      <c r="H3422" s="18">
        <v>1443.0000</v>
      </c>
      <c r="I3422" s="18">
        <f ca="1">((I3421 + G3422) - H3422)</f>
        <v>0</v>
      </c>
      <c r="J3422" s="18">
        <v>0</v>
      </c>
      <c r="K3422" s="19">
        <v>0</v>
      </c>
      <c r="L3422" s="17" t="s">
        <v>28</v>
      </c>
    </row>
    <row r="3423" ht="10.95" customHeight="true" customFormat="true" s="9">
      <c r="A3423" s="16">
        <v>45257</v>
      </c>
      <c r="B3423" s="17" t="s">
        <v>617</v>
      </c>
      <c r="C3423" s="17" t="s">
        <v>572</v>
      </c>
      <c r="D3423" s="17" t="s">
        <v>333</v>
      </c>
      <c r="E3423" s="17" t="s">
        <v>618</v>
      </c>
      <c r="F3423" s="17" t="s">
        <v>356</v>
      </c>
      <c r="G3423" s="18">
        <v>0</v>
      </c>
      <c r="H3423" s="18">
        <v>1451.0000</v>
      </c>
      <c r="I3423" s="18">
        <f ca="1">((I3422 + G3423) - H3423)</f>
        <v>0</v>
      </c>
      <c r="J3423" s="18">
        <v>0</v>
      </c>
      <c r="K3423" s="19">
        <v>0</v>
      </c>
      <c r="L3423" s="17" t="s">
        <v>28</v>
      </c>
    </row>
    <row r="3424" ht="10.95" customHeight="true" customFormat="true" s="9">
      <c r="A3424" s="16">
        <v>45264</v>
      </c>
      <c r="B3424" s="17" t="s">
        <v>617</v>
      </c>
      <c r="C3424" s="17" t="s">
        <v>572</v>
      </c>
      <c r="D3424" s="17" t="s">
        <v>333</v>
      </c>
      <c r="E3424" s="17" t="s">
        <v>618</v>
      </c>
      <c r="F3424" s="17" t="s">
        <v>357</v>
      </c>
      <c r="G3424" s="18">
        <v>0</v>
      </c>
      <c r="H3424" s="18">
        <v>1494.0000</v>
      </c>
      <c r="I3424" s="18">
        <f ca="1">((I3423 + G3424) - H3424)</f>
        <v>0</v>
      </c>
      <c r="J3424" s="18">
        <v>0</v>
      </c>
      <c r="K3424" s="19">
        <v>0</v>
      </c>
      <c r="L3424" s="17" t="s">
        <v>28</v>
      </c>
    </row>
    <row r="3425" ht="10.95" customHeight="true" customFormat="true" s="9">
      <c r="A3425" s="16">
        <v>45271</v>
      </c>
      <c r="B3425" s="17" t="s">
        <v>617</v>
      </c>
      <c r="C3425" s="17" t="s">
        <v>572</v>
      </c>
      <c r="D3425" s="17" t="s">
        <v>333</v>
      </c>
      <c r="E3425" s="17" t="s">
        <v>618</v>
      </c>
      <c r="F3425" s="17" t="s">
        <v>358</v>
      </c>
      <c r="G3425" s="18">
        <v>0</v>
      </c>
      <c r="H3425" s="18">
        <v>1563.0000</v>
      </c>
      <c r="I3425" s="18">
        <f ca="1">((I3424 + G3425) - H3425)</f>
        <v>0</v>
      </c>
      <c r="J3425" s="18">
        <v>0</v>
      </c>
      <c r="K3425" s="19">
        <v>0</v>
      </c>
      <c r="L3425" s="17" t="s">
        <v>28</v>
      </c>
    </row>
    <row r="3426" ht="10.95" customHeight="true" customFormat="true" s="9">
      <c r="A3426" s="16">
        <v>45278</v>
      </c>
      <c r="B3426" s="17" t="s">
        <v>617</v>
      </c>
      <c r="C3426" s="17" t="s">
        <v>572</v>
      </c>
      <c r="D3426" s="17" t="s">
        <v>333</v>
      </c>
      <c r="E3426" s="17" t="s">
        <v>618</v>
      </c>
      <c r="F3426" s="17" t="s">
        <v>359</v>
      </c>
      <c r="G3426" s="18">
        <v>0</v>
      </c>
      <c r="H3426" s="18">
        <v>1569.0000</v>
      </c>
      <c r="I3426" s="18">
        <f ca="1">((I3425 + G3426) - H3426)</f>
        <v>0</v>
      </c>
      <c r="J3426" s="18">
        <v>0</v>
      </c>
      <c r="K3426" s="19">
        <v>0</v>
      </c>
      <c r="L3426" s="17" t="s">
        <v>28</v>
      </c>
    </row>
    <row r="3427" ht="10.95" customHeight="true" customFormat="true" s="9">
      <c r="A3427" s="16">
        <v>45285</v>
      </c>
      <c r="B3427" s="17" t="s">
        <v>617</v>
      </c>
      <c r="C3427" s="17" t="s">
        <v>572</v>
      </c>
      <c r="D3427" s="17" t="s">
        <v>333</v>
      </c>
      <c r="E3427" s="17" t="s">
        <v>618</v>
      </c>
      <c r="F3427" s="17" t="s">
        <v>360</v>
      </c>
      <c r="G3427" s="18">
        <v>0</v>
      </c>
      <c r="H3427" s="18">
        <v>1712.0000</v>
      </c>
      <c r="I3427" s="18">
        <f ca="1">((I3426 + G3427) - H3427)</f>
        <v>0</v>
      </c>
      <c r="J3427" s="18">
        <v>0</v>
      </c>
      <c r="K3427" s="19">
        <v>0</v>
      </c>
      <c r="L3427" s="17" t="s">
        <v>28</v>
      </c>
    </row>
    <row r="3428" ht="10.95" customHeight="true" customFormat="true" s="9">
      <c r="A3428" s="16">
        <v>45291</v>
      </c>
      <c r="B3428" s="17" t="s">
        <v>617</v>
      </c>
      <c r="C3428" s="17" t="s">
        <v>572</v>
      </c>
      <c r="D3428" s="17" t="s">
        <v>25</v>
      </c>
      <c r="E3428" s="17" t="s">
        <v>581</v>
      </c>
      <c r="F3428" s="17" t="s">
        <v>32</v>
      </c>
      <c r="G3428" s="18">
        <v>5417.0000</v>
      </c>
      <c r="H3428" s="18">
        <v>0</v>
      </c>
      <c r="I3428" s="18">
        <f ca="1">((I3427 + G3428) - H3428)</f>
        <v>0</v>
      </c>
      <c r="J3428" s="18">
        <v>0</v>
      </c>
      <c r="K3428" s="19">
        <v>0</v>
      </c>
      <c r="L3428" s="17" t="s">
        <v>28</v>
      </c>
    </row>
    <row r="3429" ht="10.95" customHeight="true" customFormat="true" s="9">
      <c r="A3429" s="16">
        <v>45292</v>
      </c>
      <c r="B3429" s="17" t="s">
        <v>617</v>
      </c>
      <c r="C3429" s="17" t="s">
        <v>572</v>
      </c>
      <c r="D3429" s="17" t="s">
        <v>333</v>
      </c>
      <c r="E3429" s="17" t="s">
        <v>618</v>
      </c>
      <c r="F3429" s="17" t="s">
        <v>361</v>
      </c>
      <c r="G3429" s="18">
        <v>0</v>
      </c>
      <c r="H3429" s="18">
        <v>1238.0000</v>
      </c>
      <c r="I3429" s="18">
        <f ca="1">((I3428 + G3429) - H3429)</f>
        <v>0</v>
      </c>
      <c r="J3429" s="18">
        <v>0</v>
      </c>
      <c r="K3429" s="19">
        <v>0</v>
      </c>
      <c r="L3429" s="17" t="s">
        <v>28</v>
      </c>
    </row>
    <row r="3430" ht="10.95" customHeight="true" customFormat="true" s="9">
      <c r="A3430" s="16">
        <v>45299</v>
      </c>
      <c r="B3430" s="17" t="s">
        <v>617</v>
      </c>
      <c r="C3430" s="17" t="s">
        <v>572</v>
      </c>
      <c r="D3430" s="17" t="s">
        <v>333</v>
      </c>
      <c r="E3430" s="17" t="s">
        <v>618</v>
      </c>
      <c r="F3430" s="17" t="s">
        <v>362</v>
      </c>
      <c r="G3430" s="18">
        <v>0</v>
      </c>
      <c r="H3430" s="18">
        <v>1238.0000</v>
      </c>
      <c r="I3430" s="18">
        <f ca="1">((I3429 + G3430) - H3430)</f>
        <v>0</v>
      </c>
      <c r="J3430" s="18">
        <v>0</v>
      </c>
      <c r="K3430" s="19">
        <v>0</v>
      </c>
      <c r="L3430" s="17" t="s">
        <v>28</v>
      </c>
    </row>
    <row r="3431" ht="10.95" customHeight="true" customFormat="true" s="9">
      <c r="A3431" s="16">
        <v>45306</v>
      </c>
      <c r="B3431" s="17" t="s">
        <v>617</v>
      </c>
      <c r="C3431" s="17" t="s">
        <v>572</v>
      </c>
      <c r="D3431" s="17" t="s">
        <v>333</v>
      </c>
      <c r="E3431" s="17" t="s">
        <v>618</v>
      </c>
      <c r="F3431" s="17" t="s">
        <v>363</v>
      </c>
      <c r="G3431" s="18">
        <v>0</v>
      </c>
      <c r="H3431" s="18">
        <v>1238.0000</v>
      </c>
      <c r="I3431" s="18">
        <f ca="1">((I3430 + G3431) - H3431)</f>
        <v>0</v>
      </c>
      <c r="J3431" s="18">
        <v>0</v>
      </c>
      <c r="K3431" s="19">
        <v>0</v>
      </c>
      <c r="L3431" s="17" t="s">
        <v>28</v>
      </c>
    </row>
    <row r="3432" ht="10.95" customHeight="true" customFormat="true" s="9">
      <c r="A3432" s="16">
        <v>45313</v>
      </c>
      <c r="B3432" s="17" t="s">
        <v>617</v>
      </c>
      <c r="C3432" s="17" t="s">
        <v>572</v>
      </c>
      <c r="D3432" s="17" t="s">
        <v>333</v>
      </c>
      <c r="E3432" s="17" t="s">
        <v>618</v>
      </c>
      <c r="F3432" s="17" t="s">
        <v>364</v>
      </c>
      <c r="G3432" s="18">
        <v>0</v>
      </c>
      <c r="H3432" s="18">
        <v>1632.0000</v>
      </c>
      <c r="I3432" s="18">
        <f ca="1">((I3431 + G3432) - H3432)</f>
        <v>0</v>
      </c>
      <c r="J3432" s="18">
        <v>0</v>
      </c>
      <c r="K3432" s="19">
        <v>0</v>
      </c>
      <c r="L3432" s="17" t="s">
        <v>28</v>
      </c>
    </row>
    <row r="3433" ht="10.95" customHeight="true" customFormat="true" s="9">
      <c r="A3433" s="16">
        <v>45320</v>
      </c>
      <c r="B3433" s="17" t="s">
        <v>617</v>
      </c>
      <c r="C3433" s="17" t="s">
        <v>572</v>
      </c>
      <c r="D3433" s="17" t="s">
        <v>333</v>
      </c>
      <c r="E3433" s="17" t="s">
        <v>618</v>
      </c>
      <c r="F3433" s="17" t="s">
        <v>365</v>
      </c>
      <c r="G3433" s="18">
        <v>0</v>
      </c>
      <c r="H3433" s="18">
        <v>1597.0000</v>
      </c>
      <c r="I3433" s="18">
        <f ca="1">((I3432 + G3433) - H3433)</f>
        <v>0</v>
      </c>
      <c r="J3433" s="18">
        <v>0</v>
      </c>
      <c r="K3433" s="19">
        <v>0</v>
      </c>
      <c r="L3433" s="17" t="s">
        <v>28</v>
      </c>
    </row>
    <row r="3434" ht="10.95" customHeight="true" customFormat="true" s="9">
      <c r="A3434" s="16">
        <v>45327</v>
      </c>
      <c r="B3434" s="17" t="s">
        <v>617</v>
      </c>
      <c r="C3434" s="17" t="s">
        <v>572</v>
      </c>
      <c r="D3434" s="17" t="s">
        <v>333</v>
      </c>
      <c r="E3434" s="17" t="s">
        <v>618</v>
      </c>
      <c r="F3434" s="17" t="s">
        <v>366</v>
      </c>
      <c r="G3434" s="18">
        <v>0</v>
      </c>
      <c r="H3434" s="18">
        <v>1575.0000</v>
      </c>
      <c r="I3434" s="18">
        <f ca="1">((I3433 + G3434) - H3434)</f>
        <v>0</v>
      </c>
      <c r="J3434" s="18">
        <v>0</v>
      </c>
      <c r="K3434" s="19">
        <v>0</v>
      </c>
      <c r="L3434" s="17" t="s">
        <v>28</v>
      </c>
    </row>
    <row r="3435" ht="10.95" customHeight="true" customFormat="true" s="9">
      <c r="A3435" s="16">
        <v>45331</v>
      </c>
      <c r="B3435" s="17" t="s">
        <v>617</v>
      </c>
      <c r="C3435" s="17" t="s">
        <v>572</v>
      </c>
      <c r="D3435" s="17" t="s">
        <v>22</v>
      </c>
      <c r="E3435" s="17" t="s">
        <v>583</v>
      </c>
      <c r="F3435" s="17"/>
      <c r="G3435" s="18">
        <v>6338.0000</v>
      </c>
      <c r="H3435" s="18">
        <v>0</v>
      </c>
      <c r="I3435" s="18">
        <f ca="1">((I3434 + G3435) - H3435)</f>
        <v>0</v>
      </c>
      <c r="J3435" s="18">
        <v>0</v>
      </c>
      <c r="K3435" s="19">
        <v>0</v>
      </c>
      <c r="L3435" s="17" t="s">
        <v>28</v>
      </c>
    </row>
    <row r="3436" ht="10.95" customHeight="true" customFormat="true" s="9">
      <c r="A3436" s="16">
        <v>45334</v>
      </c>
      <c r="B3436" s="17" t="s">
        <v>617</v>
      </c>
      <c r="C3436" s="17" t="s">
        <v>572</v>
      </c>
      <c r="D3436" s="17" t="s">
        <v>333</v>
      </c>
      <c r="E3436" s="17" t="s">
        <v>618</v>
      </c>
      <c r="F3436" s="17" t="s">
        <v>367</v>
      </c>
      <c r="G3436" s="18">
        <v>0</v>
      </c>
      <c r="H3436" s="18">
        <v>1454.0000</v>
      </c>
      <c r="I3436" s="18">
        <f ca="1">((I3435 + G3436) - H3436)</f>
        <v>0</v>
      </c>
      <c r="J3436" s="18">
        <v>0</v>
      </c>
      <c r="K3436" s="19">
        <v>0</v>
      </c>
      <c r="L3436" s="17" t="s">
        <v>28</v>
      </c>
    </row>
    <row r="3437" ht="10.95" customHeight="true" customFormat="true" s="9">
      <c r="A3437" s="16">
        <v>45341</v>
      </c>
      <c r="B3437" s="17" t="s">
        <v>617</v>
      </c>
      <c r="C3437" s="17" t="s">
        <v>572</v>
      </c>
      <c r="D3437" s="17" t="s">
        <v>333</v>
      </c>
      <c r="E3437" s="17" t="s">
        <v>618</v>
      </c>
      <c r="F3437" s="17" t="s">
        <v>368</v>
      </c>
      <c r="G3437" s="18">
        <v>0</v>
      </c>
      <c r="H3437" s="18">
        <v>1454.0000</v>
      </c>
      <c r="I3437" s="18">
        <f ca="1">((I3436 + G3437) - H3437)</f>
        <v>0</v>
      </c>
      <c r="J3437" s="18">
        <v>0</v>
      </c>
      <c r="K3437" s="19">
        <v>0</v>
      </c>
      <c r="L3437" s="17" t="s">
        <v>28</v>
      </c>
    </row>
    <row r="3438" ht="10.95" customHeight="true" customFormat="true" s="9">
      <c r="A3438" s="16">
        <v>45348</v>
      </c>
      <c r="B3438" s="17" t="s">
        <v>617</v>
      </c>
      <c r="C3438" s="17" t="s">
        <v>572</v>
      </c>
      <c r="D3438" s="17" t="s">
        <v>333</v>
      </c>
      <c r="E3438" s="17" t="s">
        <v>618</v>
      </c>
      <c r="F3438" s="17" t="s">
        <v>369</v>
      </c>
      <c r="G3438" s="18">
        <v>0</v>
      </c>
      <c r="H3438" s="18">
        <v>1490.0000</v>
      </c>
      <c r="I3438" s="18">
        <f ca="1">((I3437 + G3438) - H3438)</f>
        <v>0</v>
      </c>
      <c r="J3438" s="18">
        <v>0</v>
      </c>
      <c r="K3438" s="19">
        <v>0</v>
      </c>
      <c r="L3438" s="17" t="s">
        <v>28</v>
      </c>
    </row>
    <row r="3439" ht="10.95" customHeight="true" customFormat="true" s="9">
      <c r="A3439" s="16">
        <v>45355</v>
      </c>
      <c r="B3439" s="17" t="s">
        <v>617</v>
      </c>
      <c r="C3439" s="17" t="s">
        <v>572</v>
      </c>
      <c r="D3439" s="17" t="s">
        <v>333</v>
      </c>
      <c r="E3439" s="17" t="s">
        <v>618</v>
      </c>
      <c r="F3439" s="17" t="s">
        <v>370</v>
      </c>
      <c r="G3439" s="18">
        <v>0</v>
      </c>
      <c r="H3439" s="18">
        <v>1442.0000</v>
      </c>
      <c r="I3439" s="18">
        <f ca="1">((I3438 + G3439) - H3439)</f>
        <v>0</v>
      </c>
      <c r="J3439" s="18">
        <v>0</v>
      </c>
      <c r="K3439" s="19">
        <v>0</v>
      </c>
      <c r="L3439" s="17" t="s">
        <v>28</v>
      </c>
    </row>
    <row r="3440" ht="10.95" customHeight="true" customFormat="true" s="9">
      <c r="A3440" s="16">
        <v>45362</v>
      </c>
      <c r="B3440" s="17" t="s">
        <v>617</v>
      </c>
      <c r="C3440" s="17" t="s">
        <v>572</v>
      </c>
      <c r="D3440" s="17" t="s">
        <v>333</v>
      </c>
      <c r="E3440" s="17" t="s">
        <v>618</v>
      </c>
      <c r="F3440" s="17" t="s">
        <v>371</v>
      </c>
      <c r="G3440" s="18">
        <v>0</v>
      </c>
      <c r="H3440" s="18">
        <v>1432.0000</v>
      </c>
      <c r="I3440" s="18">
        <f ca="1">((I3439 + G3440) - H3440)</f>
        <v>0</v>
      </c>
      <c r="J3440" s="18">
        <v>0</v>
      </c>
      <c r="K3440" s="19">
        <v>0</v>
      </c>
      <c r="L3440" s="17" t="s">
        <v>28</v>
      </c>
    </row>
    <row r="3441" ht="10.95" customHeight="true" customFormat="true" s="9">
      <c r="A3441" s="16">
        <v>45369</v>
      </c>
      <c r="B3441" s="17" t="s">
        <v>617</v>
      </c>
      <c r="C3441" s="17" t="s">
        <v>572</v>
      </c>
      <c r="D3441" s="17" t="s">
        <v>333</v>
      </c>
      <c r="E3441" s="17" t="s">
        <v>618</v>
      </c>
      <c r="F3441" s="17" t="s">
        <v>372</v>
      </c>
      <c r="G3441" s="18">
        <v>0</v>
      </c>
      <c r="H3441" s="18">
        <v>1412.0000</v>
      </c>
      <c r="I3441" s="18">
        <f ca="1">((I3440 + G3441) - H3441)</f>
        <v>0</v>
      </c>
      <c r="J3441" s="18">
        <v>0</v>
      </c>
      <c r="K3441" s="19">
        <v>0</v>
      </c>
      <c r="L3441" s="17" t="s">
        <v>28</v>
      </c>
    </row>
    <row r="3442" ht="10.95" customHeight="true" customFormat="true" s="9">
      <c r="A3442" s="16">
        <v>45376</v>
      </c>
      <c r="B3442" s="17" t="s">
        <v>617</v>
      </c>
      <c r="C3442" s="17" t="s">
        <v>572</v>
      </c>
      <c r="D3442" s="17" t="s">
        <v>333</v>
      </c>
      <c r="E3442" s="17" t="s">
        <v>618</v>
      </c>
      <c r="F3442" s="17" t="s">
        <v>373</v>
      </c>
      <c r="G3442" s="18">
        <v>0</v>
      </c>
      <c r="H3442" s="18">
        <v>1544.0000</v>
      </c>
      <c r="I3442" s="18">
        <f ca="1">((I3441 + G3442) - H3442)</f>
        <v>0</v>
      </c>
      <c r="J3442" s="18">
        <v>0</v>
      </c>
      <c r="K3442" s="19">
        <v>0</v>
      </c>
      <c r="L3442" s="17" t="s">
        <v>28</v>
      </c>
    </row>
    <row r="3443" ht="10.95" customHeight="true" customFormat="true" s="9">
      <c r="A3443" s="16">
        <v>45383</v>
      </c>
      <c r="B3443" s="17" t="s">
        <v>617</v>
      </c>
      <c r="C3443" s="17" t="s">
        <v>572</v>
      </c>
      <c r="D3443" s="17" t="s">
        <v>333</v>
      </c>
      <c r="E3443" s="17" t="s">
        <v>618</v>
      </c>
      <c r="F3443" s="17" t="s">
        <v>374</v>
      </c>
      <c r="G3443" s="18">
        <v>0</v>
      </c>
      <c r="H3443" s="18">
        <v>1576.0000</v>
      </c>
      <c r="I3443" s="18">
        <f ca="1">((I3442 + G3443) - H3443)</f>
        <v>0</v>
      </c>
      <c r="J3443" s="18">
        <v>0</v>
      </c>
      <c r="K3443" s="19">
        <v>0</v>
      </c>
      <c r="L3443" s="17" t="s">
        <v>28</v>
      </c>
    </row>
    <row r="3444" ht="10.95" customHeight="true" customFormat="true" s="9">
      <c r="A3444" s="16">
        <v>45390</v>
      </c>
      <c r="B3444" s="17" t="s">
        <v>617</v>
      </c>
      <c r="C3444" s="17" t="s">
        <v>572</v>
      </c>
      <c r="D3444" s="17" t="s">
        <v>333</v>
      </c>
      <c r="E3444" s="17" t="s">
        <v>618</v>
      </c>
      <c r="F3444" s="17" t="s">
        <v>375</v>
      </c>
      <c r="G3444" s="18">
        <v>0</v>
      </c>
      <c r="H3444" s="18">
        <v>1459.0000</v>
      </c>
      <c r="I3444" s="18">
        <f ca="1">((I3443 + G3444) - H3444)</f>
        <v>0</v>
      </c>
      <c r="J3444" s="18">
        <v>0</v>
      </c>
      <c r="K3444" s="19">
        <v>0</v>
      </c>
      <c r="L3444" s="17" t="s">
        <v>28</v>
      </c>
    </row>
    <row r="3445" ht="10.95" customHeight="true" customFormat="true" s="9">
      <c r="A3445" s="16">
        <v>45394</v>
      </c>
      <c r="B3445" s="17" t="s">
        <v>617</v>
      </c>
      <c r="C3445" s="17" t="s">
        <v>572</v>
      </c>
      <c r="D3445" s="17" t="s">
        <v>22</v>
      </c>
      <c r="E3445" s="17" t="s">
        <v>583</v>
      </c>
      <c r="F3445" s="17"/>
      <c r="G3445" s="18">
        <v>12916.0000</v>
      </c>
      <c r="H3445" s="18">
        <v>0</v>
      </c>
      <c r="I3445" s="18">
        <f ca="1">((I3444 + G3445) - H3445)</f>
        <v>0</v>
      </c>
      <c r="J3445" s="18">
        <v>0</v>
      </c>
      <c r="K3445" s="19">
        <v>0</v>
      </c>
      <c r="L3445" s="17" t="s">
        <v>28</v>
      </c>
    </row>
    <row r="3446" ht="10.95" customHeight="true" customFormat="true" s="9">
      <c r="A3446" s="16">
        <v>45394</v>
      </c>
      <c r="B3446" s="17" t="s">
        <v>617</v>
      </c>
      <c r="C3446" s="17" t="s">
        <v>572</v>
      </c>
      <c r="D3446" s="17" t="s">
        <v>22</v>
      </c>
      <c r="E3446" s="17" t="s">
        <v>583</v>
      </c>
      <c r="F3446" s="17"/>
      <c r="G3446" s="18">
        <v>5973.0000</v>
      </c>
      <c r="H3446" s="18">
        <v>0</v>
      </c>
      <c r="I3446" s="18">
        <f ca="1">((I3445 + G3446) - H3446)</f>
        <v>0</v>
      </c>
      <c r="J3446" s="18">
        <v>0</v>
      </c>
      <c r="K3446" s="19">
        <v>0</v>
      </c>
      <c r="L3446" s="17" t="s">
        <v>28</v>
      </c>
    </row>
    <row r="3447" ht="10.95" customHeight="true" customFormat="true" s="9">
      <c r="A3447" s="16">
        <v>45397</v>
      </c>
      <c r="B3447" s="17" t="s">
        <v>617</v>
      </c>
      <c r="C3447" s="17" t="s">
        <v>572</v>
      </c>
      <c r="D3447" s="17" t="s">
        <v>333</v>
      </c>
      <c r="E3447" s="17" t="s">
        <v>618</v>
      </c>
      <c r="F3447" s="17" t="s">
        <v>376</v>
      </c>
      <c r="G3447" s="18">
        <v>0</v>
      </c>
      <c r="H3447" s="18">
        <v>1582.0000</v>
      </c>
      <c r="I3447" s="18">
        <f ca="1">((I3446 + G3447) - H3447)</f>
        <v>0</v>
      </c>
      <c r="J3447" s="18">
        <v>0</v>
      </c>
      <c r="K3447" s="19">
        <v>0</v>
      </c>
      <c r="L3447" s="17" t="s">
        <v>28</v>
      </c>
    </row>
    <row r="3448" ht="10.95" customHeight="true" customFormat="true" s="9">
      <c r="A3448" s="16">
        <v>45404</v>
      </c>
      <c r="B3448" s="17" t="s">
        <v>617</v>
      </c>
      <c r="C3448" s="17" t="s">
        <v>572</v>
      </c>
      <c r="D3448" s="17" t="s">
        <v>333</v>
      </c>
      <c r="E3448" s="17" t="s">
        <v>618</v>
      </c>
      <c r="F3448" s="17" t="s">
        <v>377</v>
      </c>
      <c r="G3448" s="18">
        <v>0</v>
      </c>
      <c r="H3448" s="18">
        <v>1579.0000</v>
      </c>
      <c r="I3448" s="18">
        <f ca="1">((I3447 + G3448) - H3448)</f>
        <v>0</v>
      </c>
      <c r="J3448" s="18">
        <v>0</v>
      </c>
      <c r="K3448" s="19">
        <v>0</v>
      </c>
      <c r="L3448" s="17" t="s">
        <v>28</v>
      </c>
    </row>
    <row r="3449" ht="10.95" customHeight="true" customFormat="true" s="9">
      <c r="A3449" s="16">
        <v>45411</v>
      </c>
      <c r="B3449" s="17" t="s">
        <v>617</v>
      </c>
      <c r="C3449" s="17" t="s">
        <v>572</v>
      </c>
      <c r="D3449" s="17" t="s">
        <v>333</v>
      </c>
      <c r="E3449" s="17" t="s">
        <v>618</v>
      </c>
      <c r="F3449" s="17" t="s">
        <v>378</v>
      </c>
      <c r="G3449" s="18">
        <v>0</v>
      </c>
      <c r="H3449" s="18">
        <v>1626.0000</v>
      </c>
      <c r="I3449" s="18">
        <f ca="1">((I3448 + G3449) - H3449)</f>
        <v>0</v>
      </c>
      <c r="J3449" s="18">
        <v>0</v>
      </c>
      <c r="K3449" s="19">
        <v>0</v>
      </c>
      <c r="L3449" s="17" t="s">
        <v>28</v>
      </c>
    </row>
    <row r="3450" ht="10.95" customHeight="true" customFormat="true" s="9">
      <c r="A3450" s="16">
        <v>45418</v>
      </c>
      <c r="B3450" s="17" t="s">
        <v>617</v>
      </c>
      <c r="C3450" s="17" t="s">
        <v>572</v>
      </c>
      <c r="D3450" s="17" t="s">
        <v>333</v>
      </c>
      <c r="E3450" s="17" t="s">
        <v>618</v>
      </c>
      <c r="F3450" s="17" t="s">
        <v>379</v>
      </c>
      <c r="G3450" s="18">
        <v>0</v>
      </c>
      <c r="H3450" s="18">
        <v>1569.0000</v>
      </c>
      <c r="I3450" s="18">
        <f ca="1">((I3449 + G3450) - H3450)</f>
        <v>0</v>
      </c>
      <c r="J3450" s="18">
        <v>0</v>
      </c>
      <c r="K3450" s="19">
        <v>0</v>
      </c>
      <c r="L3450" s="17" t="s">
        <v>28</v>
      </c>
    </row>
    <row r="3451" ht="10.95" customHeight="true" customFormat="true" s="9">
      <c r="A3451" s="16">
        <v>45425</v>
      </c>
      <c r="B3451" s="17" t="s">
        <v>617</v>
      </c>
      <c r="C3451" s="17" t="s">
        <v>572</v>
      </c>
      <c r="D3451" s="17" t="s">
        <v>333</v>
      </c>
      <c r="E3451" s="17" t="s">
        <v>618</v>
      </c>
      <c r="F3451" s="17" t="s">
        <v>380</v>
      </c>
      <c r="G3451" s="18">
        <v>0</v>
      </c>
      <c r="H3451" s="18">
        <v>1567.0000</v>
      </c>
      <c r="I3451" s="18">
        <f ca="1">((I3450 + G3451) - H3451)</f>
        <v>0</v>
      </c>
      <c r="J3451" s="18">
        <v>0</v>
      </c>
      <c r="K3451" s="19">
        <v>0</v>
      </c>
      <c r="L3451" s="17" t="s">
        <v>28</v>
      </c>
    </row>
    <row r="3452" ht="10.95" customHeight="true" customFormat="true" s="9">
      <c r="A3452" s="16">
        <v>45432</v>
      </c>
      <c r="B3452" s="17" t="s">
        <v>617</v>
      </c>
      <c r="C3452" s="17" t="s">
        <v>572</v>
      </c>
      <c r="D3452" s="17" t="s">
        <v>333</v>
      </c>
      <c r="E3452" s="17" t="s">
        <v>618</v>
      </c>
      <c r="F3452" s="17" t="s">
        <v>381</v>
      </c>
      <c r="G3452" s="18">
        <v>0</v>
      </c>
      <c r="H3452" s="18">
        <v>1567.0000</v>
      </c>
      <c r="I3452" s="18">
        <f ca="1">((I3451 + G3452) - H3452)</f>
        <v>0</v>
      </c>
      <c r="J3452" s="18">
        <v>0</v>
      </c>
      <c r="K3452" s="19">
        <v>0</v>
      </c>
      <c r="L3452" s="17" t="s">
        <v>28</v>
      </c>
    </row>
    <row r="3453" ht="10.95" customHeight="true" customFormat="true" s="9">
      <c r="A3453" s="16">
        <v>45432</v>
      </c>
      <c r="B3453" s="17" t="s">
        <v>617</v>
      </c>
      <c r="C3453" s="17" t="s">
        <v>572</v>
      </c>
      <c r="D3453" s="17" t="s">
        <v>22</v>
      </c>
      <c r="E3453" s="17" t="s">
        <v>583</v>
      </c>
      <c r="F3453" s="17"/>
      <c r="G3453" s="18">
        <v>5830.0000</v>
      </c>
      <c r="H3453" s="18">
        <v>0</v>
      </c>
      <c r="I3453" s="18">
        <f ca="1">((I3452 + G3453) - H3453)</f>
        <v>0</v>
      </c>
      <c r="J3453" s="18">
        <v>0</v>
      </c>
      <c r="K3453" s="19">
        <v>0</v>
      </c>
      <c r="L3453" s="17" t="s">
        <v>28</v>
      </c>
    </row>
    <row r="3454" ht="10.95" customHeight="true" customFormat="true" s="9">
      <c r="A3454" s="16">
        <v>45439</v>
      </c>
      <c r="B3454" s="17" t="s">
        <v>617</v>
      </c>
      <c r="C3454" s="17" t="s">
        <v>572</v>
      </c>
      <c r="D3454" s="17" t="s">
        <v>333</v>
      </c>
      <c r="E3454" s="17" t="s">
        <v>618</v>
      </c>
      <c r="F3454" s="17" t="s">
        <v>382</v>
      </c>
      <c r="G3454" s="18">
        <v>0</v>
      </c>
      <c r="H3454" s="18">
        <v>1567.0000</v>
      </c>
      <c r="I3454" s="18">
        <f ca="1">((I3453 + G3454) - H3454)</f>
        <v>0</v>
      </c>
      <c r="J3454" s="18">
        <v>0</v>
      </c>
      <c r="K3454" s="19">
        <v>0</v>
      </c>
      <c r="L3454" s="17" t="s">
        <v>28</v>
      </c>
    </row>
    <row r="3455" ht="10.95" customHeight="true" customFormat="true" s="9">
      <c r="A3455" s="16">
        <v>45446</v>
      </c>
      <c r="B3455" s="17" t="s">
        <v>617</v>
      </c>
      <c r="C3455" s="17" t="s">
        <v>572</v>
      </c>
      <c r="D3455" s="17" t="s">
        <v>333</v>
      </c>
      <c r="E3455" s="17" t="s">
        <v>618</v>
      </c>
      <c r="F3455" s="17" t="s">
        <v>383</v>
      </c>
      <c r="G3455" s="18">
        <v>0</v>
      </c>
      <c r="H3455" s="18">
        <v>1567.0000</v>
      </c>
      <c r="I3455" s="18">
        <f ca="1">((I3454 + G3455) - H3455)</f>
        <v>0</v>
      </c>
      <c r="J3455" s="18">
        <v>0</v>
      </c>
      <c r="K3455" s="19">
        <v>0</v>
      </c>
      <c r="L3455" s="17" t="s">
        <v>28</v>
      </c>
    </row>
    <row r="3456" ht="10.95" customHeight="true" customFormat="true" s="9">
      <c r="A3456" s="16">
        <v>45453</v>
      </c>
      <c r="B3456" s="17" t="s">
        <v>617</v>
      </c>
      <c r="C3456" s="17" t="s">
        <v>572</v>
      </c>
      <c r="D3456" s="17" t="s">
        <v>333</v>
      </c>
      <c r="E3456" s="17" t="s">
        <v>618</v>
      </c>
      <c r="F3456" s="17" t="s">
        <v>384</v>
      </c>
      <c r="G3456" s="18">
        <v>0</v>
      </c>
      <c r="H3456" s="18">
        <v>1567.0000</v>
      </c>
      <c r="I3456" s="18">
        <f ca="1">((I3455 + G3456) - H3456)</f>
        <v>0</v>
      </c>
      <c r="J3456" s="18">
        <v>0</v>
      </c>
      <c r="K3456" s="19">
        <v>0</v>
      </c>
      <c r="L3456" s="17" t="s">
        <v>28</v>
      </c>
    </row>
    <row r="3457" ht="10.95" customHeight="true" customFormat="true" s="9">
      <c r="A3457" s="16">
        <v>45460</v>
      </c>
      <c r="B3457" s="17" t="s">
        <v>617</v>
      </c>
      <c r="C3457" s="17" t="s">
        <v>572</v>
      </c>
      <c r="D3457" s="17" t="s">
        <v>333</v>
      </c>
      <c r="E3457" s="17" t="s">
        <v>618</v>
      </c>
      <c r="F3457" s="17" t="s">
        <v>385</v>
      </c>
      <c r="G3457" s="18">
        <v>0</v>
      </c>
      <c r="H3457" s="18">
        <v>1567.0000</v>
      </c>
      <c r="I3457" s="18">
        <f ca="1">((I3456 + G3457) - H3457)</f>
        <v>0</v>
      </c>
      <c r="J3457" s="18">
        <v>0</v>
      </c>
      <c r="K3457" s="19">
        <v>0</v>
      </c>
      <c r="L3457" s="17" t="s">
        <v>28</v>
      </c>
    </row>
    <row r="3458" ht="10.95" customHeight="true" customFormat="true" s="9">
      <c r="A3458" s="16">
        <v>45461</v>
      </c>
      <c r="B3458" s="17" t="s">
        <v>617</v>
      </c>
      <c r="C3458" s="17" t="s">
        <v>572</v>
      </c>
      <c r="D3458" s="17" t="s">
        <v>22</v>
      </c>
      <c r="E3458" s="17" t="s">
        <v>583</v>
      </c>
      <c r="F3458" s="17"/>
      <c r="G3458" s="18">
        <v>1849.0000</v>
      </c>
      <c r="H3458" s="18">
        <v>0</v>
      </c>
      <c r="I3458" s="18">
        <f ca="1">((I3457 + G3458) - H3458)</f>
        <v>0</v>
      </c>
      <c r="J3458" s="18">
        <v>0</v>
      </c>
      <c r="K3458" s="19">
        <v>0</v>
      </c>
      <c r="L3458" s="17" t="s">
        <v>28</v>
      </c>
    </row>
    <row r="3459" ht="10.95" customHeight="true" customFormat="true" s="9">
      <c r="A3459" s="16">
        <v>45467</v>
      </c>
      <c r="B3459" s="17" t="s">
        <v>617</v>
      </c>
      <c r="C3459" s="17" t="s">
        <v>572</v>
      </c>
      <c r="D3459" s="17" t="s">
        <v>333</v>
      </c>
      <c r="E3459" s="17" t="s">
        <v>618</v>
      </c>
      <c r="F3459" s="17" t="s">
        <v>386</v>
      </c>
      <c r="G3459" s="18">
        <v>0</v>
      </c>
      <c r="H3459" s="18">
        <v>1567.0000</v>
      </c>
      <c r="I3459" s="18">
        <f ca="1">((I3458 + G3459) - H3459)</f>
        <v>0</v>
      </c>
      <c r="J3459" s="18">
        <v>0</v>
      </c>
      <c r="K3459" s="19">
        <v>0</v>
      </c>
      <c r="L3459" s="17" t="s">
        <v>28</v>
      </c>
    </row>
    <row r="3460" ht="10.95" customHeight="true" customFormat="true" s="9">
      <c r="A3460" s="20" t="s">
        <v>619</v>
      </c>
      <c r="B3460" s="20"/>
      <c r="C3460" s="20"/>
      <c r="D3460" s="20"/>
      <c r="E3460" s="20"/>
      <c r="F3460" s="20"/>
      <c r="G3460" s="21">
        <f ca="1">SUM(G3399:G3459)</f>
        <v>0</v>
      </c>
      <c r="H3460" s="21">
        <f ca="1">SUM(H3399:H3459)</f>
        <v>0</v>
      </c>
      <c r="I3460" s="21">
        <f ca="1">I3459</f>
        <v>0</v>
      </c>
      <c r="J3460" s="21">
        <f ca="1">SUM(J3399:J3459)</f>
        <v>0</v>
      </c>
      <c r="K3460" s="20"/>
      <c r="L3460" s="20"/>
    </row>
    <row r="3461" ht="10.95" customHeight="true" customFormat="true" s="9">
      <c r="A3461" s="20" t="s">
        <v>53</v>
      </c>
      <c r="B3461" s="20"/>
      <c r="C3461" s="20"/>
      <c r="D3461" s="20"/>
      <c r="E3461" s="20"/>
      <c r="F3461" s="20"/>
      <c r="G3461" s="21">
        <v>0</v>
      </c>
      <c r="H3461" s="21">
        <v>14868.0000</v>
      </c>
      <c r="I3461" s="21">
        <v>0</v>
      </c>
      <c r="J3461" s="21">
        <v>0</v>
      </c>
      <c r="K3461" s="20"/>
      <c r="L3461" s="20"/>
    </row>
    <row r="3462" ht="10.95" customHeight="true" customFormat="true" s="9">
      <c r="A3462" s="10" t="s">
        <v>54</v>
      </c>
      <c r="B3462" s="10"/>
      <c r="C3462" s="10"/>
      <c r="D3462" s="10"/>
      <c r="E3462" s="10"/>
      <c r="F3462" s="10"/>
      <c r="G3462" s="11">
        <v>0</v>
      </c>
      <c r="H3462" s="11">
        <v>25596.2900</v>
      </c>
      <c r="I3462" s="11">
        <f ca="1">I3459</f>
        <v>0</v>
      </c>
      <c r="J3462" s="11">
        <v>0</v>
      </c>
      <c r="K3462" s="10"/>
      <c r="L3462" s="10"/>
    </row>
    <row r="3463" ht="13.35" customHeight="true"/>
    <row r="3464" ht="12.1" customHeight="true" customFormat="true" s="5">
      <c r="A3464" s="8" t="s">
        <v>620</v>
      </c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</row>
    <row r="3465" ht="10.95" customHeight="true" customFormat="true" s="9">
      <c r="A3465" s="10" t="s">
        <v>16</v>
      </c>
      <c r="B3465" s="10"/>
      <c r="C3465" s="10"/>
      <c r="D3465" s="10"/>
      <c r="E3465" s="10"/>
      <c r="F3465" s="10"/>
      <c r="G3465" s="11">
        <v>0</v>
      </c>
      <c r="H3465" s="11">
        <v>1955.2200</v>
      </c>
      <c r="I3465" s="11">
        <f ca="1">(G3465 - H3465)</f>
        <v>0</v>
      </c>
      <c r="J3465" s="11">
        <v>0</v>
      </c>
      <c r="K3465" s="10"/>
      <c r="L3465" s="10"/>
    </row>
    <row r="3466" ht="10.95" customHeight="true" customFormat="true" s="9">
      <c r="A3466" s="12">
        <v>45110</v>
      </c>
      <c r="B3466" s="13" t="s">
        <v>621</v>
      </c>
      <c r="C3466" s="13" t="s">
        <v>572</v>
      </c>
      <c r="D3466" s="13" t="s">
        <v>333</v>
      </c>
      <c r="E3466" s="13" t="s">
        <v>622</v>
      </c>
      <c r="F3466" s="13" t="s">
        <v>335</v>
      </c>
      <c r="G3466" s="14">
        <v>0</v>
      </c>
      <c r="H3466" s="14">
        <v>542.3100</v>
      </c>
      <c r="I3466" s="14">
        <f ca="1">((I3465 + G3466) - H3466)</f>
        <v>0</v>
      </c>
      <c r="J3466" s="14">
        <v>0</v>
      </c>
      <c r="K3466" s="15">
        <v>0</v>
      </c>
      <c r="L3466" s="13" t="s">
        <v>28</v>
      </c>
    </row>
    <row r="3467" ht="10.95" customHeight="true" customFormat="true" s="9">
      <c r="A3467" s="16">
        <v>45117</v>
      </c>
      <c r="B3467" s="17" t="s">
        <v>621</v>
      </c>
      <c r="C3467" s="17" t="s">
        <v>572</v>
      </c>
      <c r="D3467" s="17" t="s">
        <v>333</v>
      </c>
      <c r="E3467" s="17" t="s">
        <v>622</v>
      </c>
      <c r="F3467" s="17" t="s">
        <v>336</v>
      </c>
      <c r="G3467" s="18">
        <v>0</v>
      </c>
      <c r="H3467" s="18">
        <v>692.2400</v>
      </c>
      <c r="I3467" s="18">
        <f ca="1">((I3466 + G3467) - H3467)</f>
        <v>0</v>
      </c>
      <c r="J3467" s="18">
        <v>0</v>
      </c>
      <c r="K3467" s="19">
        <v>0</v>
      </c>
      <c r="L3467" s="17" t="s">
        <v>28</v>
      </c>
    </row>
    <row r="3468" ht="10.95" customHeight="true" customFormat="true" s="9">
      <c r="A3468" s="16">
        <v>45124</v>
      </c>
      <c r="B3468" s="17" t="s">
        <v>621</v>
      </c>
      <c r="C3468" s="17" t="s">
        <v>572</v>
      </c>
      <c r="D3468" s="17" t="s">
        <v>333</v>
      </c>
      <c r="E3468" s="17" t="s">
        <v>622</v>
      </c>
      <c r="F3468" s="17" t="s">
        <v>337</v>
      </c>
      <c r="G3468" s="18">
        <v>0</v>
      </c>
      <c r="H3468" s="18">
        <v>645.0500</v>
      </c>
      <c r="I3468" s="18">
        <f ca="1">((I3467 + G3468) - H3468)</f>
        <v>0</v>
      </c>
      <c r="J3468" s="18">
        <v>0</v>
      </c>
      <c r="K3468" s="19">
        <v>0</v>
      </c>
      <c r="L3468" s="17" t="s">
        <v>28</v>
      </c>
    </row>
    <row r="3469" ht="10.95" customHeight="true" customFormat="true" s="9">
      <c r="A3469" s="16">
        <v>45131</v>
      </c>
      <c r="B3469" s="17" t="s">
        <v>621</v>
      </c>
      <c r="C3469" s="17" t="s">
        <v>572</v>
      </c>
      <c r="D3469" s="17" t="s">
        <v>333</v>
      </c>
      <c r="E3469" s="17" t="s">
        <v>622</v>
      </c>
      <c r="F3469" s="17" t="s">
        <v>338</v>
      </c>
      <c r="G3469" s="18">
        <v>0</v>
      </c>
      <c r="H3469" s="18">
        <v>645.0500</v>
      </c>
      <c r="I3469" s="18">
        <f ca="1">((I3468 + G3469) - H3469)</f>
        <v>0</v>
      </c>
      <c r="J3469" s="18">
        <v>0</v>
      </c>
      <c r="K3469" s="19">
        <v>0</v>
      </c>
      <c r="L3469" s="17" t="s">
        <v>28</v>
      </c>
    </row>
    <row r="3470" ht="10.95" customHeight="true" customFormat="true" s="9">
      <c r="A3470" s="16">
        <v>45132</v>
      </c>
      <c r="B3470" s="17" t="s">
        <v>621</v>
      </c>
      <c r="C3470" s="17" t="s">
        <v>572</v>
      </c>
      <c r="D3470" s="17" t="s">
        <v>19</v>
      </c>
      <c r="E3470" s="17" t="s">
        <v>623</v>
      </c>
      <c r="F3470" s="17"/>
      <c r="G3470" s="18">
        <v>0</v>
      </c>
      <c r="H3470" s="18">
        <v>1572.4800</v>
      </c>
      <c r="I3470" s="18">
        <f ca="1">((I3469 + G3470) - H3470)</f>
        <v>0</v>
      </c>
      <c r="J3470" s="18">
        <v>0</v>
      </c>
      <c r="K3470" s="19">
        <v>0</v>
      </c>
      <c r="L3470" s="17" t="s">
        <v>28</v>
      </c>
    </row>
    <row r="3471" ht="10.95" customHeight="true" customFormat="true" s="9">
      <c r="A3471" s="16">
        <v>45138</v>
      </c>
      <c r="B3471" s="17" t="s">
        <v>621</v>
      </c>
      <c r="C3471" s="17" t="s">
        <v>572</v>
      </c>
      <c r="D3471" s="17" t="s">
        <v>333</v>
      </c>
      <c r="E3471" s="17" t="s">
        <v>622</v>
      </c>
      <c r="F3471" s="17" t="s">
        <v>339</v>
      </c>
      <c r="G3471" s="18">
        <v>0</v>
      </c>
      <c r="H3471" s="18">
        <v>645.0600</v>
      </c>
      <c r="I3471" s="18">
        <f ca="1">((I3470 + G3471) - H3471)</f>
        <v>0</v>
      </c>
      <c r="J3471" s="18">
        <v>0</v>
      </c>
      <c r="K3471" s="19">
        <v>0</v>
      </c>
      <c r="L3471" s="17" t="s">
        <v>28</v>
      </c>
    </row>
    <row r="3472" ht="10.95" customHeight="true" customFormat="true" s="9">
      <c r="A3472" s="16">
        <v>45145</v>
      </c>
      <c r="B3472" s="17" t="s">
        <v>621</v>
      </c>
      <c r="C3472" s="17" t="s">
        <v>572</v>
      </c>
      <c r="D3472" s="17" t="s">
        <v>333</v>
      </c>
      <c r="E3472" s="17" t="s">
        <v>622</v>
      </c>
      <c r="F3472" s="17" t="s">
        <v>340</v>
      </c>
      <c r="G3472" s="18">
        <v>0</v>
      </c>
      <c r="H3472" s="18">
        <v>659.5800</v>
      </c>
      <c r="I3472" s="18">
        <f ca="1">((I3471 + G3472) - H3472)</f>
        <v>0</v>
      </c>
      <c r="J3472" s="18">
        <v>0</v>
      </c>
      <c r="K3472" s="19">
        <v>0</v>
      </c>
      <c r="L3472" s="17" t="s">
        <v>28</v>
      </c>
    </row>
    <row r="3473" ht="10.95" customHeight="true" customFormat="true" s="9">
      <c r="A3473" s="16">
        <v>45152</v>
      </c>
      <c r="B3473" s="17" t="s">
        <v>621</v>
      </c>
      <c r="C3473" s="17" t="s">
        <v>572</v>
      </c>
      <c r="D3473" s="17" t="s">
        <v>333</v>
      </c>
      <c r="E3473" s="17" t="s">
        <v>622</v>
      </c>
      <c r="F3473" s="17" t="s">
        <v>341</v>
      </c>
      <c r="G3473" s="18">
        <v>0</v>
      </c>
      <c r="H3473" s="18">
        <v>652.3200</v>
      </c>
      <c r="I3473" s="18">
        <f ca="1">((I3472 + G3473) - H3473)</f>
        <v>0</v>
      </c>
      <c r="J3473" s="18">
        <v>0</v>
      </c>
      <c r="K3473" s="19">
        <v>0</v>
      </c>
      <c r="L3473" s="17" t="s">
        <v>28</v>
      </c>
    </row>
    <row r="3474" ht="10.95" customHeight="true" customFormat="true" s="9">
      <c r="A3474" s="16">
        <v>45159</v>
      </c>
      <c r="B3474" s="17" t="s">
        <v>621</v>
      </c>
      <c r="C3474" s="17" t="s">
        <v>572</v>
      </c>
      <c r="D3474" s="17" t="s">
        <v>333</v>
      </c>
      <c r="E3474" s="17" t="s">
        <v>622</v>
      </c>
      <c r="F3474" s="17" t="s">
        <v>342</v>
      </c>
      <c r="G3474" s="18">
        <v>0</v>
      </c>
      <c r="H3474" s="18">
        <v>659.5800</v>
      </c>
      <c r="I3474" s="18">
        <f ca="1">((I3473 + G3474) - H3474)</f>
        <v>0</v>
      </c>
      <c r="J3474" s="18">
        <v>0</v>
      </c>
      <c r="K3474" s="19">
        <v>0</v>
      </c>
      <c r="L3474" s="17" t="s">
        <v>28</v>
      </c>
    </row>
    <row r="3475" ht="10.95" customHeight="true" customFormat="true" s="9">
      <c r="A3475" s="16">
        <v>45166</v>
      </c>
      <c r="B3475" s="17" t="s">
        <v>621</v>
      </c>
      <c r="C3475" s="17" t="s">
        <v>572</v>
      </c>
      <c r="D3475" s="17" t="s">
        <v>333</v>
      </c>
      <c r="E3475" s="17" t="s">
        <v>622</v>
      </c>
      <c r="F3475" s="17" t="s">
        <v>343</v>
      </c>
      <c r="G3475" s="18">
        <v>0</v>
      </c>
      <c r="H3475" s="18">
        <v>699.5000</v>
      </c>
      <c r="I3475" s="18">
        <f ca="1">((I3474 + G3475) - H3475)</f>
        <v>0</v>
      </c>
      <c r="J3475" s="18">
        <v>0</v>
      </c>
      <c r="K3475" s="19">
        <v>0</v>
      </c>
      <c r="L3475" s="17" t="s">
        <v>28</v>
      </c>
    </row>
    <row r="3476" ht="10.95" customHeight="true" customFormat="true" s="9">
      <c r="A3476" s="16">
        <v>45173</v>
      </c>
      <c r="B3476" s="17" t="s">
        <v>621</v>
      </c>
      <c r="C3476" s="17" t="s">
        <v>572</v>
      </c>
      <c r="D3476" s="17" t="s">
        <v>333</v>
      </c>
      <c r="E3476" s="17" t="s">
        <v>622</v>
      </c>
      <c r="F3476" s="17" t="s">
        <v>344</v>
      </c>
      <c r="G3476" s="18">
        <v>0</v>
      </c>
      <c r="H3476" s="18">
        <v>645.0600</v>
      </c>
      <c r="I3476" s="18">
        <f ca="1">((I3475 + G3476) - H3476)</f>
        <v>0</v>
      </c>
      <c r="J3476" s="18">
        <v>0</v>
      </c>
      <c r="K3476" s="19">
        <v>0</v>
      </c>
      <c r="L3476" s="17" t="s">
        <v>28</v>
      </c>
    </row>
    <row r="3477" ht="10.95" customHeight="true" customFormat="true" s="9">
      <c r="A3477" s="16">
        <v>45180</v>
      </c>
      <c r="B3477" s="17" t="s">
        <v>621</v>
      </c>
      <c r="C3477" s="17" t="s">
        <v>572</v>
      </c>
      <c r="D3477" s="17" t="s">
        <v>333</v>
      </c>
      <c r="E3477" s="17" t="s">
        <v>622</v>
      </c>
      <c r="F3477" s="17" t="s">
        <v>345</v>
      </c>
      <c r="G3477" s="18">
        <v>0</v>
      </c>
      <c r="H3477" s="18">
        <v>639.6100</v>
      </c>
      <c r="I3477" s="18">
        <f ca="1">((I3476 + G3477) - H3477)</f>
        <v>0</v>
      </c>
      <c r="J3477" s="18">
        <v>0</v>
      </c>
      <c r="K3477" s="19">
        <v>0</v>
      </c>
      <c r="L3477" s="17" t="s">
        <v>28</v>
      </c>
    </row>
    <row r="3478" ht="10.95" customHeight="true" customFormat="true" s="9">
      <c r="A3478" s="16">
        <v>45187</v>
      </c>
      <c r="B3478" s="17" t="s">
        <v>621</v>
      </c>
      <c r="C3478" s="17" t="s">
        <v>572</v>
      </c>
      <c r="D3478" s="17" t="s">
        <v>333</v>
      </c>
      <c r="E3478" s="17" t="s">
        <v>622</v>
      </c>
      <c r="F3478" s="17" t="s">
        <v>346</v>
      </c>
      <c r="G3478" s="18">
        <v>0</v>
      </c>
      <c r="H3478" s="18">
        <v>639.6100</v>
      </c>
      <c r="I3478" s="18">
        <f ca="1">((I3477 + G3478) - H3478)</f>
        <v>0</v>
      </c>
      <c r="J3478" s="18">
        <v>0</v>
      </c>
      <c r="K3478" s="19">
        <v>0</v>
      </c>
      <c r="L3478" s="17" t="s">
        <v>28</v>
      </c>
    </row>
    <row r="3479" ht="10.95" customHeight="true" customFormat="true" s="9">
      <c r="A3479" s="16">
        <v>45194</v>
      </c>
      <c r="B3479" s="17" t="s">
        <v>621</v>
      </c>
      <c r="C3479" s="17" t="s">
        <v>572</v>
      </c>
      <c r="D3479" s="17" t="s">
        <v>333</v>
      </c>
      <c r="E3479" s="17" t="s">
        <v>622</v>
      </c>
      <c r="F3479" s="17" t="s">
        <v>347</v>
      </c>
      <c r="G3479" s="18">
        <v>0</v>
      </c>
      <c r="H3479" s="18">
        <v>634.1600</v>
      </c>
      <c r="I3479" s="18">
        <f ca="1">((I3478 + G3479) - H3479)</f>
        <v>0</v>
      </c>
      <c r="J3479" s="18">
        <v>0</v>
      </c>
      <c r="K3479" s="19">
        <v>0</v>
      </c>
      <c r="L3479" s="17" t="s">
        <v>28</v>
      </c>
    </row>
    <row r="3480" ht="10.95" customHeight="true" customFormat="true" s="9">
      <c r="A3480" s="16">
        <v>45201</v>
      </c>
      <c r="B3480" s="17" t="s">
        <v>621</v>
      </c>
      <c r="C3480" s="17" t="s">
        <v>572</v>
      </c>
      <c r="D3480" s="17" t="s">
        <v>333</v>
      </c>
      <c r="E3480" s="17" t="s">
        <v>622</v>
      </c>
      <c r="F3480" s="17" t="s">
        <v>348</v>
      </c>
      <c r="G3480" s="18">
        <v>0</v>
      </c>
      <c r="H3480" s="18">
        <v>643.2400</v>
      </c>
      <c r="I3480" s="18">
        <f ca="1">((I3479 + G3480) - H3480)</f>
        <v>0</v>
      </c>
      <c r="J3480" s="18">
        <v>0</v>
      </c>
      <c r="K3480" s="19">
        <v>0</v>
      </c>
      <c r="L3480" s="17" t="s">
        <v>28</v>
      </c>
    </row>
    <row r="3481" ht="10.95" customHeight="true" customFormat="true" s="9">
      <c r="A3481" s="16">
        <v>45204</v>
      </c>
      <c r="B3481" s="17" t="s">
        <v>621</v>
      </c>
      <c r="C3481" s="17" t="s">
        <v>572</v>
      </c>
      <c r="D3481" s="17" t="s">
        <v>22</v>
      </c>
      <c r="E3481" s="17" t="s">
        <v>624</v>
      </c>
      <c r="F3481" s="17"/>
      <c r="G3481" s="18">
        <v>9026.4900</v>
      </c>
      <c r="H3481" s="18">
        <v>0</v>
      </c>
      <c r="I3481" s="18">
        <f ca="1">((I3480 + G3481) - H3481)</f>
        <v>0</v>
      </c>
      <c r="J3481" s="18">
        <v>0</v>
      </c>
      <c r="K3481" s="19">
        <v>0</v>
      </c>
      <c r="L3481" s="17" t="s">
        <v>28</v>
      </c>
    </row>
    <row r="3482" ht="10.95" customHeight="true" customFormat="true" s="9">
      <c r="A3482" s="16">
        <v>45208</v>
      </c>
      <c r="B3482" s="17" t="s">
        <v>621</v>
      </c>
      <c r="C3482" s="17" t="s">
        <v>572</v>
      </c>
      <c r="D3482" s="17" t="s">
        <v>333</v>
      </c>
      <c r="E3482" s="17" t="s">
        <v>622</v>
      </c>
      <c r="F3482" s="17" t="s">
        <v>349</v>
      </c>
      <c r="G3482" s="18">
        <v>0</v>
      </c>
      <c r="H3482" s="18">
        <v>670.7100</v>
      </c>
      <c r="I3482" s="18">
        <f ca="1">((I3481 + G3482) - H3482)</f>
        <v>0</v>
      </c>
      <c r="J3482" s="18">
        <v>0</v>
      </c>
      <c r="K3482" s="19">
        <v>0</v>
      </c>
      <c r="L3482" s="17" t="s">
        <v>28</v>
      </c>
    </row>
    <row r="3483" ht="10.95" customHeight="true" customFormat="true" s="9">
      <c r="A3483" s="16">
        <v>45215</v>
      </c>
      <c r="B3483" s="17" t="s">
        <v>621</v>
      </c>
      <c r="C3483" s="17" t="s">
        <v>572</v>
      </c>
      <c r="D3483" s="17" t="s">
        <v>333</v>
      </c>
      <c r="E3483" s="17" t="s">
        <v>622</v>
      </c>
      <c r="F3483" s="17" t="s">
        <v>350</v>
      </c>
      <c r="G3483" s="18">
        <v>0</v>
      </c>
      <c r="H3483" s="18">
        <v>734.2400</v>
      </c>
      <c r="I3483" s="18">
        <f ca="1">((I3482 + G3483) - H3483)</f>
        <v>0</v>
      </c>
      <c r="J3483" s="18">
        <v>0</v>
      </c>
      <c r="K3483" s="19">
        <v>0</v>
      </c>
      <c r="L3483" s="17" t="s">
        <v>28</v>
      </c>
    </row>
    <row r="3484" ht="10.95" customHeight="true" customFormat="true" s="9">
      <c r="A3484" s="16">
        <v>45222</v>
      </c>
      <c r="B3484" s="17" t="s">
        <v>621</v>
      </c>
      <c r="C3484" s="17" t="s">
        <v>572</v>
      </c>
      <c r="D3484" s="17" t="s">
        <v>333</v>
      </c>
      <c r="E3484" s="17" t="s">
        <v>622</v>
      </c>
      <c r="F3484" s="17" t="s">
        <v>351</v>
      </c>
      <c r="G3484" s="18">
        <v>0</v>
      </c>
      <c r="H3484" s="18">
        <v>670.7100</v>
      </c>
      <c r="I3484" s="18">
        <f ca="1">((I3483 + G3484) - H3484)</f>
        <v>0</v>
      </c>
      <c r="J3484" s="18">
        <v>0</v>
      </c>
      <c r="K3484" s="19">
        <v>0</v>
      </c>
      <c r="L3484" s="17" t="s">
        <v>28</v>
      </c>
    </row>
    <row r="3485" ht="10.95" customHeight="true" customFormat="true" s="9">
      <c r="A3485" s="16">
        <v>45229</v>
      </c>
      <c r="B3485" s="17" t="s">
        <v>621</v>
      </c>
      <c r="C3485" s="17" t="s">
        <v>572</v>
      </c>
      <c r="D3485" s="17" t="s">
        <v>333</v>
      </c>
      <c r="E3485" s="17" t="s">
        <v>622</v>
      </c>
      <c r="F3485" s="17" t="s">
        <v>352</v>
      </c>
      <c r="G3485" s="18">
        <v>0</v>
      </c>
      <c r="H3485" s="18">
        <v>676.1600</v>
      </c>
      <c r="I3485" s="18">
        <f ca="1">((I3484 + G3485) - H3485)</f>
        <v>0</v>
      </c>
      <c r="J3485" s="18">
        <v>0</v>
      </c>
      <c r="K3485" s="19">
        <v>0</v>
      </c>
      <c r="L3485" s="17" t="s">
        <v>28</v>
      </c>
    </row>
    <row r="3486" ht="10.95" customHeight="true" customFormat="true" s="9">
      <c r="A3486" s="16">
        <v>45236</v>
      </c>
      <c r="B3486" s="17" t="s">
        <v>621</v>
      </c>
      <c r="C3486" s="17" t="s">
        <v>572</v>
      </c>
      <c r="D3486" s="17" t="s">
        <v>333</v>
      </c>
      <c r="E3486" s="17" t="s">
        <v>622</v>
      </c>
      <c r="F3486" s="17" t="s">
        <v>353</v>
      </c>
      <c r="G3486" s="18">
        <v>0</v>
      </c>
      <c r="H3486" s="18">
        <v>728.7900</v>
      </c>
      <c r="I3486" s="18">
        <f ca="1">((I3485 + G3486) - H3486)</f>
        <v>0</v>
      </c>
      <c r="J3486" s="18">
        <v>0</v>
      </c>
      <c r="K3486" s="19">
        <v>0</v>
      </c>
      <c r="L3486" s="17" t="s">
        <v>28</v>
      </c>
    </row>
    <row r="3487" ht="10.95" customHeight="true" customFormat="true" s="9">
      <c r="A3487" s="16">
        <v>45243</v>
      </c>
      <c r="B3487" s="17" t="s">
        <v>621</v>
      </c>
      <c r="C3487" s="17" t="s">
        <v>572</v>
      </c>
      <c r="D3487" s="17" t="s">
        <v>333</v>
      </c>
      <c r="E3487" s="17" t="s">
        <v>622</v>
      </c>
      <c r="F3487" s="17" t="s">
        <v>354</v>
      </c>
      <c r="G3487" s="18">
        <v>0</v>
      </c>
      <c r="H3487" s="18">
        <v>741.5000</v>
      </c>
      <c r="I3487" s="18">
        <f ca="1">((I3486 + G3487) - H3487)</f>
        <v>0</v>
      </c>
      <c r="J3487" s="18">
        <v>0</v>
      </c>
      <c r="K3487" s="19">
        <v>0</v>
      </c>
      <c r="L3487" s="17" t="s">
        <v>28</v>
      </c>
    </row>
    <row r="3488" ht="10.95" customHeight="true" customFormat="true" s="9">
      <c r="A3488" s="16">
        <v>45250</v>
      </c>
      <c r="B3488" s="17" t="s">
        <v>621</v>
      </c>
      <c r="C3488" s="17" t="s">
        <v>572</v>
      </c>
      <c r="D3488" s="17" t="s">
        <v>333</v>
      </c>
      <c r="E3488" s="17" t="s">
        <v>622</v>
      </c>
      <c r="F3488" s="17" t="s">
        <v>355</v>
      </c>
      <c r="G3488" s="18">
        <v>0</v>
      </c>
      <c r="H3488" s="18">
        <v>670.7100</v>
      </c>
      <c r="I3488" s="18">
        <f ca="1">((I3487 + G3488) - H3488)</f>
        <v>0</v>
      </c>
      <c r="J3488" s="18">
        <v>0</v>
      </c>
      <c r="K3488" s="19">
        <v>0</v>
      </c>
      <c r="L3488" s="17" t="s">
        <v>28</v>
      </c>
    </row>
    <row r="3489" ht="10.95" customHeight="true" customFormat="true" s="9">
      <c r="A3489" s="16">
        <v>45257</v>
      </c>
      <c r="B3489" s="17" t="s">
        <v>621</v>
      </c>
      <c r="C3489" s="17" t="s">
        <v>572</v>
      </c>
      <c r="D3489" s="17" t="s">
        <v>333</v>
      </c>
      <c r="E3489" s="17" t="s">
        <v>622</v>
      </c>
      <c r="F3489" s="17" t="s">
        <v>356</v>
      </c>
      <c r="G3489" s="18">
        <v>0</v>
      </c>
      <c r="H3489" s="18">
        <v>712.1300</v>
      </c>
      <c r="I3489" s="18">
        <f ca="1">((I3488 + G3489) - H3489)</f>
        <v>0</v>
      </c>
      <c r="J3489" s="18">
        <v>0</v>
      </c>
      <c r="K3489" s="19">
        <v>0</v>
      </c>
      <c r="L3489" s="17" t="s">
        <v>28</v>
      </c>
    </row>
    <row r="3490" ht="10.95" customHeight="true" customFormat="true" s="9">
      <c r="A3490" s="16">
        <v>45264</v>
      </c>
      <c r="B3490" s="17" t="s">
        <v>621</v>
      </c>
      <c r="C3490" s="17" t="s">
        <v>572</v>
      </c>
      <c r="D3490" s="17" t="s">
        <v>333</v>
      </c>
      <c r="E3490" s="17" t="s">
        <v>622</v>
      </c>
      <c r="F3490" s="17" t="s">
        <v>357</v>
      </c>
      <c r="G3490" s="18">
        <v>0</v>
      </c>
      <c r="H3490" s="18">
        <v>736.9400</v>
      </c>
      <c r="I3490" s="18">
        <f ca="1">((I3489 + G3490) - H3490)</f>
        <v>0</v>
      </c>
      <c r="J3490" s="18">
        <v>0</v>
      </c>
      <c r="K3490" s="19">
        <v>0</v>
      </c>
      <c r="L3490" s="17" t="s">
        <v>28</v>
      </c>
    </row>
    <row r="3491" ht="10.95" customHeight="true" customFormat="true" s="9">
      <c r="A3491" s="16">
        <v>45271</v>
      </c>
      <c r="B3491" s="17" t="s">
        <v>621</v>
      </c>
      <c r="C3491" s="17" t="s">
        <v>572</v>
      </c>
      <c r="D3491" s="17" t="s">
        <v>333</v>
      </c>
      <c r="E3491" s="17" t="s">
        <v>622</v>
      </c>
      <c r="F3491" s="17" t="s">
        <v>358</v>
      </c>
      <c r="G3491" s="18">
        <v>0</v>
      </c>
      <c r="H3491" s="18">
        <v>732.5900</v>
      </c>
      <c r="I3491" s="18">
        <f ca="1">((I3490 + G3491) - H3491)</f>
        <v>0</v>
      </c>
      <c r="J3491" s="18">
        <v>0</v>
      </c>
      <c r="K3491" s="19">
        <v>0</v>
      </c>
      <c r="L3491" s="17" t="s">
        <v>28</v>
      </c>
    </row>
    <row r="3492" ht="10.95" customHeight="true" customFormat="true" s="9">
      <c r="A3492" s="16">
        <v>45278</v>
      </c>
      <c r="B3492" s="17" t="s">
        <v>621</v>
      </c>
      <c r="C3492" s="17" t="s">
        <v>572</v>
      </c>
      <c r="D3492" s="17" t="s">
        <v>333</v>
      </c>
      <c r="E3492" s="17" t="s">
        <v>622</v>
      </c>
      <c r="F3492" s="17" t="s">
        <v>359</v>
      </c>
      <c r="G3492" s="18">
        <v>0</v>
      </c>
      <c r="H3492" s="18">
        <v>762.7200</v>
      </c>
      <c r="I3492" s="18">
        <f ca="1">((I3491 + G3492) - H3492)</f>
        <v>0</v>
      </c>
      <c r="J3492" s="18">
        <v>0</v>
      </c>
      <c r="K3492" s="19">
        <v>0</v>
      </c>
      <c r="L3492" s="17" t="s">
        <v>28</v>
      </c>
    </row>
    <row r="3493" ht="10.95" customHeight="true" customFormat="true" s="9">
      <c r="A3493" s="16">
        <v>45285</v>
      </c>
      <c r="B3493" s="17" t="s">
        <v>621</v>
      </c>
      <c r="C3493" s="17" t="s">
        <v>572</v>
      </c>
      <c r="D3493" s="17" t="s">
        <v>333</v>
      </c>
      <c r="E3493" s="17" t="s">
        <v>622</v>
      </c>
      <c r="F3493" s="17" t="s">
        <v>360</v>
      </c>
      <c r="G3493" s="18">
        <v>0</v>
      </c>
      <c r="H3493" s="18">
        <v>860.3500</v>
      </c>
      <c r="I3493" s="18">
        <f ca="1">((I3492 + G3493) - H3493)</f>
        <v>0</v>
      </c>
      <c r="J3493" s="18">
        <v>0</v>
      </c>
      <c r="K3493" s="19">
        <v>0</v>
      </c>
      <c r="L3493" s="17" t="s">
        <v>28</v>
      </c>
    </row>
    <row r="3494" ht="10.95" customHeight="true" customFormat="true" s="9">
      <c r="A3494" s="16">
        <v>45292</v>
      </c>
      <c r="B3494" s="17" t="s">
        <v>621</v>
      </c>
      <c r="C3494" s="17" t="s">
        <v>572</v>
      </c>
      <c r="D3494" s="17" t="s">
        <v>333</v>
      </c>
      <c r="E3494" s="17" t="s">
        <v>622</v>
      </c>
      <c r="F3494" s="17" t="s">
        <v>361</v>
      </c>
      <c r="G3494" s="18">
        <v>0</v>
      </c>
      <c r="H3494" s="18">
        <v>503.9000</v>
      </c>
      <c r="I3494" s="18">
        <f ca="1">((I3493 + G3494) - H3494)</f>
        <v>0</v>
      </c>
      <c r="J3494" s="18">
        <v>0</v>
      </c>
      <c r="K3494" s="19">
        <v>0</v>
      </c>
      <c r="L3494" s="17" t="s">
        <v>28</v>
      </c>
    </row>
    <row r="3495" ht="10.95" customHeight="true" customFormat="true" s="9">
      <c r="A3495" s="16">
        <v>45299</v>
      </c>
      <c r="B3495" s="17" t="s">
        <v>621</v>
      </c>
      <c r="C3495" s="17" t="s">
        <v>572</v>
      </c>
      <c r="D3495" s="17" t="s">
        <v>333</v>
      </c>
      <c r="E3495" s="17" t="s">
        <v>622</v>
      </c>
      <c r="F3495" s="17" t="s">
        <v>362</v>
      </c>
      <c r="G3495" s="18">
        <v>0</v>
      </c>
      <c r="H3495" s="18">
        <v>503.9000</v>
      </c>
      <c r="I3495" s="18">
        <f ca="1">((I3494 + G3495) - H3495)</f>
        <v>0</v>
      </c>
      <c r="J3495" s="18">
        <v>0</v>
      </c>
      <c r="K3495" s="19">
        <v>0</v>
      </c>
      <c r="L3495" s="17" t="s">
        <v>28</v>
      </c>
    </row>
    <row r="3496" ht="10.95" customHeight="true" customFormat="true" s="9">
      <c r="A3496" s="16">
        <v>45301</v>
      </c>
      <c r="B3496" s="17" t="s">
        <v>621</v>
      </c>
      <c r="C3496" s="17" t="s">
        <v>572</v>
      </c>
      <c r="D3496" s="17" t="s">
        <v>22</v>
      </c>
      <c r="E3496" s="17" t="s">
        <v>624</v>
      </c>
      <c r="F3496" s="17"/>
      <c r="G3496" s="18">
        <v>8860.4600</v>
      </c>
      <c r="H3496" s="18">
        <v>0</v>
      </c>
      <c r="I3496" s="18">
        <f ca="1">((I3495 + G3496) - H3496)</f>
        <v>0</v>
      </c>
      <c r="J3496" s="18">
        <v>0</v>
      </c>
      <c r="K3496" s="19">
        <v>0</v>
      </c>
      <c r="L3496" s="17" t="s">
        <v>28</v>
      </c>
    </row>
    <row r="3497" ht="10.95" customHeight="true" customFormat="true" s="9">
      <c r="A3497" s="16">
        <v>45306</v>
      </c>
      <c r="B3497" s="17" t="s">
        <v>621</v>
      </c>
      <c r="C3497" s="17" t="s">
        <v>572</v>
      </c>
      <c r="D3497" s="17" t="s">
        <v>333</v>
      </c>
      <c r="E3497" s="17" t="s">
        <v>622</v>
      </c>
      <c r="F3497" s="17" t="s">
        <v>363</v>
      </c>
      <c r="G3497" s="18">
        <v>0</v>
      </c>
      <c r="H3497" s="18">
        <v>503.9000</v>
      </c>
      <c r="I3497" s="18">
        <f ca="1">((I3496 + G3497) - H3497)</f>
        <v>0</v>
      </c>
      <c r="J3497" s="18">
        <v>0</v>
      </c>
      <c r="K3497" s="19">
        <v>0</v>
      </c>
      <c r="L3497" s="17" t="s">
        <v>28</v>
      </c>
    </row>
    <row r="3498" ht="10.95" customHeight="true" customFormat="true" s="9">
      <c r="A3498" s="16">
        <v>45313</v>
      </c>
      <c r="B3498" s="17" t="s">
        <v>621</v>
      </c>
      <c r="C3498" s="17" t="s">
        <v>572</v>
      </c>
      <c r="D3498" s="17" t="s">
        <v>333</v>
      </c>
      <c r="E3498" s="17" t="s">
        <v>622</v>
      </c>
      <c r="F3498" s="17" t="s">
        <v>364</v>
      </c>
      <c r="G3498" s="18">
        <v>0</v>
      </c>
      <c r="H3498" s="18">
        <v>790.6100</v>
      </c>
      <c r="I3498" s="18">
        <f ca="1">((I3497 + G3498) - H3498)</f>
        <v>0</v>
      </c>
      <c r="J3498" s="18">
        <v>0</v>
      </c>
      <c r="K3498" s="19">
        <v>0</v>
      </c>
      <c r="L3498" s="17" t="s">
        <v>28</v>
      </c>
    </row>
    <row r="3499" ht="10.95" customHeight="true" customFormat="true" s="9">
      <c r="A3499" s="16">
        <v>45320</v>
      </c>
      <c r="B3499" s="17" t="s">
        <v>621</v>
      </c>
      <c r="C3499" s="17" t="s">
        <v>572</v>
      </c>
      <c r="D3499" s="17" t="s">
        <v>333</v>
      </c>
      <c r="E3499" s="17" t="s">
        <v>622</v>
      </c>
      <c r="F3499" s="17" t="s">
        <v>365</v>
      </c>
      <c r="G3499" s="18">
        <v>0</v>
      </c>
      <c r="H3499" s="18">
        <v>764.1000</v>
      </c>
      <c r="I3499" s="18">
        <f ca="1">((I3498 + G3499) - H3499)</f>
        <v>0</v>
      </c>
      <c r="J3499" s="18">
        <v>0</v>
      </c>
      <c r="K3499" s="19">
        <v>0</v>
      </c>
      <c r="L3499" s="17" t="s">
        <v>28</v>
      </c>
    </row>
    <row r="3500" ht="10.95" customHeight="true" customFormat="true" s="9">
      <c r="A3500" s="16">
        <v>45327</v>
      </c>
      <c r="B3500" s="17" t="s">
        <v>621</v>
      </c>
      <c r="C3500" s="17" t="s">
        <v>572</v>
      </c>
      <c r="D3500" s="17" t="s">
        <v>333</v>
      </c>
      <c r="E3500" s="17" t="s">
        <v>622</v>
      </c>
      <c r="F3500" s="17" t="s">
        <v>366</v>
      </c>
      <c r="G3500" s="18">
        <v>0</v>
      </c>
      <c r="H3500" s="18">
        <v>747.9900</v>
      </c>
      <c r="I3500" s="18">
        <f ca="1">((I3499 + G3500) - H3500)</f>
        <v>0</v>
      </c>
      <c r="J3500" s="18">
        <v>0</v>
      </c>
      <c r="K3500" s="19">
        <v>0</v>
      </c>
      <c r="L3500" s="17" t="s">
        <v>28</v>
      </c>
    </row>
    <row r="3501" ht="10.95" customHeight="true" customFormat="true" s="9">
      <c r="A3501" s="16">
        <v>45334</v>
      </c>
      <c r="B3501" s="17" t="s">
        <v>621</v>
      </c>
      <c r="C3501" s="17" t="s">
        <v>572</v>
      </c>
      <c r="D3501" s="17" t="s">
        <v>333</v>
      </c>
      <c r="E3501" s="17" t="s">
        <v>622</v>
      </c>
      <c r="F3501" s="17" t="s">
        <v>367</v>
      </c>
      <c r="G3501" s="18">
        <v>0</v>
      </c>
      <c r="H3501" s="18">
        <v>667.8000</v>
      </c>
      <c r="I3501" s="18">
        <f ca="1">((I3500 + G3501) - H3501)</f>
        <v>0</v>
      </c>
      <c r="J3501" s="18">
        <v>0</v>
      </c>
      <c r="K3501" s="19">
        <v>0</v>
      </c>
      <c r="L3501" s="17" t="s">
        <v>28</v>
      </c>
    </row>
    <row r="3502" ht="10.95" customHeight="true" customFormat="true" s="9">
      <c r="A3502" s="16">
        <v>45341</v>
      </c>
      <c r="B3502" s="17" t="s">
        <v>621</v>
      </c>
      <c r="C3502" s="17" t="s">
        <v>572</v>
      </c>
      <c r="D3502" s="17" t="s">
        <v>333</v>
      </c>
      <c r="E3502" s="17" t="s">
        <v>622</v>
      </c>
      <c r="F3502" s="17" t="s">
        <v>368</v>
      </c>
      <c r="G3502" s="18">
        <v>0</v>
      </c>
      <c r="H3502" s="18">
        <v>667.8000</v>
      </c>
      <c r="I3502" s="18">
        <f ca="1">((I3501 + G3502) - H3502)</f>
        <v>0</v>
      </c>
      <c r="J3502" s="18">
        <v>0</v>
      </c>
      <c r="K3502" s="19">
        <v>0</v>
      </c>
      <c r="L3502" s="17" t="s">
        <v>28</v>
      </c>
    </row>
    <row r="3503" ht="10.95" customHeight="true" customFormat="true" s="9">
      <c r="A3503" s="16">
        <v>45348</v>
      </c>
      <c r="B3503" s="17" t="s">
        <v>621</v>
      </c>
      <c r="C3503" s="17" t="s">
        <v>572</v>
      </c>
      <c r="D3503" s="17" t="s">
        <v>333</v>
      </c>
      <c r="E3503" s="17" t="s">
        <v>622</v>
      </c>
      <c r="F3503" s="17" t="s">
        <v>369</v>
      </c>
      <c r="G3503" s="18">
        <v>0</v>
      </c>
      <c r="H3503" s="18">
        <v>693.9200</v>
      </c>
      <c r="I3503" s="18">
        <f ca="1">((I3502 + G3503) - H3503)</f>
        <v>0</v>
      </c>
      <c r="J3503" s="18">
        <v>0</v>
      </c>
      <c r="K3503" s="19">
        <v>0</v>
      </c>
      <c r="L3503" s="17" t="s">
        <v>28</v>
      </c>
    </row>
    <row r="3504" ht="10.95" customHeight="true" customFormat="true" s="9">
      <c r="A3504" s="16">
        <v>45355</v>
      </c>
      <c r="B3504" s="17" t="s">
        <v>621</v>
      </c>
      <c r="C3504" s="17" t="s">
        <v>572</v>
      </c>
      <c r="D3504" s="17" t="s">
        <v>333</v>
      </c>
      <c r="E3504" s="17" t="s">
        <v>622</v>
      </c>
      <c r="F3504" s="17" t="s">
        <v>370</v>
      </c>
      <c r="G3504" s="18">
        <v>0</v>
      </c>
      <c r="H3504" s="18">
        <v>668.5700</v>
      </c>
      <c r="I3504" s="18">
        <f ca="1">((I3503 + G3504) - H3504)</f>
        <v>0</v>
      </c>
      <c r="J3504" s="18">
        <v>0</v>
      </c>
      <c r="K3504" s="19">
        <v>0</v>
      </c>
      <c r="L3504" s="17" t="s">
        <v>28</v>
      </c>
    </row>
    <row r="3505" ht="10.95" customHeight="true" customFormat="true" s="9">
      <c r="A3505" s="16">
        <v>45362</v>
      </c>
      <c r="B3505" s="17" t="s">
        <v>621</v>
      </c>
      <c r="C3505" s="17" t="s">
        <v>572</v>
      </c>
      <c r="D3505" s="17" t="s">
        <v>333</v>
      </c>
      <c r="E3505" s="17" t="s">
        <v>622</v>
      </c>
      <c r="F3505" s="17" t="s">
        <v>371</v>
      </c>
      <c r="G3505" s="18">
        <v>0</v>
      </c>
      <c r="H3505" s="18">
        <v>663.5700</v>
      </c>
      <c r="I3505" s="18">
        <f ca="1">((I3504 + G3505) - H3505)</f>
        <v>0</v>
      </c>
      <c r="J3505" s="18">
        <v>0</v>
      </c>
      <c r="K3505" s="19">
        <v>0</v>
      </c>
      <c r="L3505" s="17" t="s">
        <v>28</v>
      </c>
    </row>
    <row r="3506" ht="10.95" customHeight="true" customFormat="true" s="9">
      <c r="A3506" s="16">
        <v>45369</v>
      </c>
      <c r="B3506" s="17" t="s">
        <v>621</v>
      </c>
      <c r="C3506" s="17" t="s">
        <v>572</v>
      </c>
      <c r="D3506" s="17" t="s">
        <v>333</v>
      </c>
      <c r="E3506" s="17" t="s">
        <v>622</v>
      </c>
      <c r="F3506" s="17" t="s">
        <v>372</v>
      </c>
      <c r="G3506" s="18">
        <v>0</v>
      </c>
      <c r="H3506" s="18">
        <v>662.5200</v>
      </c>
      <c r="I3506" s="18">
        <f ca="1">((I3505 + G3506) - H3506)</f>
        <v>0</v>
      </c>
      <c r="J3506" s="18">
        <v>0</v>
      </c>
      <c r="K3506" s="19">
        <v>0</v>
      </c>
      <c r="L3506" s="17" t="s">
        <v>28</v>
      </c>
    </row>
    <row r="3507" ht="10.95" customHeight="true" customFormat="true" s="9">
      <c r="A3507" s="16">
        <v>45376</v>
      </c>
      <c r="B3507" s="17" t="s">
        <v>621</v>
      </c>
      <c r="C3507" s="17" t="s">
        <v>572</v>
      </c>
      <c r="D3507" s="17" t="s">
        <v>333</v>
      </c>
      <c r="E3507" s="17" t="s">
        <v>622</v>
      </c>
      <c r="F3507" s="17" t="s">
        <v>373</v>
      </c>
      <c r="G3507" s="18">
        <v>0</v>
      </c>
      <c r="H3507" s="18">
        <v>758.9900</v>
      </c>
      <c r="I3507" s="18">
        <f ca="1">((I3506 + G3507) - H3507)</f>
        <v>0</v>
      </c>
      <c r="J3507" s="18">
        <v>0</v>
      </c>
      <c r="K3507" s="19">
        <v>0</v>
      </c>
      <c r="L3507" s="17" t="s">
        <v>28</v>
      </c>
    </row>
    <row r="3508" ht="10.95" customHeight="true" customFormat="true" s="9">
      <c r="A3508" s="16">
        <v>45383</v>
      </c>
      <c r="B3508" s="17" t="s">
        <v>621</v>
      </c>
      <c r="C3508" s="17" t="s">
        <v>572</v>
      </c>
      <c r="D3508" s="17" t="s">
        <v>333</v>
      </c>
      <c r="E3508" s="17" t="s">
        <v>622</v>
      </c>
      <c r="F3508" s="17" t="s">
        <v>374</v>
      </c>
      <c r="G3508" s="18">
        <v>0</v>
      </c>
      <c r="H3508" s="18">
        <v>780.2300</v>
      </c>
      <c r="I3508" s="18">
        <f ca="1">((I3507 + G3508) - H3508)</f>
        <v>0</v>
      </c>
      <c r="J3508" s="18">
        <v>0</v>
      </c>
      <c r="K3508" s="19">
        <v>0</v>
      </c>
      <c r="L3508" s="17" t="s">
        <v>28</v>
      </c>
    </row>
    <row r="3509" ht="10.95" customHeight="true" customFormat="true" s="9">
      <c r="A3509" s="16">
        <v>45390</v>
      </c>
      <c r="B3509" s="17" t="s">
        <v>621</v>
      </c>
      <c r="C3509" s="17" t="s">
        <v>572</v>
      </c>
      <c r="D3509" s="17" t="s">
        <v>333</v>
      </c>
      <c r="E3509" s="17" t="s">
        <v>622</v>
      </c>
      <c r="F3509" s="17" t="s">
        <v>375</v>
      </c>
      <c r="G3509" s="18">
        <v>0</v>
      </c>
      <c r="H3509" s="18">
        <v>669.2300</v>
      </c>
      <c r="I3509" s="18">
        <f ca="1">((I3508 + G3509) - H3509)</f>
        <v>0</v>
      </c>
      <c r="J3509" s="18">
        <v>0</v>
      </c>
      <c r="K3509" s="19">
        <v>0</v>
      </c>
      <c r="L3509" s="17" t="s">
        <v>28</v>
      </c>
    </row>
    <row r="3510" ht="10.95" customHeight="true" customFormat="true" s="9">
      <c r="A3510" s="16">
        <v>45394</v>
      </c>
      <c r="B3510" s="17" t="s">
        <v>621</v>
      </c>
      <c r="C3510" s="17" t="s">
        <v>572</v>
      </c>
      <c r="D3510" s="17" t="s">
        <v>22</v>
      </c>
      <c r="E3510" s="17" t="s">
        <v>624</v>
      </c>
      <c r="F3510" s="17"/>
      <c r="G3510" s="18">
        <v>6979.4700</v>
      </c>
      <c r="H3510" s="18">
        <v>0</v>
      </c>
      <c r="I3510" s="18">
        <f ca="1">((I3509 + G3510) - H3510)</f>
        <v>0</v>
      </c>
      <c r="J3510" s="18">
        <v>0</v>
      </c>
      <c r="K3510" s="19">
        <v>0</v>
      </c>
      <c r="L3510" s="17" t="s">
        <v>28</v>
      </c>
    </row>
    <row r="3511" ht="10.95" customHeight="true" customFormat="true" s="9">
      <c r="A3511" s="16">
        <v>45397</v>
      </c>
      <c r="B3511" s="17" t="s">
        <v>621</v>
      </c>
      <c r="C3511" s="17" t="s">
        <v>572</v>
      </c>
      <c r="D3511" s="17" t="s">
        <v>333</v>
      </c>
      <c r="E3511" s="17" t="s">
        <v>622</v>
      </c>
      <c r="F3511" s="17" t="s">
        <v>376</v>
      </c>
      <c r="G3511" s="18">
        <v>0</v>
      </c>
      <c r="H3511" s="18">
        <v>758.8800</v>
      </c>
      <c r="I3511" s="18">
        <f ca="1">((I3510 + G3511) - H3511)</f>
        <v>0</v>
      </c>
      <c r="J3511" s="18">
        <v>0</v>
      </c>
      <c r="K3511" s="19">
        <v>0</v>
      </c>
      <c r="L3511" s="17" t="s">
        <v>28</v>
      </c>
    </row>
    <row r="3512" ht="10.95" customHeight="true" customFormat="true" s="9">
      <c r="A3512" s="16">
        <v>45404</v>
      </c>
      <c r="B3512" s="17" t="s">
        <v>621</v>
      </c>
      <c r="C3512" s="17" t="s">
        <v>572</v>
      </c>
      <c r="D3512" s="17" t="s">
        <v>333</v>
      </c>
      <c r="E3512" s="17" t="s">
        <v>622</v>
      </c>
      <c r="F3512" s="17" t="s">
        <v>377</v>
      </c>
      <c r="G3512" s="18">
        <v>0</v>
      </c>
      <c r="H3512" s="18">
        <v>753.3800</v>
      </c>
      <c r="I3512" s="18">
        <f ca="1">((I3511 + G3512) - H3512)</f>
        <v>0</v>
      </c>
      <c r="J3512" s="18">
        <v>0</v>
      </c>
      <c r="K3512" s="19">
        <v>0</v>
      </c>
      <c r="L3512" s="17" t="s">
        <v>28</v>
      </c>
    </row>
    <row r="3513" ht="10.95" customHeight="true" customFormat="true" s="9">
      <c r="A3513" s="16">
        <v>45411</v>
      </c>
      <c r="B3513" s="17" t="s">
        <v>621</v>
      </c>
      <c r="C3513" s="17" t="s">
        <v>572</v>
      </c>
      <c r="D3513" s="17" t="s">
        <v>333</v>
      </c>
      <c r="E3513" s="17" t="s">
        <v>622</v>
      </c>
      <c r="F3513" s="17" t="s">
        <v>378</v>
      </c>
      <c r="G3513" s="18">
        <v>0</v>
      </c>
      <c r="H3513" s="18">
        <v>788.4800</v>
      </c>
      <c r="I3513" s="18">
        <f ca="1">((I3512 + G3513) - H3513)</f>
        <v>0</v>
      </c>
      <c r="J3513" s="18">
        <v>0</v>
      </c>
      <c r="K3513" s="19">
        <v>0</v>
      </c>
      <c r="L3513" s="17" t="s">
        <v>28</v>
      </c>
    </row>
    <row r="3514" ht="10.95" customHeight="true" customFormat="true" s="9">
      <c r="A3514" s="16">
        <v>45411</v>
      </c>
      <c r="B3514" s="17" t="s">
        <v>621</v>
      </c>
      <c r="C3514" s="17" t="s">
        <v>572</v>
      </c>
      <c r="D3514" s="17" t="s">
        <v>22</v>
      </c>
      <c r="E3514" s="17" t="s">
        <v>624</v>
      </c>
      <c r="F3514" s="17"/>
      <c r="G3514" s="18">
        <v>562.4300</v>
      </c>
      <c r="H3514" s="18">
        <v>0</v>
      </c>
      <c r="I3514" s="18">
        <f ca="1">((I3513 + G3514) - H3514)</f>
        <v>0</v>
      </c>
      <c r="J3514" s="18">
        <v>0</v>
      </c>
      <c r="K3514" s="19">
        <v>0</v>
      </c>
      <c r="L3514" s="17" t="s">
        <v>28</v>
      </c>
    </row>
    <row r="3515" ht="10.95" customHeight="true" customFormat="true" s="9">
      <c r="A3515" s="16">
        <v>45415</v>
      </c>
      <c r="B3515" s="17" t="s">
        <v>621</v>
      </c>
      <c r="C3515" s="17" t="s">
        <v>572</v>
      </c>
      <c r="D3515" s="17" t="s">
        <v>22</v>
      </c>
      <c r="E3515" s="17" t="s">
        <v>624</v>
      </c>
      <c r="F3515" s="17"/>
      <c r="G3515" s="18">
        <v>999.4100</v>
      </c>
      <c r="H3515" s="18">
        <v>0</v>
      </c>
      <c r="I3515" s="18">
        <f ca="1">((I3514 + G3515) - H3515)</f>
        <v>0</v>
      </c>
      <c r="J3515" s="18">
        <v>0</v>
      </c>
      <c r="K3515" s="19">
        <v>0</v>
      </c>
      <c r="L3515" s="17" t="s">
        <v>28</v>
      </c>
    </row>
    <row r="3516" ht="10.95" customHeight="true" customFormat="true" s="9">
      <c r="A3516" s="16">
        <v>45418</v>
      </c>
      <c r="B3516" s="17" t="s">
        <v>621</v>
      </c>
      <c r="C3516" s="17" t="s">
        <v>572</v>
      </c>
      <c r="D3516" s="17" t="s">
        <v>333</v>
      </c>
      <c r="E3516" s="17" t="s">
        <v>622</v>
      </c>
      <c r="F3516" s="17" t="s">
        <v>379</v>
      </c>
      <c r="G3516" s="18">
        <v>0</v>
      </c>
      <c r="H3516" s="18">
        <v>746.8900</v>
      </c>
      <c r="I3516" s="18">
        <f ca="1">((I3515 + G3516) - H3516)</f>
        <v>0</v>
      </c>
      <c r="J3516" s="18">
        <v>0</v>
      </c>
      <c r="K3516" s="19">
        <v>0</v>
      </c>
      <c r="L3516" s="17" t="s">
        <v>28</v>
      </c>
    </row>
    <row r="3517" ht="10.95" customHeight="true" customFormat="true" s="9">
      <c r="A3517" s="16">
        <v>45425</v>
      </c>
      <c r="B3517" s="17" t="s">
        <v>621</v>
      </c>
      <c r="C3517" s="17" t="s">
        <v>572</v>
      </c>
      <c r="D3517" s="17" t="s">
        <v>333</v>
      </c>
      <c r="E3517" s="17" t="s">
        <v>622</v>
      </c>
      <c r="F3517" s="17" t="s">
        <v>380</v>
      </c>
      <c r="G3517" s="18">
        <v>0</v>
      </c>
      <c r="H3517" s="18">
        <v>745.1300</v>
      </c>
      <c r="I3517" s="18">
        <f ca="1">((I3516 + G3517) - H3517)</f>
        <v>0</v>
      </c>
      <c r="J3517" s="18">
        <v>0</v>
      </c>
      <c r="K3517" s="19">
        <v>0</v>
      </c>
      <c r="L3517" s="17" t="s">
        <v>28</v>
      </c>
    </row>
    <row r="3518" ht="10.95" customHeight="true" customFormat="true" s="9">
      <c r="A3518" s="16">
        <v>45432</v>
      </c>
      <c r="B3518" s="17" t="s">
        <v>621</v>
      </c>
      <c r="C3518" s="17" t="s">
        <v>572</v>
      </c>
      <c r="D3518" s="17" t="s">
        <v>333</v>
      </c>
      <c r="E3518" s="17" t="s">
        <v>622</v>
      </c>
      <c r="F3518" s="17" t="s">
        <v>381</v>
      </c>
      <c r="G3518" s="18">
        <v>0</v>
      </c>
      <c r="H3518" s="18">
        <v>775.0500</v>
      </c>
      <c r="I3518" s="18">
        <f ca="1">((I3517 + G3518) - H3518)</f>
        <v>0</v>
      </c>
      <c r="J3518" s="18">
        <v>0</v>
      </c>
      <c r="K3518" s="19">
        <v>0</v>
      </c>
      <c r="L3518" s="17" t="s">
        <v>28</v>
      </c>
    </row>
    <row r="3519" ht="10.95" customHeight="true" customFormat="true" s="9">
      <c r="A3519" s="16">
        <v>45439</v>
      </c>
      <c r="B3519" s="17" t="s">
        <v>621</v>
      </c>
      <c r="C3519" s="17" t="s">
        <v>572</v>
      </c>
      <c r="D3519" s="17" t="s">
        <v>333</v>
      </c>
      <c r="E3519" s="17" t="s">
        <v>622</v>
      </c>
      <c r="F3519" s="17" t="s">
        <v>382</v>
      </c>
      <c r="G3519" s="18">
        <v>0</v>
      </c>
      <c r="H3519" s="18">
        <v>760.0900</v>
      </c>
      <c r="I3519" s="18">
        <f ca="1">((I3518 + G3519) - H3519)</f>
        <v>0</v>
      </c>
      <c r="J3519" s="18">
        <v>0</v>
      </c>
      <c r="K3519" s="19">
        <v>0</v>
      </c>
      <c r="L3519" s="17" t="s">
        <v>28</v>
      </c>
    </row>
    <row r="3520" ht="10.95" customHeight="true" customFormat="true" s="9">
      <c r="A3520" s="16">
        <v>45446</v>
      </c>
      <c r="B3520" s="17" t="s">
        <v>621</v>
      </c>
      <c r="C3520" s="17" t="s">
        <v>572</v>
      </c>
      <c r="D3520" s="17" t="s">
        <v>333</v>
      </c>
      <c r="E3520" s="17" t="s">
        <v>622</v>
      </c>
      <c r="F3520" s="17" t="s">
        <v>383</v>
      </c>
      <c r="G3520" s="18">
        <v>0</v>
      </c>
      <c r="H3520" s="18">
        <v>760.0900</v>
      </c>
      <c r="I3520" s="18">
        <f ca="1">((I3519 + G3520) - H3520)</f>
        <v>0</v>
      </c>
      <c r="J3520" s="18">
        <v>0</v>
      </c>
      <c r="K3520" s="19">
        <v>0</v>
      </c>
      <c r="L3520" s="17" t="s">
        <v>28</v>
      </c>
    </row>
    <row r="3521" ht="10.95" customHeight="true" customFormat="true" s="9">
      <c r="A3521" s="16">
        <v>45453</v>
      </c>
      <c r="B3521" s="17" t="s">
        <v>621</v>
      </c>
      <c r="C3521" s="17" t="s">
        <v>572</v>
      </c>
      <c r="D3521" s="17" t="s">
        <v>333</v>
      </c>
      <c r="E3521" s="17" t="s">
        <v>622</v>
      </c>
      <c r="F3521" s="17" t="s">
        <v>384</v>
      </c>
      <c r="G3521" s="18">
        <v>0</v>
      </c>
      <c r="H3521" s="18">
        <v>760.0900</v>
      </c>
      <c r="I3521" s="18">
        <f ca="1">((I3520 + G3521) - H3521)</f>
        <v>0</v>
      </c>
      <c r="J3521" s="18">
        <v>0</v>
      </c>
      <c r="K3521" s="19">
        <v>0</v>
      </c>
      <c r="L3521" s="17" t="s">
        <v>28</v>
      </c>
    </row>
    <row r="3522" ht="10.95" customHeight="true" customFormat="true" s="9">
      <c r="A3522" s="16">
        <v>45460</v>
      </c>
      <c r="B3522" s="17" t="s">
        <v>621</v>
      </c>
      <c r="C3522" s="17" t="s">
        <v>572</v>
      </c>
      <c r="D3522" s="17" t="s">
        <v>333</v>
      </c>
      <c r="E3522" s="17" t="s">
        <v>622</v>
      </c>
      <c r="F3522" s="17" t="s">
        <v>385</v>
      </c>
      <c r="G3522" s="18">
        <v>0</v>
      </c>
      <c r="H3522" s="18">
        <v>775.0500</v>
      </c>
      <c r="I3522" s="18">
        <f ca="1">((I3521 + G3522) - H3522)</f>
        <v>0</v>
      </c>
      <c r="J3522" s="18">
        <v>0</v>
      </c>
      <c r="K3522" s="19">
        <v>0</v>
      </c>
      <c r="L3522" s="17" t="s">
        <v>28</v>
      </c>
    </row>
    <row r="3523" ht="10.95" customHeight="true" customFormat="true" s="9">
      <c r="A3523" s="16">
        <v>45461</v>
      </c>
      <c r="B3523" s="17" t="s">
        <v>621</v>
      </c>
      <c r="C3523" s="17" t="s">
        <v>572</v>
      </c>
      <c r="D3523" s="17" t="s">
        <v>22</v>
      </c>
      <c r="E3523" s="17" t="s">
        <v>624</v>
      </c>
      <c r="F3523" s="17"/>
      <c r="G3523" s="18">
        <v>7699.7800</v>
      </c>
      <c r="H3523" s="18">
        <v>0</v>
      </c>
      <c r="I3523" s="18">
        <f ca="1">((I3522 + G3523) - H3523)</f>
        <v>0</v>
      </c>
      <c r="J3523" s="18">
        <v>0</v>
      </c>
      <c r="K3523" s="19">
        <v>0</v>
      </c>
      <c r="L3523" s="17" t="s">
        <v>28</v>
      </c>
    </row>
    <row r="3524" ht="10.95" customHeight="true" customFormat="true" s="9">
      <c r="A3524" s="16">
        <v>45467</v>
      </c>
      <c r="B3524" s="17" t="s">
        <v>621</v>
      </c>
      <c r="C3524" s="17" t="s">
        <v>572</v>
      </c>
      <c r="D3524" s="17" t="s">
        <v>333</v>
      </c>
      <c r="E3524" s="17" t="s">
        <v>622</v>
      </c>
      <c r="F3524" s="17" t="s">
        <v>386</v>
      </c>
      <c r="G3524" s="18">
        <v>0</v>
      </c>
      <c r="H3524" s="18">
        <v>775.0500</v>
      </c>
      <c r="I3524" s="18">
        <f ca="1">((I3523 + G3524) - H3524)</f>
        <v>0</v>
      </c>
      <c r="J3524" s="18">
        <v>0</v>
      </c>
      <c r="K3524" s="19">
        <v>0</v>
      </c>
      <c r="L3524" s="17" t="s">
        <v>28</v>
      </c>
    </row>
    <row r="3525" ht="10.95" customHeight="true" customFormat="true" s="9">
      <c r="A3525" s="16">
        <v>45473</v>
      </c>
      <c r="B3525" s="17" t="s">
        <v>621</v>
      </c>
      <c r="C3525" s="17" t="s">
        <v>572</v>
      </c>
      <c r="D3525" s="17" t="s">
        <v>25</v>
      </c>
      <c r="E3525" s="17" t="s">
        <v>594</v>
      </c>
      <c r="F3525" s="17" t="s">
        <v>50</v>
      </c>
      <c r="G3525" s="18">
        <v>1572.4800</v>
      </c>
      <c r="H3525" s="18">
        <v>0</v>
      </c>
      <c r="I3525" s="18">
        <f ca="1">((I3524 + G3525) - H3525)</f>
        <v>0</v>
      </c>
      <c r="J3525" s="18">
        <v>0</v>
      </c>
      <c r="K3525" s="19">
        <v>0</v>
      </c>
      <c r="L3525" s="17" t="s">
        <v>28</v>
      </c>
    </row>
    <row r="3526" ht="10.95" customHeight="true" customFormat="true" s="9">
      <c r="A3526" s="20" t="s">
        <v>625</v>
      </c>
      <c r="B3526" s="20"/>
      <c r="C3526" s="20"/>
      <c r="D3526" s="20"/>
      <c r="E3526" s="20"/>
      <c r="F3526" s="20"/>
      <c r="G3526" s="21">
        <f ca="1">SUM(G3466:G3525)</f>
        <v>0</v>
      </c>
      <c r="H3526" s="21">
        <f ca="1">SUM(H3466:H3525)</f>
        <v>0</v>
      </c>
      <c r="I3526" s="21">
        <f ca="1">I3525</f>
        <v>0</v>
      </c>
      <c r="J3526" s="21">
        <f ca="1">SUM(J3466:J3525)</f>
        <v>0</v>
      </c>
      <c r="K3526" s="20"/>
      <c r="L3526" s="20"/>
    </row>
    <row r="3527" ht="10.95" customHeight="true" customFormat="true" s="9">
      <c r="A3527" s="20" t="s">
        <v>53</v>
      </c>
      <c r="B3527" s="20"/>
      <c r="C3527" s="20"/>
      <c r="D3527" s="20"/>
      <c r="E3527" s="20"/>
      <c r="F3527" s="20"/>
      <c r="G3527" s="21">
        <v>0</v>
      </c>
      <c r="H3527" s="21">
        <v>2057.0900</v>
      </c>
      <c r="I3527" s="21">
        <v>0</v>
      </c>
      <c r="J3527" s="21">
        <v>0</v>
      </c>
      <c r="K3527" s="20"/>
      <c r="L3527" s="20"/>
    </row>
    <row r="3528" ht="10.95" customHeight="true" customFormat="true" s="9">
      <c r="A3528" s="10" t="s">
        <v>54</v>
      </c>
      <c r="B3528" s="10"/>
      <c r="C3528" s="10"/>
      <c r="D3528" s="10"/>
      <c r="E3528" s="10"/>
      <c r="F3528" s="10"/>
      <c r="G3528" s="11">
        <v>0</v>
      </c>
      <c r="H3528" s="11">
        <v>4012.3100</v>
      </c>
      <c r="I3528" s="11">
        <f ca="1">I3525</f>
        <v>0</v>
      </c>
      <c r="J3528" s="11">
        <v>0</v>
      </c>
      <c r="K3528" s="10"/>
      <c r="L3528" s="10"/>
    </row>
    <row r="3529" ht="13.35" customHeight="true"/>
    <row r="3530" ht="12.1" customHeight="true" customFormat="true" s="5">
      <c r="A3530" s="8" t="s">
        <v>626</v>
      </c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</row>
    <row r="3531" ht="10.95" customHeight="true" customFormat="true" s="9">
      <c r="A3531" s="10" t="s">
        <v>16</v>
      </c>
      <c r="B3531" s="10"/>
      <c r="C3531" s="10"/>
      <c r="D3531" s="10"/>
      <c r="E3531" s="10"/>
      <c r="F3531" s="10"/>
      <c r="G3531" s="11">
        <v>0</v>
      </c>
      <c r="H3531" s="11">
        <v>5899.3500</v>
      </c>
      <c r="I3531" s="11">
        <f ca="1">(G3531 - H3531)</f>
        <v>0</v>
      </c>
      <c r="J3531" s="11">
        <v>0</v>
      </c>
      <c r="K3531" s="10"/>
      <c r="L3531" s="10"/>
    </row>
    <row r="3532" ht="10.95" customHeight="true" customFormat="true" s="9">
      <c r="A3532" s="12">
        <v>45110</v>
      </c>
      <c r="B3532" s="13" t="s">
        <v>627</v>
      </c>
      <c r="C3532" s="13" t="s">
        <v>572</v>
      </c>
      <c r="D3532" s="13" t="s">
        <v>22</v>
      </c>
      <c r="E3532" s="13" t="s">
        <v>79</v>
      </c>
      <c r="F3532" s="13"/>
      <c r="G3532" s="14">
        <v>2436.5700</v>
      </c>
      <c r="H3532" s="14">
        <v>0</v>
      </c>
      <c r="I3532" s="14">
        <f ca="1">((I3531 + G3532) - H3532)</f>
        <v>0</v>
      </c>
      <c r="J3532" s="14">
        <v>0</v>
      </c>
      <c r="K3532" s="15">
        <v>0</v>
      </c>
      <c r="L3532" s="13" t="s">
        <v>28</v>
      </c>
    </row>
    <row r="3533" ht="10.95" customHeight="true" customFormat="true" s="9">
      <c r="A3533" s="16">
        <v>45111</v>
      </c>
      <c r="B3533" s="17" t="s">
        <v>627</v>
      </c>
      <c r="C3533" s="17" t="s">
        <v>572</v>
      </c>
      <c r="D3533" s="17" t="s">
        <v>22</v>
      </c>
      <c r="E3533" s="17" t="s">
        <v>628</v>
      </c>
      <c r="F3533" s="17"/>
      <c r="G3533" s="18">
        <v>2.6900</v>
      </c>
      <c r="H3533" s="18">
        <v>0</v>
      </c>
      <c r="I3533" s="18">
        <f ca="1">((I3532 + G3533) - H3533)</f>
        <v>0</v>
      </c>
      <c r="J3533" s="18">
        <v>0</v>
      </c>
      <c r="K3533" s="19">
        <v>0</v>
      </c>
      <c r="L3533" s="17" t="s">
        <v>28</v>
      </c>
    </row>
    <row r="3534" ht="10.95" customHeight="true" customFormat="true" s="9">
      <c r="A3534" s="16">
        <v>45111</v>
      </c>
      <c r="B3534" s="17" t="s">
        <v>627</v>
      </c>
      <c r="C3534" s="17" t="s">
        <v>572</v>
      </c>
      <c r="D3534" s="17" t="s">
        <v>22</v>
      </c>
      <c r="E3534" s="17" t="s">
        <v>84</v>
      </c>
      <c r="F3534" s="17"/>
      <c r="G3534" s="18">
        <v>65.0000</v>
      </c>
      <c r="H3534" s="18">
        <v>0</v>
      </c>
      <c r="I3534" s="18">
        <f ca="1">((I3533 + G3534) - H3534)</f>
        <v>0</v>
      </c>
      <c r="J3534" s="18">
        <v>0</v>
      </c>
      <c r="K3534" s="19">
        <v>0</v>
      </c>
      <c r="L3534" s="17" t="s">
        <v>28</v>
      </c>
    </row>
    <row r="3535" ht="10.95" customHeight="true" customFormat="true" s="9">
      <c r="A3535" s="16">
        <v>45117</v>
      </c>
      <c r="B3535" s="17" t="s">
        <v>627</v>
      </c>
      <c r="C3535" s="17" t="s">
        <v>572</v>
      </c>
      <c r="D3535" s="17" t="s">
        <v>22</v>
      </c>
      <c r="E3535" s="17" t="s">
        <v>629</v>
      </c>
      <c r="F3535" s="17"/>
      <c r="G3535" s="18">
        <v>225.7100</v>
      </c>
      <c r="H3535" s="18">
        <v>0</v>
      </c>
      <c r="I3535" s="18">
        <f ca="1">((I3534 + G3535) - H3535)</f>
        <v>0</v>
      </c>
      <c r="J3535" s="18">
        <v>0</v>
      </c>
      <c r="K3535" s="19">
        <v>0</v>
      </c>
      <c r="L3535" s="17" t="s">
        <v>28</v>
      </c>
    </row>
    <row r="3536" ht="10.95" customHeight="true" customFormat="true" s="9">
      <c r="A3536" s="16">
        <v>45199</v>
      </c>
      <c r="B3536" s="17" t="s">
        <v>627</v>
      </c>
      <c r="C3536" s="17" t="s">
        <v>572</v>
      </c>
      <c r="D3536" s="17" t="s">
        <v>25</v>
      </c>
      <c r="E3536" s="17" t="s">
        <v>143</v>
      </c>
      <c r="F3536" s="17" t="s">
        <v>27</v>
      </c>
      <c r="G3536" s="18">
        <v>3169.3800</v>
      </c>
      <c r="H3536" s="18">
        <v>0</v>
      </c>
      <c r="I3536" s="18">
        <f ca="1">((I3535 + G3536) - H3536)</f>
        <v>0</v>
      </c>
      <c r="J3536" s="18">
        <v>0</v>
      </c>
      <c r="K3536" s="19">
        <v>0</v>
      </c>
      <c r="L3536" s="17" t="s">
        <v>28</v>
      </c>
    </row>
    <row r="3537" ht="10.95" customHeight="true" customFormat="true" s="9">
      <c r="A3537" s="16">
        <v>45291</v>
      </c>
      <c r="B3537" s="17" t="s">
        <v>627</v>
      </c>
      <c r="C3537" s="17" t="s">
        <v>572</v>
      </c>
      <c r="D3537" s="17" t="s">
        <v>25</v>
      </c>
      <c r="E3537" s="17" t="s">
        <v>147</v>
      </c>
      <c r="F3537" s="17" t="s">
        <v>32</v>
      </c>
      <c r="G3537" s="18">
        <v>0</v>
      </c>
      <c r="H3537" s="18">
        <v>3396.2500</v>
      </c>
      <c r="I3537" s="18">
        <f ca="1">((I3536 + G3537) - H3537)</f>
        <v>0</v>
      </c>
      <c r="J3537" s="18">
        <v>0</v>
      </c>
      <c r="K3537" s="19">
        <v>0</v>
      </c>
      <c r="L3537" s="17" t="s">
        <v>28</v>
      </c>
    </row>
    <row r="3538" ht="10.95" customHeight="true" customFormat="true" s="9">
      <c r="A3538" s="16">
        <v>45296</v>
      </c>
      <c r="B3538" s="17" t="s">
        <v>627</v>
      </c>
      <c r="C3538" s="17" t="s">
        <v>572</v>
      </c>
      <c r="D3538" s="17" t="s">
        <v>22</v>
      </c>
      <c r="E3538" s="17" t="s">
        <v>630</v>
      </c>
      <c r="F3538" s="17"/>
      <c r="G3538" s="18">
        <v>3396.2500</v>
      </c>
      <c r="H3538" s="18">
        <v>0</v>
      </c>
      <c r="I3538" s="18">
        <f ca="1">((I3537 + G3538) - H3538)</f>
        <v>0</v>
      </c>
      <c r="J3538" s="18">
        <v>0</v>
      </c>
      <c r="K3538" s="19">
        <v>0</v>
      </c>
      <c r="L3538" s="17" t="s">
        <v>28</v>
      </c>
    </row>
    <row r="3539" ht="10.95" customHeight="true" customFormat="true" s="9">
      <c r="A3539" s="16">
        <v>45473</v>
      </c>
      <c r="B3539" s="17" t="s">
        <v>627</v>
      </c>
      <c r="C3539" s="17" t="s">
        <v>572</v>
      </c>
      <c r="D3539" s="17" t="s">
        <v>25</v>
      </c>
      <c r="E3539" s="17" t="s">
        <v>148</v>
      </c>
      <c r="F3539" s="17" t="s">
        <v>50</v>
      </c>
      <c r="G3539" s="18">
        <v>0</v>
      </c>
      <c r="H3539" s="18">
        <v>3396.2500</v>
      </c>
      <c r="I3539" s="18">
        <f ca="1">((I3538 + G3539) - H3539)</f>
        <v>0</v>
      </c>
      <c r="J3539" s="18">
        <v>0</v>
      </c>
      <c r="K3539" s="19">
        <v>0</v>
      </c>
      <c r="L3539" s="17" t="s">
        <v>28</v>
      </c>
    </row>
    <row r="3540" ht="10.95" customHeight="true" customFormat="true" s="9">
      <c r="A3540" s="20" t="s">
        <v>631</v>
      </c>
      <c r="B3540" s="20"/>
      <c r="C3540" s="20"/>
      <c r="D3540" s="20"/>
      <c r="E3540" s="20"/>
      <c r="F3540" s="20"/>
      <c r="G3540" s="21">
        <f ca="1">SUM(G3532:G3539)</f>
        <v>0</v>
      </c>
      <c r="H3540" s="21">
        <f ca="1">SUM(H3532:H3539)</f>
        <v>0</v>
      </c>
      <c r="I3540" s="21">
        <f ca="1">I3539</f>
        <v>0</v>
      </c>
      <c r="J3540" s="21">
        <f ca="1">SUM(J3532:J3539)</f>
        <v>0</v>
      </c>
      <c r="K3540" s="20"/>
      <c r="L3540" s="20"/>
    </row>
    <row r="3541" ht="10.95" customHeight="true" customFormat="true" s="9">
      <c r="A3541" s="20" t="s">
        <v>53</v>
      </c>
      <c r="B3541" s="20"/>
      <c r="C3541" s="20"/>
      <c r="D3541" s="20"/>
      <c r="E3541" s="20"/>
      <c r="F3541" s="20"/>
      <c r="G3541" s="21">
        <v>2503.1000</v>
      </c>
      <c r="H3541" s="21">
        <v>0</v>
      </c>
      <c r="I3541" s="21">
        <v>0</v>
      </c>
      <c r="J3541" s="21">
        <v>0</v>
      </c>
      <c r="K3541" s="20"/>
      <c r="L3541" s="20"/>
    </row>
    <row r="3542" ht="10.95" customHeight="true" customFormat="true" s="9">
      <c r="A3542" s="10" t="s">
        <v>54</v>
      </c>
      <c r="B3542" s="10"/>
      <c r="C3542" s="10"/>
      <c r="D3542" s="10"/>
      <c r="E3542" s="10"/>
      <c r="F3542" s="10"/>
      <c r="G3542" s="11">
        <v>0</v>
      </c>
      <c r="H3542" s="11">
        <v>3396.2500</v>
      </c>
      <c r="I3542" s="11">
        <f ca="1">I3539</f>
        <v>0</v>
      </c>
      <c r="J3542" s="11">
        <v>0</v>
      </c>
      <c r="K3542" s="10"/>
      <c r="L3542" s="10"/>
    </row>
    <row r="3543" ht="13.35" customHeight="true"/>
    <row r="3544" ht="12.1" customHeight="true" customFormat="true" s="5">
      <c r="A3544" s="8" t="s">
        <v>632</v>
      </c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</row>
    <row r="3545" ht="10.95" customHeight="true" customFormat="true" s="9">
      <c r="A3545" s="10" t="s">
        <v>16</v>
      </c>
      <c r="B3545" s="10"/>
      <c r="C3545" s="10"/>
      <c r="D3545" s="10"/>
      <c r="E3545" s="10"/>
      <c r="F3545" s="10"/>
      <c r="G3545" s="11">
        <v>0</v>
      </c>
      <c r="H3545" s="11">
        <v>29877.2500</v>
      </c>
      <c r="I3545" s="11">
        <f ca="1">(G3545 - H3545)</f>
        <v>0</v>
      </c>
      <c r="J3545" s="11">
        <v>0</v>
      </c>
      <c r="K3545" s="10"/>
      <c r="L3545" s="10"/>
    </row>
    <row r="3546" ht="10.95" customHeight="true" customFormat="true" s="9">
      <c r="A3546" s="12">
        <v>45199</v>
      </c>
      <c r="B3546" s="13" t="s">
        <v>633</v>
      </c>
      <c r="C3546" s="13" t="s">
        <v>572</v>
      </c>
      <c r="D3546" s="13" t="s">
        <v>25</v>
      </c>
      <c r="E3546" s="13" t="s">
        <v>579</v>
      </c>
      <c r="F3546" s="13" t="s">
        <v>27</v>
      </c>
      <c r="G3546" s="14">
        <v>25000.0000</v>
      </c>
      <c r="H3546" s="14">
        <v>0</v>
      </c>
      <c r="I3546" s="14">
        <f ca="1">((I3545 + G3546) - H3546)</f>
        <v>0</v>
      </c>
      <c r="J3546" s="14">
        <v>0</v>
      </c>
      <c r="K3546" s="15">
        <v>0</v>
      </c>
      <c r="L3546" s="13" t="s">
        <v>28</v>
      </c>
    </row>
    <row r="3547" ht="10.95" customHeight="true" customFormat="true" s="9">
      <c r="A3547" s="16">
        <v>45291</v>
      </c>
      <c r="B3547" s="17" t="s">
        <v>633</v>
      </c>
      <c r="C3547" s="17" t="s">
        <v>572</v>
      </c>
      <c r="D3547" s="17" t="s">
        <v>25</v>
      </c>
      <c r="E3547" s="17" t="s">
        <v>581</v>
      </c>
      <c r="F3547" s="17" t="s">
        <v>32</v>
      </c>
      <c r="G3547" s="18">
        <v>28828.0000</v>
      </c>
      <c r="H3547" s="18">
        <v>0</v>
      </c>
      <c r="I3547" s="18">
        <f ca="1">((I3546 + G3547) - H3547)</f>
        <v>0</v>
      </c>
      <c r="J3547" s="18">
        <v>0</v>
      </c>
      <c r="K3547" s="19">
        <v>0</v>
      </c>
      <c r="L3547" s="17" t="s">
        <v>28</v>
      </c>
    </row>
    <row r="3548" ht="10.95" customHeight="true" customFormat="true" s="9">
      <c r="A3548" s="16">
        <v>45331</v>
      </c>
      <c r="B3548" s="17" t="s">
        <v>633</v>
      </c>
      <c r="C3548" s="17" t="s">
        <v>572</v>
      </c>
      <c r="D3548" s="17" t="s">
        <v>22</v>
      </c>
      <c r="E3548" s="17" t="s">
        <v>583</v>
      </c>
      <c r="F3548" s="17"/>
      <c r="G3548" s="18">
        <v>28828.0000</v>
      </c>
      <c r="H3548" s="18">
        <v>0</v>
      </c>
      <c r="I3548" s="18">
        <f ca="1">((I3547 + G3548) - H3548)</f>
        <v>0</v>
      </c>
      <c r="J3548" s="18">
        <v>0</v>
      </c>
      <c r="K3548" s="19">
        <v>0</v>
      </c>
      <c r="L3548" s="17" t="s">
        <v>28</v>
      </c>
    </row>
    <row r="3549" ht="10.95" customHeight="true" customFormat="true" s="9">
      <c r="A3549" s="16">
        <v>45392</v>
      </c>
      <c r="B3549" s="17" t="s">
        <v>633</v>
      </c>
      <c r="C3549" s="17" t="s">
        <v>572</v>
      </c>
      <c r="D3549" s="17" t="s">
        <v>22</v>
      </c>
      <c r="E3549" s="17" t="s">
        <v>634</v>
      </c>
      <c r="F3549" s="17"/>
      <c r="G3549" s="18">
        <v>4877.2500</v>
      </c>
      <c r="H3549" s="18">
        <v>0</v>
      </c>
      <c r="I3549" s="18">
        <f ca="1">((I3548 + G3549) - H3549)</f>
        <v>0</v>
      </c>
      <c r="J3549" s="18">
        <v>0</v>
      </c>
      <c r="K3549" s="19">
        <v>0</v>
      </c>
      <c r="L3549" s="17" t="s">
        <v>28</v>
      </c>
    </row>
    <row r="3550" ht="10.95" customHeight="true" customFormat="true" s="9">
      <c r="A3550" s="16">
        <v>45432</v>
      </c>
      <c r="B3550" s="17" t="s">
        <v>633</v>
      </c>
      <c r="C3550" s="17" t="s">
        <v>572</v>
      </c>
      <c r="D3550" s="17" t="s">
        <v>22</v>
      </c>
      <c r="E3550" s="17" t="s">
        <v>583</v>
      </c>
      <c r="F3550" s="17"/>
      <c r="G3550" s="18">
        <v>5000.0000</v>
      </c>
      <c r="H3550" s="18">
        <v>0</v>
      </c>
      <c r="I3550" s="18">
        <f ca="1">((I3549 + G3550) - H3550)</f>
        <v>0</v>
      </c>
      <c r="J3550" s="18">
        <v>0</v>
      </c>
      <c r="K3550" s="19">
        <v>0</v>
      </c>
      <c r="L3550" s="17" t="s">
        <v>28</v>
      </c>
    </row>
    <row r="3551" ht="10.95" customHeight="true" customFormat="true" s="9">
      <c r="A3551" s="16">
        <v>45473</v>
      </c>
      <c r="B3551" s="17" t="s">
        <v>633</v>
      </c>
      <c r="C3551" s="17" t="s">
        <v>572</v>
      </c>
      <c r="D3551" s="17" t="s">
        <v>25</v>
      </c>
      <c r="E3551" s="17" t="s">
        <v>408</v>
      </c>
      <c r="F3551" s="17" t="s">
        <v>50</v>
      </c>
      <c r="G3551" s="18">
        <v>0</v>
      </c>
      <c r="H3551" s="18">
        <v>65004.5000</v>
      </c>
      <c r="I3551" s="18">
        <f ca="1">((I3550 + G3551) - H3551)</f>
        <v>0</v>
      </c>
      <c r="J3551" s="18">
        <v>0</v>
      </c>
      <c r="K3551" s="19">
        <v>0</v>
      </c>
      <c r="L3551" s="17" t="s">
        <v>28</v>
      </c>
    </row>
    <row r="3552" ht="10.95" customHeight="true" customFormat="true" s="9">
      <c r="A3552" s="20" t="s">
        <v>635</v>
      </c>
      <c r="B3552" s="20"/>
      <c r="C3552" s="20"/>
      <c r="D3552" s="20"/>
      <c r="E3552" s="20"/>
      <c r="F3552" s="20"/>
      <c r="G3552" s="21">
        <f ca="1">SUM(G3546:G3551)</f>
        <v>0</v>
      </c>
      <c r="H3552" s="21">
        <f ca="1">SUM(H3546:H3551)</f>
        <v>0</v>
      </c>
      <c r="I3552" s="21">
        <f ca="1">I3551</f>
        <v>0</v>
      </c>
      <c r="J3552" s="21">
        <f ca="1">SUM(J3546:J3551)</f>
        <v>0</v>
      </c>
      <c r="K3552" s="20"/>
      <c r="L3552" s="20"/>
    </row>
    <row r="3553" ht="10.95" customHeight="true" customFormat="true" s="9">
      <c r="A3553" s="20" t="s">
        <v>53</v>
      </c>
      <c r="B3553" s="20"/>
      <c r="C3553" s="20"/>
      <c r="D3553" s="20"/>
      <c r="E3553" s="20"/>
      <c r="F3553" s="20"/>
      <c r="G3553" s="21">
        <v>27528.7500</v>
      </c>
      <c r="H3553" s="21">
        <v>0</v>
      </c>
      <c r="I3553" s="21">
        <v>0</v>
      </c>
      <c r="J3553" s="21">
        <v>0</v>
      </c>
      <c r="K3553" s="20"/>
      <c r="L3553" s="20"/>
    </row>
    <row r="3554" ht="10.95" customHeight="true" customFormat="true" s="9">
      <c r="A3554" s="10" t="s">
        <v>54</v>
      </c>
      <c r="B3554" s="10"/>
      <c r="C3554" s="10"/>
      <c r="D3554" s="10"/>
      <c r="E3554" s="10"/>
      <c r="F3554" s="10"/>
      <c r="G3554" s="11">
        <v>0</v>
      </c>
      <c r="H3554" s="11">
        <v>2348.5000</v>
      </c>
      <c r="I3554" s="11">
        <f ca="1">I3551</f>
        <v>0</v>
      </c>
      <c r="J3554" s="11">
        <v>0</v>
      </c>
      <c r="K3554" s="10"/>
      <c r="L3554" s="10"/>
    </row>
    <row r="3555" ht="13.35" customHeight="true"/>
    <row r="3556" ht="12.1" customHeight="true" customFormat="true" s="5">
      <c r="A3556" s="8" t="s">
        <v>636</v>
      </c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</row>
    <row r="3557" ht="10.95" customHeight="true" customFormat="true" s="9">
      <c r="A3557" s="10" t="s">
        <v>16</v>
      </c>
      <c r="B3557" s="10"/>
      <c r="C3557" s="10"/>
      <c r="D3557" s="10"/>
      <c r="E3557" s="10"/>
      <c r="F3557" s="10"/>
      <c r="G3557" s="11">
        <v>0</v>
      </c>
      <c r="H3557" s="11">
        <v>143390.8900</v>
      </c>
      <c r="I3557" s="11">
        <f ca="1">(G3557 - H3557)</f>
        <v>0</v>
      </c>
      <c r="J3557" s="11">
        <v>0</v>
      </c>
      <c r="K3557" s="10"/>
      <c r="L3557" s="10"/>
    </row>
    <row r="3558" ht="10.95" customHeight="true" customFormat="true" s="9">
      <c r="A3558" s="12">
        <v>45473</v>
      </c>
      <c r="B3558" s="13" t="s">
        <v>637</v>
      </c>
      <c r="C3558" s="13" t="s">
        <v>638</v>
      </c>
      <c r="D3558" s="13" t="s">
        <v>25</v>
      </c>
      <c r="E3558" s="13" t="s">
        <v>541</v>
      </c>
      <c r="F3558" s="13" t="s">
        <v>50</v>
      </c>
      <c r="G3558" s="14">
        <v>10985.1800</v>
      </c>
      <c r="H3558" s="14">
        <v>0</v>
      </c>
      <c r="I3558" s="14">
        <f ca="1">((I3557 + G3558) - H3558)</f>
        <v>0</v>
      </c>
      <c r="J3558" s="14">
        <v>0</v>
      </c>
      <c r="K3558" s="15">
        <v>0</v>
      </c>
      <c r="L3558" s="13" t="s">
        <v>28</v>
      </c>
    </row>
    <row r="3559" ht="10.95" customHeight="true" customFormat="true" s="9">
      <c r="A3559" s="20" t="s">
        <v>639</v>
      </c>
      <c r="B3559" s="20"/>
      <c r="C3559" s="20"/>
      <c r="D3559" s="20"/>
      <c r="E3559" s="20"/>
      <c r="F3559" s="20"/>
      <c r="G3559" s="21">
        <f ca="1">G3558</f>
        <v>0</v>
      </c>
      <c r="H3559" s="21">
        <f ca="1">H3558</f>
        <v>0</v>
      </c>
      <c r="I3559" s="21">
        <f ca="1">I3558</f>
        <v>0</v>
      </c>
      <c r="J3559" s="21">
        <f ca="1">J3558</f>
        <v>0</v>
      </c>
      <c r="K3559" s="20"/>
      <c r="L3559" s="20"/>
    </row>
    <row r="3560" ht="10.95" customHeight="true" customFormat="true" s="9">
      <c r="A3560" s="20" t="s">
        <v>53</v>
      </c>
      <c r="B3560" s="20"/>
      <c r="C3560" s="20"/>
      <c r="D3560" s="20"/>
      <c r="E3560" s="20"/>
      <c r="F3560" s="20"/>
      <c r="G3560" s="21">
        <v>10985.1800</v>
      </c>
      <c r="H3560" s="21">
        <v>0</v>
      </c>
      <c r="I3560" s="21">
        <v>0</v>
      </c>
      <c r="J3560" s="21">
        <v>0</v>
      </c>
      <c r="K3560" s="20"/>
      <c r="L3560" s="20"/>
    </row>
    <row r="3561" ht="10.95" customHeight="true" customFormat="true" s="9">
      <c r="A3561" s="10" t="s">
        <v>54</v>
      </c>
      <c r="B3561" s="10"/>
      <c r="C3561" s="10"/>
      <c r="D3561" s="10"/>
      <c r="E3561" s="10"/>
      <c r="F3561" s="10"/>
      <c r="G3561" s="11">
        <v>0</v>
      </c>
      <c r="H3561" s="11">
        <v>132405.7100</v>
      </c>
      <c r="I3561" s="11">
        <f ca="1">I3558</f>
        <v>0</v>
      </c>
      <c r="J3561" s="11">
        <v>0</v>
      </c>
      <c r="K3561" s="10"/>
      <c r="L3561" s="10"/>
    </row>
    <row r="3562" ht="13.35" customHeight="true"/>
    <row r="3563" ht="12.1" customHeight="true" customFormat="true" s="5">
      <c r="A3563" s="8" t="s">
        <v>640</v>
      </c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</row>
    <row r="3564" ht="10.95" customHeight="true" customFormat="true" s="9">
      <c r="A3564" s="10" t="s">
        <v>16</v>
      </c>
      <c r="B3564" s="10"/>
      <c r="C3564" s="10"/>
      <c r="D3564" s="10"/>
      <c r="E3564" s="10"/>
      <c r="F3564" s="10"/>
      <c r="G3564" s="11">
        <v>0</v>
      </c>
      <c r="H3564" s="11">
        <v>869478.4900</v>
      </c>
      <c r="I3564" s="11">
        <f ca="1">(G3564 - H3564)</f>
        <v>0</v>
      </c>
      <c r="J3564" s="11">
        <v>0</v>
      </c>
      <c r="K3564" s="10"/>
      <c r="L3564" s="10"/>
    </row>
    <row r="3565" ht="10.95" customHeight="true" customFormat="true" s="9">
      <c r="A3565" s="12">
        <v>45108</v>
      </c>
      <c r="B3565" s="13" t="s">
        <v>641</v>
      </c>
      <c r="C3565" s="13" t="s">
        <v>394</v>
      </c>
      <c r="D3565" s="13" t="s">
        <v>25</v>
      </c>
      <c r="E3565" s="13" t="s">
        <v>395</v>
      </c>
      <c r="F3565" s="13" t="s">
        <v>396</v>
      </c>
      <c r="G3565" s="14">
        <v>90000.0000</v>
      </c>
      <c r="H3565" s="14">
        <v>0</v>
      </c>
      <c r="I3565" s="14">
        <f ca="1">((I3564 + G3565) - H3565)</f>
        <v>0</v>
      </c>
      <c r="J3565" s="14">
        <v>0</v>
      </c>
      <c r="K3565" s="15">
        <v>0</v>
      </c>
      <c r="L3565" s="13" t="s">
        <v>28</v>
      </c>
    </row>
    <row r="3566" ht="10.95" customHeight="true" customFormat="true" s="9">
      <c r="A3566" s="20" t="s">
        <v>642</v>
      </c>
      <c r="B3566" s="20"/>
      <c r="C3566" s="20"/>
      <c r="D3566" s="20"/>
      <c r="E3566" s="20"/>
      <c r="F3566" s="20"/>
      <c r="G3566" s="21">
        <f ca="1">G3565</f>
        <v>0</v>
      </c>
      <c r="H3566" s="21">
        <f ca="1">H3565</f>
        <v>0</v>
      </c>
      <c r="I3566" s="21">
        <f ca="1">I3565</f>
        <v>0</v>
      </c>
      <c r="J3566" s="21">
        <f ca="1">J3565</f>
        <v>0</v>
      </c>
      <c r="K3566" s="20"/>
      <c r="L3566" s="20"/>
    </row>
    <row r="3567" ht="10.95" customHeight="true" customFormat="true" s="9">
      <c r="A3567" s="20" t="s">
        <v>53</v>
      </c>
      <c r="B3567" s="20"/>
      <c r="C3567" s="20"/>
      <c r="D3567" s="20"/>
      <c r="E3567" s="20"/>
      <c r="F3567" s="20"/>
      <c r="G3567" s="21">
        <v>90000.0000</v>
      </c>
      <c r="H3567" s="21">
        <v>0</v>
      </c>
      <c r="I3567" s="21">
        <v>0</v>
      </c>
      <c r="J3567" s="21">
        <v>0</v>
      </c>
      <c r="K3567" s="20"/>
      <c r="L3567" s="20"/>
    </row>
    <row r="3568" ht="10.95" customHeight="true" customFormat="true" s="9">
      <c r="A3568" s="10" t="s">
        <v>54</v>
      </c>
      <c r="B3568" s="10"/>
      <c r="C3568" s="10"/>
      <c r="D3568" s="10"/>
      <c r="E3568" s="10"/>
      <c r="F3568" s="10"/>
      <c r="G3568" s="11">
        <v>0</v>
      </c>
      <c r="H3568" s="11">
        <v>779478.4900</v>
      </c>
      <c r="I3568" s="11">
        <f ca="1">I3565</f>
        <v>0</v>
      </c>
      <c r="J3568" s="11">
        <v>0</v>
      </c>
      <c r="K3568" s="10"/>
      <c r="L3568" s="10"/>
    </row>
    <row r="3569" ht="13.35" customHeight="true"/>
    <row r="3570" ht="12.1" customHeight="true" customFormat="true" s="5">
      <c r="A3570" s="8" t="s">
        <v>643</v>
      </c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</row>
    <row r="3571" ht="10.95" customHeight="true" customFormat="true" s="9">
      <c r="A3571" s="10" t="s">
        <v>16</v>
      </c>
      <c r="B3571" s="10"/>
      <c r="C3571" s="10"/>
      <c r="D3571" s="10"/>
      <c r="E3571" s="10"/>
      <c r="F3571" s="10"/>
      <c r="G3571" s="11">
        <v>0</v>
      </c>
      <c r="H3571" s="11">
        <v>100.0000</v>
      </c>
      <c r="I3571" s="11">
        <f ca="1">(G3571 - H3571)</f>
        <v>0</v>
      </c>
      <c r="J3571" s="11">
        <v>0</v>
      </c>
      <c r="K3571" s="10"/>
      <c r="L3571" s="10"/>
    </row>
    <row r="3572" ht="10.95" customHeight="true" customFormat="true" s="9">
      <c r="A3572" s="13"/>
      <c r="B3572" s="13" t="s">
        <v>644</v>
      </c>
      <c r="C3572" s="13" t="s">
        <v>394</v>
      </c>
      <c r="D3572" s="13"/>
      <c r="E3572" s="13" t="s">
        <v>421</v>
      </c>
      <c r="F3572" s="13"/>
      <c r="G3572" s="14">
        <v>0</v>
      </c>
      <c r="H3572" s="14">
        <v>0</v>
      </c>
      <c r="I3572" s="14">
        <f ca="1">((I3571 + G3572) - H3572)</f>
        <v>0</v>
      </c>
      <c r="J3572" s="14">
        <v>0</v>
      </c>
      <c r="K3572" s="15">
        <v>0</v>
      </c>
      <c r="L3572" s="13"/>
    </row>
    <row r="3573" ht="10.95" customHeight="true" customFormat="true" s="9">
      <c r="A3573" s="20" t="s">
        <v>645</v>
      </c>
      <c r="B3573" s="20"/>
      <c r="C3573" s="20"/>
      <c r="D3573" s="20"/>
      <c r="E3573" s="20"/>
      <c r="F3573" s="20"/>
      <c r="G3573" s="21">
        <f ca="1">G3572</f>
        <v>0</v>
      </c>
      <c r="H3573" s="21">
        <f ca="1">H3572</f>
        <v>0</v>
      </c>
      <c r="I3573" s="21">
        <f ca="1">I3572</f>
        <v>0</v>
      </c>
      <c r="J3573" s="21">
        <f ca="1">J3572</f>
        <v>0</v>
      </c>
      <c r="K3573" s="20"/>
      <c r="L3573" s="20"/>
    </row>
    <row r="3574" ht="10.95" customHeight="true" customFormat="true" s="9">
      <c r="A3574" s="20" t="s">
        <v>53</v>
      </c>
      <c r="B3574" s="20"/>
      <c r="C3574" s="20"/>
      <c r="D3574" s="20"/>
      <c r="E3574" s="20"/>
      <c r="F3574" s="20"/>
      <c r="G3574" s="21">
        <v>0</v>
      </c>
      <c r="H3574" s="21">
        <v>0</v>
      </c>
      <c r="I3574" s="21">
        <v>0</v>
      </c>
      <c r="J3574" s="21">
        <v>0</v>
      </c>
      <c r="K3574" s="20"/>
      <c r="L3574" s="20"/>
    </row>
    <row r="3575" ht="10.95" customHeight="true" customFormat="true" s="9">
      <c r="A3575" s="10" t="s">
        <v>54</v>
      </c>
      <c r="B3575" s="10"/>
      <c r="C3575" s="10"/>
      <c r="D3575" s="10"/>
      <c r="E3575" s="10"/>
      <c r="F3575" s="10"/>
      <c r="G3575" s="11">
        <v>0</v>
      </c>
      <c r="H3575" s="11">
        <v>100.0000</v>
      </c>
      <c r="I3575" s="11">
        <f ca="1">I3572</f>
        <v>0</v>
      </c>
      <c r="J3575" s="11">
        <v>0</v>
      </c>
      <c r="K3575" s="10"/>
      <c r="L3575" s="10"/>
    </row>
    <row r="3576" ht="13.35" customHeight="true"/>
    <row r="3577" ht="10.95" customHeight="true" customFormat="true" s="9">
      <c r="A3577" s="22" t="s">
        <v>646</v>
      </c>
      <c r="B3577" s="22"/>
      <c r="C3577" s="22"/>
      <c r="D3577" s="22"/>
      <c r="E3577" s="22"/>
      <c r="F3577" s="22"/>
      <c r="G3577" s="23">
        <f ca="1">SUM(G407,G414,G423,G430,G437,G444,G668,G677,G691,G710,G733,G823,G833,G840,G849,G856,G864,G882,G899,G906,G925,G954,G963,G1021,G1079,G1089,G1112,G1119,G1126,G1135,G1146,G1153,G2189,G2201,G2209,G2216,G2223,G2230,G2320,G2327,G2334,G2341,G2704,G3327,G3341,G3351,G3358,G3369,G3378,G3393,G3460,G3526,G3540,G3552,G3559,G3566,G3573)</f>
        <v>0</v>
      </c>
      <c r="H3577" s="23">
        <f ca="1">SUM(H407,H414,H423,H430,H437,H444,H668,H677,H691,H710,H733,H823,H833,H840,H849,H856,H864,H882,H899,H906,H925,H954,H963,H1021,H1079,H1089,H1112,H1119,H1126,H1135,H1146,H1153,H2189,H2201,H2209,H2216,H2223,H2230,H2320,H2327,H2334,H2341,H2704,H3327,H3341,H3351,H3358,H3369,H3378,H3393,H3460,H3526,H3540,H3552,H3559,H3566,H3573)</f>
        <v>0</v>
      </c>
      <c r="I3577" s="23">
        <f ca="1">(G3577 - H3577)</f>
        <v>0</v>
      </c>
      <c r="J3577" s="23">
        <f ca="1">SUM(J407,J414,J423,J430,J437,J444,J668,J677,J691,J710,J733,J823,J833,J840,J849,J856,J864,J882,J899,J906,J925,J954,J963,J1021,J1079,J1089,J1112,J1119,J1126,J1135,J1146,J1153,J2189,J2201,J2209,J2216,J2223,J2230,J2320,J2327,J2334,J2341,J2704,J3327,J3341,J3351,J3358,J3369,J3378,J3393,J3460,J3526,J3540,J3552,J3559,J3566,J3573)</f>
        <v>0</v>
      </c>
      <c r="K3577" s="22"/>
      <c r="L3577" s="22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