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cal_Amanpreet.Kaur\Temp\4\OneNote\16.0\Exported\{7A002955-81FD-4F78-B1EE-139D367D096E}\NT\8\"/>
    </mc:Choice>
  </mc:AlternateContent>
  <xr:revisionPtr revIDLastSave="0" documentId="13_ncr:1_{DAC845D3-FF08-4536-B615-2540996BEE5E}" xr6:coauthVersionLast="47" xr6:coauthVersionMax="47" xr10:uidLastSave="{00000000-0000-0000-0000-000000000000}"/>
  <bookViews>
    <workbookView xWindow="21480" yWindow="-120" windowWidth="20640" windowHeight="11160" xr2:uid="{00000000-000D-0000-FFFF-FFFF00000000}"/>
  </bookViews>
  <sheets>
    <sheet name="GST Rec - Cash" sheetId="1" r:id="rId1"/>
  </sheets>
  <definedNames>
    <definedName name="_xlnm.Print_Area" localSheetId="0">'GST Rec - Cash'!$A$1:$E$61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1" l="1"/>
  <c r="C21" i="1"/>
  <c r="D12" i="1"/>
  <c r="B22" i="1"/>
  <c r="C44" i="1"/>
  <c r="B44" i="1"/>
  <c r="D43" i="1"/>
  <c r="D42" i="1"/>
  <c r="D41" i="1"/>
  <c r="D40" i="1"/>
  <c r="D35" i="1"/>
  <c r="C32" i="1"/>
  <c r="B32" i="1"/>
  <c r="D31" i="1"/>
  <c r="D30" i="1"/>
  <c r="D29" i="1"/>
  <c r="D28" i="1"/>
  <c r="C23" i="1"/>
  <c r="C34" i="1" s="1"/>
  <c r="C37" i="1" s="1"/>
  <c r="B23" i="1"/>
  <c r="B34" i="1" s="1"/>
  <c r="D22" i="1"/>
  <c r="D21" i="1"/>
  <c r="C19" i="1"/>
  <c r="B19" i="1"/>
  <c r="D17" i="1"/>
  <c r="D16" i="1"/>
  <c r="D15" i="1"/>
  <c r="D11" i="1"/>
  <c r="D10" i="1"/>
  <c r="B25" i="1" l="1"/>
  <c r="C25" i="1"/>
  <c r="D44" i="1"/>
  <c r="D32" i="1"/>
  <c r="D19" i="1"/>
  <c r="D23" i="1"/>
  <c r="B37" i="1"/>
  <c r="D34" i="1"/>
  <c r="D37" i="1" s="1"/>
  <c r="E37" i="1" s="1"/>
  <c r="D2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Lana Huang</author>
    <author>lana</author>
  </authors>
  <commentList>
    <comment ref="A22" authorId="0" shapeId="0" xr:uid="{00000000-0006-0000-0000-000004000000}">
      <text>
        <r>
          <rPr>
            <sz val="8"/>
            <color indexed="81"/>
            <rFont val="Arial"/>
            <family val="2"/>
          </rPr>
          <t>Refer to MYOB Receivables/Creditors with Tax report</t>
        </r>
      </text>
    </comment>
    <comment ref="B32" authorId="1" shapeId="0" xr:uid="{00000000-0006-0000-0000-000005000000}">
      <text>
        <r>
          <rPr>
            <sz val="8"/>
            <color indexed="81"/>
            <rFont val="Arial"/>
            <family val="2"/>
          </rPr>
          <t>This should equal the difference figure above.</t>
        </r>
      </text>
    </comment>
    <comment ref="C32" authorId="1" shapeId="0" xr:uid="{00000000-0006-0000-0000-000006000000}">
      <text>
        <r>
          <rPr>
            <sz val="8"/>
            <color indexed="81"/>
            <rFont val="Arial"/>
            <family val="2"/>
          </rPr>
          <t>This should equal the difference figure above.</t>
        </r>
      </text>
    </comment>
    <comment ref="A39" authorId="1" shapeId="0" xr:uid="{00000000-0006-0000-0000-000008000000}">
      <text>
        <r>
          <rPr>
            <sz val="8"/>
            <color indexed="81"/>
            <rFont val="Arial"/>
            <family val="2"/>
          </rPr>
          <t>Where the difference is material, we may need to explain the differences. Discuss with job manager before doing this.</t>
        </r>
      </text>
    </comment>
  </commentList>
</comments>
</file>

<file path=xl/sharedStrings.xml><?xml version="1.0" encoding="utf-8"?>
<sst xmlns="http://schemas.openxmlformats.org/spreadsheetml/2006/main" count="38" uniqueCount="35">
  <si>
    <t>FULL YEAR GST RECONCILIATION - CASH BASIS</t>
  </si>
  <si>
    <t>GST</t>
  </si>
  <si>
    <t>NET</t>
  </si>
  <si>
    <t>COLLECTED</t>
  </si>
  <si>
    <t>PAID</t>
  </si>
  <si>
    <t>GST coded directly to GST accounts (not on GST report)</t>
  </si>
  <si>
    <t>Balances per Balance Sheet (accruals)</t>
  </si>
  <si>
    <t>Balances per Balance Sheet (cash)</t>
  </si>
  <si>
    <t>Difference</t>
  </si>
  <si>
    <t>Difference is made up of:</t>
  </si>
  <si>
    <t>Prior year GST differences not yet adjusted in BAS's</t>
  </si>
  <si>
    <t>Prior year GST differences adjusted in XXX XXX BAS</t>
  </si>
  <si>
    <t>Highlight the conclusion. Add as management point and include adjustment in covering letter.</t>
  </si>
  <si>
    <r>
      <t>less:</t>
    </r>
    <r>
      <rPr>
        <sz val="11"/>
        <rFont val="Calibri"/>
        <family val="2"/>
        <scheme val="minor"/>
      </rPr>
      <t xml:space="preserve"> Current year BAS's</t>
    </r>
  </si>
  <si>
    <r>
      <t>less:</t>
    </r>
    <r>
      <rPr>
        <sz val="11"/>
        <rFont val="Calibri"/>
        <family val="2"/>
        <scheme val="minor"/>
      </rPr>
      <t xml:space="preserve"> GST on Closing Trade Debtors/Creditors</t>
    </r>
  </si>
  <si>
    <t xml:space="preserve">          * the net payable difference is less than $10,000; AND</t>
  </si>
  <si>
    <t>Note: The threshold and time limit for entities with annual turnover of between $20M and $100M is $20K and 12 months</t>
  </si>
  <si>
    <r>
      <t xml:space="preserve">- the net </t>
    </r>
    <r>
      <rPr>
        <b/>
        <sz val="11"/>
        <rFont val="Calibri"/>
        <family val="2"/>
        <scheme val="minor"/>
      </rPr>
      <t>PAYABLE</t>
    </r>
    <r>
      <rPr>
        <sz val="11"/>
        <rFont val="Calibri"/>
        <family val="2"/>
        <scheme val="minor"/>
      </rPr>
      <t xml:space="preserve"> difference can be adjusted in the next BAS if:</t>
    </r>
  </si>
  <si>
    <t xml:space="preserve">          * the adjustment relates to transactions that are up to 18 months old</t>
  </si>
  <si>
    <r>
      <t xml:space="preserve">- the net </t>
    </r>
    <r>
      <rPr>
        <b/>
        <sz val="11"/>
        <rFont val="Calibri"/>
        <family val="2"/>
        <scheme val="minor"/>
      </rPr>
      <t>REFUNDABLE</t>
    </r>
    <r>
      <rPr>
        <sz val="11"/>
        <rFont val="Calibri"/>
        <family val="2"/>
        <scheme val="minor"/>
      </rPr>
      <t xml:space="preserve"> difference can be adjusted in the next BAS if:</t>
    </r>
  </si>
  <si>
    <t>- Otherwise the BAS's for the relevant period must be amended</t>
  </si>
  <si>
    <t xml:space="preserve">          * the adjustment relates to transactions that are up to 4 years old</t>
  </si>
  <si>
    <t>Per GST report (cash)</t>
  </si>
  <si>
    <t>Where there is a difference between what the June 2024 BAS should be and the BAS lodged:</t>
  </si>
  <si>
    <t>30 Jun 2025</t>
  </si>
  <si>
    <t>September 2024</t>
  </si>
  <si>
    <t>December 2024</t>
  </si>
  <si>
    <t>March 2025</t>
  </si>
  <si>
    <t>Expected June 2025 BAS</t>
  </si>
  <si>
    <t>June 2025 BAS should be</t>
  </si>
  <si>
    <t>June 2025 BAS lodged</t>
  </si>
  <si>
    <t xml:space="preserve">GST on opening sundry creditors </t>
  </si>
  <si>
    <t>Rounding off</t>
  </si>
  <si>
    <t>GST reverse on Interim Service Fee</t>
  </si>
  <si>
    <t>GST taken on travel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</si>
</sst>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dd/mm/yy;@"/>
    <numFmt numFmtId="165" formatCode="_-* #,##0.0000_-;[Red]* \(#,##0.0000\)_-;_-* &quot;-&quot;??_-;_-@_-"/>
    <numFmt numFmtId="166" formatCode="_-* #,##0.00_-;[Red]* \(#,##0.00\);_-* &quot;-&quot;??_-;_-@_-"/>
  </numFmts>
  <fonts count="6" x14ac:knownFonts="1">
    <font>
      <sz val="10"/>
      <name val="Arial"/>
      <family val="2"/>
    </font>
    <font>
      <sz val="10"/>
      <name val="Arial"/>
      <family val="2"/>
    </font>
    <font>
      <sz val="8"/>
      <color indexed="8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2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3" fillId="2" borderId="0" xfId="0" applyFont="1" applyFill="1"/>
    <xf numFmtId="15" fontId="3" fillId="2" borderId="0" xfId="0" quotePrefix="1" applyNumberFormat="1" applyFont="1" applyFill="1"/>
    <xf numFmtId="0" fontId="4" fillId="0" borderId="1" xfId="0" applyFont="1" applyBorder="1"/>
    <xf numFmtId="0" fontId="5" fillId="0" borderId="0" xfId="0" applyFont="1"/>
    <xf numFmtId="17" fontId="4" fillId="0" borderId="0" xfId="0" quotePrefix="1" applyNumberFormat="1" applyFont="1"/>
    <xf numFmtId="0" fontId="4" fillId="0" borderId="0" xfId="0" quotePrefix="1" applyFont="1"/>
    <xf numFmtId="166" fontId="4" fillId="0" borderId="0" xfId="0" applyNumberFormat="1" applyFont="1"/>
    <xf numFmtId="166" fontId="3" fillId="0" borderId="0" xfId="0" applyNumberFormat="1" applyFont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66" fontId="4" fillId="0" borderId="1" xfId="0" applyNumberFormat="1" applyFont="1" applyBorder="1"/>
    <xf numFmtId="166" fontId="3" fillId="0" borderId="2" xfId="0" applyNumberFormat="1" applyFont="1" applyBorder="1"/>
    <xf numFmtId="166" fontId="4" fillId="0" borderId="3" xfId="0" applyNumberFormat="1" applyFont="1" applyBorder="1"/>
  </cellXfs>
  <cellStyles count="12">
    <cellStyle name="Comma 2" xfId="1" xr:uid="{00000000-0005-0000-0000-000000000000}"/>
    <cellStyle name="Comma 3" xfId="2" xr:uid="{00000000-0005-0000-0000-000001000000}"/>
    <cellStyle name="Comma 3 2" xfId="3" xr:uid="{00000000-0005-0000-0000-000002000000}"/>
    <cellStyle name="Currency 2" xfId="4" xr:uid="{00000000-0005-0000-0000-000003000000}"/>
    <cellStyle name="Currency 2 2" xfId="5" xr:uid="{00000000-0005-0000-0000-000004000000}"/>
    <cellStyle name="Currency 3" xfId="6" xr:uid="{00000000-0005-0000-0000-000005000000}"/>
    <cellStyle name="Currency 3 2" xfId="7" xr:uid="{00000000-0005-0000-0000-000006000000}"/>
    <cellStyle name="Normal" xfId="0" builtinId="0"/>
    <cellStyle name="Normal 2" xfId="8" xr:uid="{00000000-0005-0000-0000-000008000000}"/>
    <cellStyle name="Percent 2" xfId="9" xr:uid="{00000000-0005-0000-0000-000009000000}"/>
    <cellStyle name="Percent 3" xfId="10" xr:uid="{00000000-0005-0000-0000-00000A000000}"/>
    <cellStyle name="Percent 3 2" xfId="1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3</xdr:col>
      <xdr:colOff>819150</xdr:colOff>
      <xdr:row>2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76200"/>
          <a:ext cx="17621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8">
    <pageSetUpPr fitToPage="1"/>
  </sheetPr>
  <dimension ref="A1:E60"/>
  <sheetViews>
    <sheetView tabSelected="1" zoomScaleNormal="100" workbookViewId="0">
      <selection activeCell="G13" sqref="G13"/>
    </sheetView>
  </sheetViews>
  <sheetFormatPr defaultColWidth="9.140625" defaultRowHeight="15" x14ac:dyDescent="0.25"/>
  <cols>
    <col min="1" max="1" width="48.7109375" style="2" customWidth="1"/>
    <col min="2" max="4" width="13.85546875" style="9" customWidth="1"/>
    <col min="5" max="5" width="12.7109375" style="2" bestFit="1" customWidth="1"/>
    <col min="6" max="16384" width="9.140625" style="2"/>
  </cols>
  <sheetData>
    <row r="1" spans="1:4" x14ac:dyDescent="0.25">
      <c r="A1" s="1"/>
    </row>
    <row r="2" spans="1:4" x14ac:dyDescent="0.25">
      <c r="A2" s="3" t="s">
        <v>0</v>
      </c>
      <c r="D2" s="10"/>
    </row>
    <row r="3" spans="1:4" x14ac:dyDescent="0.25">
      <c r="A3" s="1"/>
    </row>
    <row r="4" spans="1:4" x14ac:dyDescent="0.25">
      <c r="A4" s="4" t="s">
        <v>24</v>
      </c>
    </row>
    <row r="7" spans="1:4" x14ac:dyDescent="0.25">
      <c r="B7" s="10" t="s">
        <v>1</v>
      </c>
      <c r="C7" s="10" t="s">
        <v>1</v>
      </c>
      <c r="D7" s="10" t="s">
        <v>2</v>
      </c>
    </row>
    <row r="8" spans="1:4" x14ac:dyDescent="0.25">
      <c r="A8" s="5"/>
      <c r="B8" s="11" t="s">
        <v>3</v>
      </c>
      <c r="C8" s="11" t="s">
        <v>4</v>
      </c>
      <c r="D8" s="11"/>
    </row>
    <row r="10" spans="1:4" x14ac:dyDescent="0.25">
      <c r="A10" s="2" t="s">
        <v>22</v>
      </c>
      <c r="B10" s="9">
        <v>108993.9</v>
      </c>
      <c r="C10" s="9">
        <v>56488.33</v>
      </c>
      <c r="D10" s="9">
        <f>B10-C10</f>
        <v>52505.569999999992</v>
      </c>
    </row>
    <row r="11" spans="1:4" x14ac:dyDescent="0.25">
      <c r="A11" s="2" t="s">
        <v>5</v>
      </c>
      <c r="D11" s="9">
        <f>B11-C11</f>
        <v>0</v>
      </c>
    </row>
    <row r="12" spans="1:4" x14ac:dyDescent="0.25">
      <c r="A12" s="2" t="s">
        <v>31</v>
      </c>
      <c r="C12" s="9">
        <v>170</v>
      </c>
      <c r="D12" s="9">
        <f>B12-C12</f>
        <v>-170</v>
      </c>
    </row>
    <row r="14" spans="1:4" x14ac:dyDescent="0.25">
      <c r="A14" s="6" t="s">
        <v>13</v>
      </c>
    </row>
    <row r="15" spans="1:4" x14ac:dyDescent="0.25">
      <c r="A15" s="7" t="s">
        <v>25</v>
      </c>
      <c r="B15" s="9">
        <v>-26871</v>
      </c>
      <c r="C15" s="9">
        <v>-19805</v>
      </c>
      <c r="D15" s="9">
        <f>B15-C15</f>
        <v>-7066</v>
      </c>
    </row>
    <row r="16" spans="1:4" x14ac:dyDescent="0.25">
      <c r="A16" s="7" t="s">
        <v>26</v>
      </c>
      <c r="B16" s="9">
        <v>-27061</v>
      </c>
      <c r="C16" s="9">
        <v>-11487</v>
      </c>
      <c r="D16" s="9">
        <f>B16-C16</f>
        <v>-15574</v>
      </c>
    </row>
    <row r="17" spans="1:4" x14ac:dyDescent="0.25">
      <c r="A17" s="7" t="s">
        <v>27</v>
      </c>
      <c r="B17" s="9">
        <v>-26979</v>
      </c>
      <c r="C17" s="9">
        <v>-11146</v>
      </c>
      <c r="D17" s="9">
        <f>B17-C17</f>
        <v>-15833</v>
      </c>
    </row>
    <row r="18" spans="1:4" x14ac:dyDescent="0.25">
      <c r="B18" s="12"/>
      <c r="C18" s="12"/>
      <c r="D18" s="12"/>
    </row>
    <row r="19" spans="1:4" x14ac:dyDescent="0.25">
      <c r="A19" s="1" t="s">
        <v>28</v>
      </c>
      <c r="B19" s="13">
        <f>SUM(B9:B18)</f>
        <v>28082.899999999994</v>
      </c>
      <c r="C19" s="13">
        <f>SUM(C9:C18)</f>
        <v>14220.330000000002</v>
      </c>
      <c r="D19" s="13">
        <f>SUM(D9:D18)</f>
        <v>13862.569999999992</v>
      </c>
    </row>
    <row r="21" spans="1:4" x14ac:dyDescent="0.25">
      <c r="A21" s="2" t="s">
        <v>6</v>
      </c>
      <c r="B21" s="9">
        <v>31294.26</v>
      </c>
      <c r="C21" s="9">
        <f>B21-17072.83</f>
        <v>14221.429999999997</v>
      </c>
      <c r="D21" s="9">
        <f>B21-C21</f>
        <v>17072.830000000002</v>
      </c>
    </row>
    <row r="22" spans="1:4" x14ac:dyDescent="0.25">
      <c r="A22" s="6" t="s">
        <v>14</v>
      </c>
      <c r="B22" s="9">
        <f>-3211.36</f>
        <v>-3211.36</v>
      </c>
      <c r="C22" s="9">
        <v>0</v>
      </c>
      <c r="D22" s="9">
        <f>B22-C22</f>
        <v>-3211.36</v>
      </c>
    </row>
    <row r="23" spans="1:4" s="1" customFormat="1" x14ac:dyDescent="0.25">
      <c r="A23" s="1" t="s">
        <v>7</v>
      </c>
      <c r="B23" s="13">
        <f>SUM(B21:B22)</f>
        <v>28082.899999999998</v>
      </c>
      <c r="C23" s="13">
        <f>SUM(C21:C22)</f>
        <v>14221.429999999997</v>
      </c>
      <c r="D23" s="13">
        <f>SUM(D21:D22)</f>
        <v>13861.470000000001</v>
      </c>
    </row>
    <row r="25" spans="1:4" ht="15.75" thickBot="1" x14ac:dyDescent="0.3">
      <c r="A25" s="2" t="s">
        <v>8</v>
      </c>
      <c r="B25" s="14">
        <f>B19-B23</f>
        <v>0</v>
      </c>
      <c r="C25" s="14">
        <f>C19-C23</f>
        <v>-1.0999999999949068</v>
      </c>
      <c r="D25" s="14">
        <f>D19-D23</f>
        <v>1.0999999999912689</v>
      </c>
    </row>
    <row r="26" spans="1:4" ht="15.75" thickTop="1" x14ac:dyDescent="0.25"/>
    <row r="27" spans="1:4" x14ac:dyDescent="0.25">
      <c r="A27" s="2" t="s">
        <v>9</v>
      </c>
    </row>
    <row r="28" spans="1:4" x14ac:dyDescent="0.25">
      <c r="A28" s="2" t="s">
        <v>10</v>
      </c>
      <c r="B28" s="9">
        <v>414.11</v>
      </c>
      <c r="C28" s="9">
        <v>415.21</v>
      </c>
      <c r="D28" s="9">
        <f>B28-C28</f>
        <v>-1.0999999999999659</v>
      </c>
    </row>
    <row r="29" spans="1:4" x14ac:dyDescent="0.25">
      <c r="A29" s="2" t="s">
        <v>11</v>
      </c>
      <c r="D29" s="9">
        <f>B29-C29</f>
        <v>0</v>
      </c>
    </row>
    <row r="30" spans="1:4" x14ac:dyDescent="0.25">
      <c r="D30" s="9">
        <f>B30-C30</f>
        <v>0</v>
      </c>
    </row>
    <row r="31" spans="1:4" x14ac:dyDescent="0.25">
      <c r="D31" s="9">
        <f>B31-C31</f>
        <v>0</v>
      </c>
    </row>
    <row r="32" spans="1:4" ht="15.75" thickBot="1" x14ac:dyDescent="0.3">
      <c r="B32" s="14">
        <f>SUM(B27:B31)</f>
        <v>414.11</v>
      </c>
      <c r="C32" s="14">
        <f>SUM(C27:C31)</f>
        <v>415.21</v>
      </c>
      <c r="D32" s="14">
        <f>SUM(D27:D31)</f>
        <v>-1.0999999999999659</v>
      </c>
    </row>
    <row r="33" spans="1:5" ht="15.75" thickTop="1" x14ac:dyDescent="0.25"/>
    <row r="34" spans="1:5" x14ac:dyDescent="0.25">
      <c r="A34" s="2" t="s">
        <v>29</v>
      </c>
      <c r="B34" s="9">
        <f>B23</f>
        <v>28082.899999999998</v>
      </c>
      <c r="C34" s="9">
        <f>C23</f>
        <v>14221.429999999997</v>
      </c>
      <c r="D34" s="9">
        <f>B34-C34</f>
        <v>13861.470000000001</v>
      </c>
    </row>
    <row r="35" spans="1:5" x14ac:dyDescent="0.25">
      <c r="A35" s="2" t="s">
        <v>30</v>
      </c>
      <c r="B35" s="9">
        <v>28132</v>
      </c>
      <c r="C35" s="9">
        <v>14211</v>
      </c>
      <c r="D35" s="9">
        <f>B35-C35</f>
        <v>13921</v>
      </c>
    </row>
    <row r="36" spans="1:5" x14ac:dyDescent="0.25">
      <c r="B36" s="12"/>
      <c r="C36" s="12"/>
      <c r="D36" s="12"/>
    </row>
    <row r="37" spans="1:5" ht="15.75" thickBot="1" x14ac:dyDescent="0.3">
      <c r="A37" s="2" t="s">
        <v>8</v>
      </c>
      <c r="B37" s="14">
        <f>B34-B35</f>
        <v>-49.100000000002183</v>
      </c>
      <c r="C37" s="14">
        <f>C34-C35</f>
        <v>10.429999999996653</v>
      </c>
      <c r="D37" s="14">
        <f>D34-D35</f>
        <v>-59.529999999998836</v>
      </c>
      <c r="E37" s="2" t="str">
        <f>IF(D37&gt;0,"(Payable)","(Refundable)")</f>
        <v>(Refundable)</v>
      </c>
    </row>
    <row r="38" spans="1:5" ht="15.75" thickTop="1" x14ac:dyDescent="0.25">
      <c r="A38" s="7"/>
    </row>
    <row r="39" spans="1:5" x14ac:dyDescent="0.25">
      <c r="A39" s="2" t="s">
        <v>9</v>
      </c>
    </row>
    <row r="40" spans="1:5" x14ac:dyDescent="0.25">
      <c r="A40" s="2" t="s">
        <v>33</v>
      </c>
      <c r="B40" s="9">
        <v>-49.91</v>
      </c>
      <c r="C40" s="9">
        <v>0</v>
      </c>
      <c r="D40" s="9">
        <f>B40-C40</f>
        <v>-49.91</v>
      </c>
    </row>
    <row r="41" spans="1:5" x14ac:dyDescent="0.25">
      <c r="A41" s="2" t="s">
        <v>34</v>
      </c>
      <c r="C41" s="9">
        <f>103.95/11</f>
        <v>9.4500000000000011</v>
      </c>
      <c r="D41" s="9">
        <f>B41-C41</f>
        <v>-9.4500000000000011</v>
      </c>
    </row>
    <row r="42" spans="1:5" x14ac:dyDescent="0.25">
      <c r="A42" s="2" t="s">
        <v>32</v>
      </c>
      <c r="C42" s="9">
        <v>0.17</v>
      </c>
      <c r="D42" s="9">
        <f>B42-C42</f>
        <v>-0.17</v>
      </c>
    </row>
    <row r="43" spans="1:5" x14ac:dyDescent="0.25">
      <c r="D43" s="9">
        <f>B43-C43</f>
        <v>0</v>
      </c>
    </row>
    <row r="44" spans="1:5" ht="15.75" thickBot="1" x14ac:dyDescent="0.3">
      <c r="B44" s="14">
        <f>SUM(B39:B43)</f>
        <v>-49.91</v>
      </c>
      <c r="C44" s="14">
        <f>SUM(C39:C43)</f>
        <v>9.620000000000001</v>
      </c>
      <c r="D44" s="14">
        <f>SUM(D39:D43)</f>
        <v>-59.53</v>
      </c>
    </row>
    <row r="45" spans="1:5" ht="15.75" thickTop="1" x14ac:dyDescent="0.25"/>
    <row r="47" spans="1:5" x14ac:dyDescent="0.25">
      <c r="A47" s="2" t="s">
        <v>23</v>
      </c>
    </row>
    <row r="49" spans="1:1" x14ac:dyDescent="0.25">
      <c r="A49" s="8" t="s">
        <v>17</v>
      </c>
    </row>
    <row r="50" spans="1:1" x14ac:dyDescent="0.25">
      <c r="A50" s="2" t="s">
        <v>15</v>
      </c>
    </row>
    <row r="51" spans="1:1" x14ac:dyDescent="0.25">
      <c r="A51" s="2" t="s">
        <v>18</v>
      </c>
    </row>
    <row r="53" spans="1:1" x14ac:dyDescent="0.25">
      <c r="A53" s="8" t="s">
        <v>19</v>
      </c>
    </row>
    <row r="54" spans="1:1" x14ac:dyDescent="0.25">
      <c r="A54" s="2" t="s">
        <v>21</v>
      </c>
    </row>
    <row r="56" spans="1:1" x14ac:dyDescent="0.25">
      <c r="A56" s="8" t="s">
        <v>20</v>
      </c>
    </row>
    <row r="58" spans="1:1" x14ac:dyDescent="0.25">
      <c r="A58" s="2" t="s">
        <v>12</v>
      </c>
    </row>
    <row r="60" spans="1:1" x14ac:dyDescent="0.25">
      <c r="A60" s="2" t="s">
        <v>16</v>
      </c>
    </row>
  </sheetData>
  <printOptions horizontalCentered="1"/>
  <pageMargins left="0.39370078740157483" right="0.39370078740157483" top="0.39370078740157483" bottom="0.39370078740157483" header="0.19685039370078741" footer="0.19685039370078741"/>
  <pageSetup paperSize="9" scale="88" orientation="portrait" r:id="rId1"/>
  <headerFooter alignWithMargins="0">
    <oddFooter>&amp;R&amp;D&amp;T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GST Rec - Cash</vt:lpstr>
      <vt:lpstr>'GST Rec - Cash'!Print_Area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Lana Huang</dc:creator>
  <cp:lastModifiedBy>Amanpreet Kaur</cp:lastModifiedBy>
  <cp:lastPrinted>2025-11-24T15:41:44Z</cp:lastPrinted>
  <dcterms:created xsi:type="dcterms:W3CDTF">2012-07-05T08:37:28Z</dcterms:created>
  <dcterms:modified xsi:type="dcterms:W3CDTF">2025-11-24T15:42:18Z</dcterms:modified>
</cp:coreProperties>
</file>