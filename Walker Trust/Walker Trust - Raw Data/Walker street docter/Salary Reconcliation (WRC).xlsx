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_Amanpreet.Kaur\Temp\14\OneNote\16.0\Exported\{19DB0856-65EE-49DD-A597-2D4A4E9D891A}\NT\2\"/>
    </mc:Choice>
  </mc:AlternateContent>
  <xr:revisionPtr revIDLastSave="0" documentId="13_ncr:1_{458D011F-749C-48C2-AFA5-8E25A90718CD}" xr6:coauthVersionLast="47" xr6:coauthVersionMax="47" xr10:uidLastSave="{00000000-0000-0000-0000-000000000000}"/>
  <bookViews>
    <workbookView xWindow="21480" yWindow="-120" windowWidth="20640" windowHeight="11160" xr2:uid="{00000000-000D-0000-FFFF-FFFF00000000}"/>
  </bookViews>
  <sheets>
    <sheet name="Salary Rec" sheetId="1" r:id="rId1"/>
  </sheets>
  <definedNames>
    <definedName name="_xlnm.Print_Area" localSheetId="0">'Salary Rec'!$A$2:$L$65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J29" i="1" l="1"/>
  <c r="I29" i="1"/>
  <c r="L18" i="1"/>
  <c r="L19" i="1"/>
  <c r="L20" i="1"/>
  <c r="L21" i="1"/>
  <c r="L22" i="1"/>
  <c r="L23" i="1"/>
  <c r="L24" i="1"/>
  <c r="L25" i="1"/>
  <c r="L26" i="1"/>
  <c r="L27" i="1"/>
  <c r="L28" i="1"/>
  <c r="K18" i="1"/>
  <c r="K19" i="1"/>
  <c r="K20" i="1"/>
  <c r="K21" i="1"/>
  <c r="K22" i="1"/>
  <c r="K23" i="1"/>
  <c r="K24" i="1"/>
  <c r="K25" i="1"/>
  <c r="K26" i="1"/>
  <c r="K27" i="1"/>
  <c r="K28" i="1"/>
  <c r="L17" i="1"/>
  <c r="L29" i="1" s="1"/>
  <c r="K17" i="1"/>
  <c r="K29" i="1" s="1"/>
  <c r="C63" i="1"/>
  <c r="C38" i="1"/>
  <c r="G14" i="1"/>
  <c r="C45" i="1" l="1"/>
  <c r="C50" i="1" s="1"/>
  <c r="C52" i="1" s="1"/>
  <c r="H29" i="1"/>
  <c r="H31" i="1" s="1"/>
  <c r="G29" i="1"/>
  <c r="G12" i="1"/>
  <c r="H36" i="1" s="1"/>
  <c r="G37" i="1" s="1"/>
  <c r="G10" i="1"/>
  <c r="C56" i="1" l="1"/>
  <c r="G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lana</author>
  </authors>
  <commentList>
    <comment ref="A12" authorId="0" shapeId="0" xr:uid="{00000000-0006-0000-0000-000002000000}">
      <text>
        <r>
          <rPr>
            <sz val="8"/>
            <color indexed="81"/>
            <rFont val="Arial"/>
            <family val="2"/>
          </rPr>
          <t>Enter balances per P&amp;L under the appropriate category.</t>
        </r>
      </text>
    </comment>
    <comment ref="H14" authorId="0" shapeId="0" xr:uid="{00000000-0006-0000-0000-000003000000}">
      <text>
        <r>
          <rPr>
            <sz val="8"/>
            <color indexed="81"/>
            <rFont val="Arial"/>
            <family val="2"/>
          </rPr>
          <t>Enter PAYG withholding per payment summary or STP report</t>
        </r>
      </text>
    </comment>
    <comment ref="G17" authorId="0" shapeId="0" xr:uid="{00000000-0006-0000-0000-000004000000}">
      <text>
        <r>
          <rPr>
            <sz val="8"/>
            <color indexed="81"/>
            <rFont val="Arial"/>
            <family val="2"/>
          </rPr>
          <t>Print out BAS/IAS from tax portal and enter gross salary reported on BAS/IAS</t>
        </r>
      </text>
    </comment>
    <comment ref="H17" authorId="0" shapeId="0" xr:uid="{00000000-0006-0000-0000-000005000000}">
      <text>
        <r>
          <rPr>
            <sz val="8"/>
            <color indexed="81"/>
            <rFont val="Arial"/>
            <family val="2"/>
          </rPr>
          <t>Enter PAYG withholding reported on BAS/IAS</t>
        </r>
      </text>
    </comment>
    <comment ref="G31" authorId="0" shapeId="0" xr:uid="{00000000-0006-0000-0000-000006000000}">
      <text>
        <r>
          <rPr>
            <sz val="8"/>
            <color indexed="81"/>
            <rFont val="Arial"/>
            <family val="2"/>
          </rPr>
          <t>Discuss with the job manager if there is a difference. The payment summary or BAS/IAS may need to be amended.</t>
        </r>
      </text>
    </comment>
    <comment ref="H31" authorId="0" shapeId="0" xr:uid="{00000000-0006-0000-0000-000007000000}">
      <text>
        <r>
          <rPr>
            <sz val="8"/>
            <color indexed="81"/>
            <rFont val="Arial"/>
            <family val="2"/>
          </rPr>
          <t>Discuss with the job manager if there is a difference. The payment summary or BAS/IAS may need to be amended.</t>
        </r>
      </text>
    </comment>
    <comment ref="C38" authorId="0" shapeId="0" xr:uid="{00000000-0006-0000-0000-000008000000}">
      <text>
        <r>
          <rPr>
            <sz val="8"/>
            <color indexed="81"/>
            <rFont val="Arial"/>
            <family val="2"/>
          </rPr>
          <t>Enter figures per P&amp;L</t>
        </r>
      </text>
    </comment>
    <comment ref="A58" authorId="0" shapeId="0" xr:uid="{00000000-0006-0000-0000-000009000000}">
      <text>
        <r>
          <rPr>
            <sz val="8"/>
            <color indexed="81"/>
            <rFont val="Arial"/>
            <family val="2"/>
          </rPr>
          <t>Discuss with the job manager before doing this.</t>
        </r>
      </text>
    </comment>
  </commentList>
</comments>
</file>

<file path=xl/sharedStrings.xml><?xml version="1.0" encoding="utf-8"?>
<sst xmlns="http://schemas.openxmlformats.org/spreadsheetml/2006/main" count="53" uniqueCount="51">
  <si>
    <t>SALARY &amp; SUPERANNUATION RECONCILIATIONS</t>
  </si>
  <si>
    <t>SALARY RECONCILIATION</t>
  </si>
  <si>
    <t>Salaries &amp; Wages</t>
  </si>
  <si>
    <t>Bonus / Commission</t>
  </si>
  <si>
    <t>Car Allowance</t>
  </si>
  <si>
    <t>Meal Allowance</t>
  </si>
  <si>
    <t>Rent Allowance</t>
  </si>
  <si>
    <t>Total</t>
  </si>
  <si>
    <t>Tax Withheld</t>
  </si>
  <si>
    <t>Per P&amp;L</t>
  </si>
  <si>
    <t>Per BAS/IAS</t>
  </si>
  <si>
    <t>Difference</t>
  </si>
  <si>
    <t>SUPERANNUATION RECONCILIATION</t>
  </si>
  <si>
    <t>Salary &amp; wages</t>
  </si>
  <si>
    <t>Bonus</t>
  </si>
  <si>
    <t>Commission</t>
  </si>
  <si>
    <t>Directors fees</t>
  </si>
  <si>
    <t>Car allowance</t>
  </si>
  <si>
    <t>NOTE: Allowances that are expected to be fully</t>
  </si>
  <si>
    <t>Meal allowance</t>
  </si>
  <si>
    <t>expended are not included as OTE.</t>
  </si>
  <si>
    <t>Rent allowance</t>
  </si>
  <si>
    <t>Superannuation expense per P&amp;L</t>
  </si>
  <si>
    <t>Difference is due to:</t>
  </si>
  <si>
    <t xml:space="preserve"> - Underpaid super</t>
  </si>
  <si>
    <t xml:space="preserve"> - Salary sacrifice by employee</t>
  </si>
  <si>
    <t xml:space="preserve"> - Other</t>
  </si>
  <si>
    <t>Estimated Wages for Payroll Tax</t>
  </si>
  <si>
    <t>Per payment summary/STP report</t>
  </si>
  <si>
    <t>Per payroll report</t>
  </si>
  <si>
    <t xml:space="preserve"> - Parental leave payments</t>
  </si>
  <si>
    <r>
      <t>less:</t>
    </r>
    <r>
      <rPr>
        <sz val="11"/>
        <rFont val="Calibri"/>
        <family val="2"/>
        <scheme val="minor"/>
      </rPr>
      <t xml:space="preserve"> Ineligible employees or exempt payments:</t>
    </r>
  </si>
  <si>
    <t xml:space="preserve"> - Unused leave payout</t>
  </si>
  <si>
    <t>30 Jun 2025</t>
  </si>
  <si>
    <t xml:space="preserve"> - July 2024</t>
  </si>
  <si>
    <t xml:space="preserve"> - August 20234</t>
  </si>
  <si>
    <t xml:space="preserve"> - September 2024</t>
  </si>
  <si>
    <t xml:space="preserve"> - October 2024</t>
  </si>
  <si>
    <t xml:space="preserve"> - November 2024</t>
  </si>
  <si>
    <t xml:space="preserve"> - December 2024</t>
  </si>
  <si>
    <t xml:space="preserve"> - January 2025</t>
  </si>
  <si>
    <t xml:space="preserve"> - February 2025</t>
  </si>
  <si>
    <t xml:space="preserve"> - March 2025</t>
  </si>
  <si>
    <t xml:space="preserve"> - April 20245</t>
  </si>
  <si>
    <t xml:space="preserve"> - May 2025</t>
  </si>
  <si>
    <t xml:space="preserve"> - June 2025</t>
  </si>
  <si>
    <t>As per Payroll Summary</t>
  </si>
  <si>
    <t>Tax</t>
  </si>
  <si>
    <t>Variance</t>
  </si>
  <si>
    <t>Superannuation guarantee (@11.50%)</t>
  </si>
  <si>
    <t xml:space="preserve"> - Director's super more than 11.50%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</si>
</sst>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/mm/yy;@"/>
    <numFmt numFmtId="165" formatCode="_-* #,##0.0000_-;[Red]* \(#,##0.0000\)_-;_-* &quot;-&quot;??_-;_-@_-"/>
    <numFmt numFmtId="166" formatCode="_-* #,##0.00_-;[Red]* \(#,##0.00\);_-* &quot;-&quot;??_-;_-@_-"/>
  </numFmts>
  <fonts count="7" x14ac:knownFonts="1">
    <font>
      <sz val="10"/>
      <name val="Arial"/>
      <family val="2"/>
    </font>
    <font>
      <sz val="10"/>
      <name val="Arial"/>
      <family val="2"/>
    </font>
    <font>
      <sz val="8"/>
      <color indexed="8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4" fontId="3" fillId="0" borderId="0" xfId="0" applyNumberFormat="1" applyFont="1"/>
    <xf numFmtId="4" fontId="4" fillId="2" borderId="0" xfId="0" applyNumberFormat="1" applyFont="1" applyFill="1"/>
    <xf numFmtId="4" fontId="4" fillId="2" borderId="0" xfId="0" quotePrefix="1" applyNumberFormat="1" applyFont="1" applyFill="1"/>
    <xf numFmtId="4" fontId="4" fillId="0" borderId="0" xfId="0" quotePrefix="1" applyNumberFormat="1" applyFont="1"/>
    <xf numFmtId="4" fontId="4" fillId="0" borderId="0" xfId="0" applyNumberFormat="1" applyFont="1"/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/>
    <xf numFmtId="43" fontId="3" fillId="0" borderId="0" xfId="0" applyNumberFormat="1" applyFont="1"/>
    <xf numFmtId="0" fontId="5" fillId="0" borderId="0" xfId="0" applyFont="1"/>
    <xf numFmtId="166" fontId="3" fillId="0" borderId="0" xfId="0" applyNumberFormat="1" applyFont="1"/>
    <xf numFmtId="166" fontId="4" fillId="2" borderId="0" xfId="0" quotePrefix="1" applyNumberFormat="1" applyFont="1" applyFill="1"/>
    <xf numFmtId="166" fontId="4" fillId="0" borderId="0" xfId="0" applyNumberFormat="1" applyFont="1" applyAlignment="1">
      <alignment horizontal="center"/>
    </xf>
    <xf numFmtId="166" fontId="4" fillId="0" borderId="0" xfId="0" quotePrefix="1" applyNumberFormat="1" applyFont="1"/>
    <xf numFmtId="166" fontId="4" fillId="0" borderId="1" xfId="0" applyNumberFormat="1" applyFont="1" applyBorder="1" applyAlignment="1">
      <alignment horizontal="center" wrapText="1"/>
    </xf>
    <xf numFmtId="166" fontId="3" fillId="0" borderId="0" xfId="1" applyNumberFormat="1" applyFont="1"/>
    <xf numFmtId="166" fontId="3" fillId="0" borderId="0" xfId="1" applyNumberFormat="1" applyFont="1" applyBorder="1"/>
    <xf numFmtId="166" fontId="3" fillId="0" borderId="2" xfId="1" applyNumberFormat="1" applyFont="1" applyBorder="1"/>
    <xf numFmtId="166" fontId="3" fillId="0" borderId="3" xfId="1" applyNumberFormat="1" applyFont="1" applyBorder="1"/>
    <xf numFmtId="166" fontId="3" fillId="0" borderId="0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166" fontId="3" fillId="0" borderId="1" xfId="0" applyNumberFormat="1" applyFont="1" applyBorder="1"/>
    <xf numFmtId="166" fontId="3" fillId="0" borderId="2" xfId="0" applyNumberFormat="1" applyFont="1" applyBorder="1"/>
    <xf numFmtId="166" fontId="3" fillId="0" borderId="3" xfId="0" applyNumberFormat="1" applyFont="1" applyBorder="1"/>
    <xf numFmtId="166" fontId="4" fillId="0" borderId="0" xfId="0" applyNumberFormat="1" applyFont="1" applyAlignment="1">
      <alignment horizontal="right"/>
    </xf>
    <xf numFmtId="43" fontId="3" fillId="0" borderId="0" xfId="1" applyFont="1"/>
    <xf numFmtId="43" fontId="4" fillId="0" borderId="0" xfId="0" applyNumberFormat="1" applyFont="1"/>
    <xf numFmtId="43" fontId="4" fillId="3" borderId="0" xfId="0" applyNumberFormat="1" applyFont="1" applyFill="1"/>
    <xf numFmtId="4" fontId="4" fillId="0" borderId="0" xfId="0" applyNumberFormat="1" applyFont="1" applyAlignment="1">
      <alignment horizontal="center" wrapText="1"/>
    </xf>
    <xf numFmtId="166" fontId="4" fillId="0" borderId="0" xfId="0" applyNumberFormat="1" applyFont="1" applyAlignment="1">
      <alignment horizontal="center" wrapText="1"/>
    </xf>
  </cellXfs>
  <cellStyles count="13">
    <cellStyle name="Comma" xfId="1" builtinId="3"/>
    <cellStyle name="Comma 2" xfId="2" xr:uid="{00000000-0005-0000-0000-000001000000}"/>
    <cellStyle name="Comma 3" xfId="3" xr:uid="{00000000-0005-0000-0000-000002000000}"/>
    <cellStyle name="Comma 3 2" xfId="4" xr:uid="{00000000-0005-0000-0000-000003000000}"/>
    <cellStyle name="Currency 2" xfId="5" xr:uid="{00000000-0005-0000-0000-000004000000}"/>
    <cellStyle name="Currency 2 2" xfId="6" xr:uid="{00000000-0005-0000-0000-000005000000}"/>
    <cellStyle name="Currency 3" xfId="7" xr:uid="{00000000-0005-0000-0000-000006000000}"/>
    <cellStyle name="Currency 3 2" xfId="8" xr:uid="{00000000-0005-0000-0000-000007000000}"/>
    <cellStyle name="Normal" xfId="0" builtinId="0"/>
    <cellStyle name="Normal 2" xfId="9" xr:uid="{00000000-0005-0000-0000-000009000000}"/>
    <cellStyle name="Percent 2" xfId="10" xr:uid="{00000000-0005-0000-0000-00000A000000}"/>
    <cellStyle name="Percent 3" xfId="11" xr:uid="{00000000-0005-0000-0000-00000B000000}"/>
    <cellStyle name="Percent 3 2" xfId="12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0</xdr:row>
      <xdr:rowOff>85725</xdr:rowOff>
    </xdr:from>
    <xdr:to>
      <xdr:col>7</xdr:col>
      <xdr:colOff>425450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85725"/>
          <a:ext cx="1762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>
    <pageSetUpPr fitToPage="1"/>
  </sheetPr>
  <dimension ref="A1:L64"/>
  <sheetViews>
    <sheetView tabSelected="1" topLeftCell="A50" zoomScaleNormal="100" workbookViewId="0">
      <selection activeCell="I62" sqref="I62"/>
    </sheetView>
  </sheetViews>
  <sheetFormatPr defaultColWidth="9.28515625" defaultRowHeight="15" x14ac:dyDescent="0.25"/>
  <cols>
    <col min="1" max="1" width="31.28515625" style="8" customWidth="1"/>
    <col min="2" max="2" width="11.5703125" style="12" bestFit="1" customWidth="1"/>
    <col min="3" max="3" width="11.7109375" style="12" bestFit="1" customWidth="1"/>
    <col min="4" max="6" width="10.7109375" style="12" customWidth="1"/>
    <col min="7" max="8" width="11.7109375" style="12" customWidth="1"/>
    <col min="9" max="9" width="22.28515625" style="8" bestFit="1" customWidth="1"/>
    <col min="10" max="10" width="10.5703125" style="8" bestFit="1" customWidth="1"/>
    <col min="11" max="11" width="10.28515625" style="8" bestFit="1" customWidth="1"/>
    <col min="12" max="12" width="10.5703125" style="8" bestFit="1" customWidth="1"/>
    <col min="13" max="16384" width="9.28515625" style="8"/>
  </cols>
  <sheetData>
    <row r="1" spans="1:12" s="1" customFormat="1" x14ac:dyDescent="0.25">
      <c r="B1" s="12"/>
      <c r="C1" s="12"/>
      <c r="D1" s="12"/>
      <c r="E1" s="12"/>
      <c r="F1" s="12"/>
      <c r="G1" s="12"/>
      <c r="H1" s="12"/>
    </row>
    <row r="2" spans="1:12" s="1" customFormat="1" x14ac:dyDescent="0.25">
      <c r="A2" s="2" t="s">
        <v>0</v>
      </c>
      <c r="B2" s="13"/>
      <c r="C2" s="13"/>
      <c r="D2" s="12"/>
      <c r="E2" s="12"/>
      <c r="F2" s="12"/>
      <c r="G2" s="12"/>
      <c r="H2" s="14"/>
    </row>
    <row r="3" spans="1:12" s="1" customFormat="1" x14ac:dyDescent="0.25">
      <c r="B3" s="15"/>
      <c r="C3" s="15"/>
      <c r="D3" s="12"/>
      <c r="E3" s="12"/>
      <c r="F3" s="12"/>
      <c r="G3" s="12"/>
      <c r="H3" s="12"/>
    </row>
    <row r="4" spans="1:12" s="1" customFormat="1" x14ac:dyDescent="0.25">
      <c r="A4" s="3" t="s">
        <v>33</v>
      </c>
      <c r="B4" s="15"/>
      <c r="C4" s="15"/>
      <c r="D4" s="12"/>
      <c r="E4" s="12"/>
      <c r="F4" s="12"/>
      <c r="G4" s="12"/>
      <c r="H4" s="12"/>
    </row>
    <row r="5" spans="1:12" s="1" customFormat="1" x14ac:dyDescent="0.25">
      <c r="A5" s="4"/>
      <c r="B5" s="15"/>
      <c r="C5" s="15"/>
      <c r="D5" s="12"/>
      <c r="E5" s="12"/>
      <c r="F5" s="12"/>
      <c r="G5" s="12"/>
      <c r="H5" s="12"/>
    </row>
    <row r="6" spans="1:12" s="1" customFormat="1" x14ac:dyDescent="0.25">
      <c r="A6" s="4"/>
      <c r="B6" s="15"/>
      <c r="C6" s="15"/>
      <c r="D6" s="12"/>
      <c r="E6" s="12"/>
      <c r="F6" s="12"/>
      <c r="G6" s="12"/>
      <c r="H6" s="12"/>
    </row>
    <row r="7" spans="1:12" s="1" customFormat="1" x14ac:dyDescent="0.25">
      <c r="A7" s="5" t="s">
        <v>1</v>
      </c>
      <c r="B7" s="15"/>
      <c r="C7" s="15"/>
      <c r="D7" s="12"/>
      <c r="E7" s="12"/>
      <c r="F7" s="12"/>
      <c r="G7" s="12"/>
      <c r="H7" s="12"/>
    </row>
    <row r="8" spans="1:12" s="7" customFormat="1" ht="33" customHeight="1" x14ac:dyDescent="0.25">
      <c r="A8" s="6"/>
      <c r="B8" s="16" t="s">
        <v>2</v>
      </c>
      <c r="C8" s="16" t="s">
        <v>3</v>
      </c>
      <c r="D8" s="16" t="s">
        <v>4</v>
      </c>
      <c r="E8" s="16" t="s">
        <v>5</v>
      </c>
      <c r="F8" s="16" t="s">
        <v>6</v>
      </c>
      <c r="G8" s="16" t="s">
        <v>7</v>
      </c>
      <c r="H8" s="16" t="s">
        <v>8</v>
      </c>
    </row>
    <row r="9" spans="1:12" x14ac:dyDescent="0.25">
      <c r="B9" s="17"/>
      <c r="C9" s="17"/>
      <c r="D9" s="17"/>
      <c r="E9" s="17"/>
      <c r="F9" s="17"/>
      <c r="G9" s="18"/>
      <c r="H9" s="17"/>
    </row>
    <row r="10" spans="1:12" x14ac:dyDescent="0.25">
      <c r="A10" s="8" t="s">
        <v>29</v>
      </c>
      <c r="B10" s="17">
        <v>413210.78</v>
      </c>
      <c r="C10" s="17"/>
      <c r="D10" s="17"/>
      <c r="E10" s="17"/>
      <c r="F10" s="17"/>
      <c r="G10" s="18">
        <f>SUM(B10:F10)</f>
        <v>413210.78</v>
      </c>
      <c r="H10" s="17">
        <v>70370</v>
      </c>
    </row>
    <row r="12" spans="1:12" x14ac:dyDescent="0.25">
      <c r="A12" s="8" t="s">
        <v>9</v>
      </c>
      <c r="B12" s="17">
        <f>88670.5+91642.21+232898.07</f>
        <v>413210.78</v>
      </c>
      <c r="C12" s="17"/>
      <c r="D12" s="17"/>
      <c r="E12" s="17"/>
      <c r="F12" s="17"/>
      <c r="G12" s="18">
        <f>SUM(B12:F12)</f>
        <v>413210.78</v>
      </c>
      <c r="H12" s="17"/>
    </row>
    <row r="13" spans="1:12" x14ac:dyDescent="0.25">
      <c r="B13" s="17"/>
      <c r="C13" s="17"/>
      <c r="D13" s="17"/>
      <c r="E13" s="17"/>
      <c r="F13" s="17"/>
      <c r="G13" s="18"/>
      <c r="H13" s="17"/>
    </row>
    <row r="14" spans="1:12" x14ac:dyDescent="0.25">
      <c r="A14" s="8" t="s">
        <v>28</v>
      </c>
      <c r="B14" s="17">
        <v>413210.78</v>
      </c>
      <c r="C14" s="17"/>
      <c r="D14" s="17"/>
      <c r="E14" s="17"/>
      <c r="F14" s="17"/>
      <c r="G14" s="18">
        <f>SUM(B14:F14)</f>
        <v>413210.78</v>
      </c>
      <c r="H14" s="17">
        <v>70370</v>
      </c>
      <c r="J14" s="10"/>
    </row>
    <row r="15" spans="1:12" x14ac:dyDescent="0.25">
      <c r="B15" s="17"/>
      <c r="C15" s="17"/>
      <c r="D15" s="17"/>
      <c r="E15" s="17"/>
      <c r="F15" s="17"/>
      <c r="G15" s="18"/>
      <c r="H15" s="17"/>
    </row>
    <row r="16" spans="1:12" x14ac:dyDescent="0.25">
      <c r="A16" s="9" t="s">
        <v>10</v>
      </c>
      <c r="B16" s="17"/>
      <c r="C16" s="17"/>
      <c r="D16" s="17"/>
      <c r="E16" s="17"/>
      <c r="F16" s="17"/>
      <c r="G16" s="18"/>
      <c r="H16" s="17"/>
      <c r="I16" s="9" t="s">
        <v>46</v>
      </c>
      <c r="J16" s="9" t="s">
        <v>47</v>
      </c>
      <c r="K16" s="9" t="s">
        <v>48</v>
      </c>
      <c r="L16" s="9" t="s">
        <v>48</v>
      </c>
    </row>
    <row r="17" spans="1:12" x14ac:dyDescent="0.25">
      <c r="A17" s="8" t="s">
        <v>34</v>
      </c>
      <c r="B17" s="17"/>
      <c r="C17" s="17"/>
      <c r="D17" s="17"/>
      <c r="E17" s="17"/>
      <c r="F17" s="17"/>
      <c r="G17" s="18">
        <v>24720</v>
      </c>
      <c r="H17" s="17">
        <v>3720</v>
      </c>
      <c r="I17" s="27">
        <v>24720.29</v>
      </c>
      <c r="J17" s="27">
        <v>3720</v>
      </c>
      <c r="K17" s="10">
        <f>G17-I17</f>
        <v>-0.29000000000087311</v>
      </c>
      <c r="L17" s="10">
        <f>H17-J17</f>
        <v>0</v>
      </c>
    </row>
    <row r="18" spans="1:12" x14ac:dyDescent="0.25">
      <c r="A18" s="8" t="s">
        <v>35</v>
      </c>
      <c r="B18" s="17"/>
      <c r="C18" s="17"/>
      <c r="D18" s="17"/>
      <c r="E18" s="17"/>
      <c r="F18" s="17"/>
      <c r="G18" s="18">
        <v>29485</v>
      </c>
      <c r="H18" s="17">
        <v>4790</v>
      </c>
      <c r="I18" s="27">
        <v>29484.6</v>
      </c>
      <c r="J18" s="27">
        <v>4790</v>
      </c>
      <c r="K18" s="10">
        <f t="shared" ref="K18:K28" si="0">G18-I18</f>
        <v>0.40000000000145519</v>
      </c>
      <c r="L18" s="10">
        <f t="shared" ref="L18:L28" si="1">H18-J18</f>
        <v>0</v>
      </c>
    </row>
    <row r="19" spans="1:12" x14ac:dyDescent="0.25">
      <c r="A19" s="8" t="s">
        <v>36</v>
      </c>
      <c r="B19" s="17"/>
      <c r="C19" s="17"/>
      <c r="D19" s="17"/>
      <c r="E19" s="17"/>
      <c r="F19" s="17"/>
      <c r="G19" s="18">
        <v>33114</v>
      </c>
      <c r="H19" s="17">
        <v>5318</v>
      </c>
      <c r="I19" s="27">
        <v>33114.160000000003</v>
      </c>
      <c r="J19" s="27">
        <v>5318</v>
      </c>
      <c r="K19" s="10">
        <f t="shared" si="0"/>
        <v>-0.16000000000349246</v>
      </c>
      <c r="L19" s="10">
        <f t="shared" si="1"/>
        <v>0</v>
      </c>
    </row>
    <row r="20" spans="1:12" x14ac:dyDescent="0.25">
      <c r="A20" s="8" t="s">
        <v>37</v>
      </c>
      <c r="B20" s="17"/>
      <c r="C20" s="17"/>
      <c r="D20" s="17"/>
      <c r="E20" s="17"/>
      <c r="F20" s="17"/>
      <c r="G20" s="18">
        <v>33707</v>
      </c>
      <c r="H20" s="17">
        <v>5662</v>
      </c>
      <c r="I20" s="27">
        <v>33707.35</v>
      </c>
      <c r="J20" s="27">
        <v>5662</v>
      </c>
      <c r="K20" s="10">
        <f t="shared" si="0"/>
        <v>-0.34999999999854481</v>
      </c>
      <c r="L20" s="10">
        <f t="shared" si="1"/>
        <v>0</v>
      </c>
    </row>
    <row r="21" spans="1:12" x14ac:dyDescent="0.25">
      <c r="A21" s="8" t="s">
        <v>38</v>
      </c>
      <c r="B21" s="17"/>
      <c r="C21" s="17"/>
      <c r="D21" s="17"/>
      <c r="E21" s="17"/>
      <c r="F21" s="17"/>
      <c r="G21" s="18">
        <v>33531</v>
      </c>
      <c r="H21" s="17">
        <v>5860</v>
      </c>
      <c r="I21" s="27">
        <v>33530.99</v>
      </c>
      <c r="J21" s="27">
        <v>5860</v>
      </c>
      <c r="K21" s="10">
        <f t="shared" si="0"/>
        <v>1.0000000002037268E-2</v>
      </c>
      <c r="L21" s="10">
        <f t="shared" si="1"/>
        <v>0</v>
      </c>
    </row>
    <row r="22" spans="1:12" x14ac:dyDescent="0.25">
      <c r="A22" s="8" t="s">
        <v>39</v>
      </c>
      <c r="B22" s="17"/>
      <c r="C22" s="17"/>
      <c r="D22" s="17"/>
      <c r="E22" s="17"/>
      <c r="F22" s="17"/>
      <c r="G22" s="18">
        <v>37146</v>
      </c>
      <c r="H22" s="17">
        <v>5218</v>
      </c>
      <c r="I22" s="27">
        <v>37145.97</v>
      </c>
      <c r="J22" s="27">
        <v>5218</v>
      </c>
      <c r="K22" s="10">
        <f t="shared" si="0"/>
        <v>2.9999999998835847E-2</v>
      </c>
      <c r="L22" s="10">
        <f t="shared" si="1"/>
        <v>0</v>
      </c>
    </row>
    <row r="23" spans="1:12" x14ac:dyDescent="0.25">
      <c r="A23" s="8" t="s">
        <v>40</v>
      </c>
      <c r="B23" s="17"/>
      <c r="C23" s="17"/>
      <c r="D23" s="17"/>
      <c r="E23" s="17"/>
      <c r="F23" s="17"/>
      <c r="G23" s="18">
        <v>25804</v>
      </c>
      <c r="H23" s="17">
        <v>3816</v>
      </c>
      <c r="I23" s="27">
        <v>25803.73</v>
      </c>
      <c r="J23" s="27">
        <v>3816</v>
      </c>
      <c r="K23" s="10">
        <f t="shared" si="0"/>
        <v>0.27000000000043656</v>
      </c>
      <c r="L23" s="10">
        <f t="shared" si="1"/>
        <v>0</v>
      </c>
    </row>
    <row r="24" spans="1:12" x14ac:dyDescent="0.25">
      <c r="A24" s="8" t="s">
        <v>41</v>
      </c>
      <c r="B24" s="17"/>
      <c r="C24" s="17"/>
      <c r="D24" s="17"/>
      <c r="E24" s="17"/>
      <c r="F24" s="17"/>
      <c r="G24" s="18">
        <v>27100</v>
      </c>
      <c r="H24" s="17">
        <v>3764</v>
      </c>
      <c r="I24" s="27">
        <v>27099.64</v>
      </c>
      <c r="J24" s="27">
        <v>3764</v>
      </c>
      <c r="K24" s="10">
        <f t="shared" si="0"/>
        <v>0.36000000000058208</v>
      </c>
      <c r="L24" s="10">
        <f t="shared" si="1"/>
        <v>0</v>
      </c>
    </row>
    <row r="25" spans="1:12" x14ac:dyDescent="0.25">
      <c r="A25" s="8" t="s">
        <v>42</v>
      </c>
      <c r="B25" s="17"/>
      <c r="C25" s="17"/>
      <c r="D25" s="17"/>
      <c r="E25" s="17"/>
      <c r="F25" s="17"/>
      <c r="G25" s="18">
        <v>26606</v>
      </c>
      <c r="H25" s="17">
        <v>3814</v>
      </c>
      <c r="I25" s="27">
        <v>26605.71</v>
      </c>
      <c r="J25" s="27">
        <v>3814</v>
      </c>
      <c r="K25" s="10">
        <f t="shared" si="0"/>
        <v>0.29000000000087311</v>
      </c>
      <c r="L25" s="10">
        <f t="shared" si="1"/>
        <v>0</v>
      </c>
    </row>
    <row r="26" spans="1:12" x14ac:dyDescent="0.25">
      <c r="A26" s="8" t="s">
        <v>43</v>
      </c>
      <c r="B26" s="17"/>
      <c r="C26" s="17"/>
      <c r="D26" s="17"/>
      <c r="E26" s="17"/>
      <c r="F26" s="17"/>
      <c r="G26" s="18">
        <v>32673</v>
      </c>
      <c r="H26" s="17">
        <v>5696</v>
      </c>
      <c r="I26" s="27">
        <v>32672.51</v>
      </c>
      <c r="J26" s="27">
        <v>5696</v>
      </c>
      <c r="K26" s="10">
        <f t="shared" si="0"/>
        <v>0.49000000000160071</v>
      </c>
      <c r="L26" s="10">
        <f t="shared" si="1"/>
        <v>0</v>
      </c>
    </row>
    <row r="27" spans="1:12" x14ac:dyDescent="0.25">
      <c r="A27" s="8" t="s">
        <v>44</v>
      </c>
      <c r="B27" s="17"/>
      <c r="C27" s="17"/>
      <c r="D27" s="17"/>
      <c r="E27" s="17"/>
      <c r="F27" s="17"/>
      <c r="G27" s="18">
        <v>37879</v>
      </c>
      <c r="H27" s="17">
        <v>6638</v>
      </c>
      <c r="I27" s="27">
        <v>37878.86</v>
      </c>
      <c r="J27" s="27">
        <v>6638</v>
      </c>
      <c r="K27" s="10">
        <f t="shared" si="0"/>
        <v>0.13999999999941792</v>
      </c>
      <c r="L27" s="10">
        <f t="shared" si="1"/>
        <v>0</v>
      </c>
    </row>
    <row r="28" spans="1:12" x14ac:dyDescent="0.25">
      <c r="A28" s="8" t="s">
        <v>45</v>
      </c>
      <c r="B28" s="17"/>
      <c r="C28" s="17"/>
      <c r="D28" s="17"/>
      <c r="E28" s="17"/>
      <c r="F28" s="17"/>
      <c r="G28" s="18">
        <v>71447</v>
      </c>
      <c r="H28" s="17">
        <v>16074</v>
      </c>
      <c r="I28" s="27">
        <v>71446.97</v>
      </c>
      <c r="J28" s="27">
        <v>16074</v>
      </c>
      <c r="K28" s="10">
        <f t="shared" si="0"/>
        <v>2.9999999998835847E-2</v>
      </c>
      <c r="L28" s="10">
        <f t="shared" si="1"/>
        <v>0</v>
      </c>
    </row>
    <row r="29" spans="1:12" x14ac:dyDescent="0.25">
      <c r="B29" s="17"/>
      <c r="C29" s="17"/>
      <c r="D29" s="17"/>
      <c r="E29" s="17"/>
      <c r="F29" s="17"/>
      <c r="G29" s="19">
        <f t="shared" ref="G29:L29" si="2">SUM(G17:G28)</f>
        <v>413212</v>
      </c>
      <c r="H29" s="19">
        <f t="shared" si="2"/>
        <v>70370</v>
      </c>
      <c r="I29" s="28">
        <f t="shared" si="2"/>
        <v>413210.78</v>
      </c>
      <c r="J29" s="28">
        <f t="shared" si="2"/>
        <v>70370</v>
      </c>
      <c r="K29" s="29">
        <f t="shared" si="2"/>
        <v>1.2200000000011642</v>
      </c>
      <c r="L29" s="28">
        <f t="shared" si="2"/>
        <v>0</v>
      </c>
    </row>
    <row r="30" spans="1:12" x14ac:dyDescent="0.25">
      <c r="B30" s="17"/>
      <c r="C30" s="17"/>
      <c r="D30" s="17"/>
      <c r="E30" s="17"/>
      <c r="F30" s="17"/>
      <c r="G30" s="18"/>
      <c r="H30" s="18"/>
    </row>
    <row r="31" spans="1:12" ht="15.75" thickBot="1" x14ac:dyDescent="0.3">
      <c r="A31" s="8" t="s">
        <v>11</v>
      </c>
      <c r="B31" s="17"/>
      <c r="C31" s="17"/>
      <c r="D31" s="17"/>
      <c r="E31" s="17"/>
      <c r="F31" s="17"/>
      <c r="G31" s="20">
        <f>G10-G29</f>
        <v>-1.2199999999720603</v>
      </c>
      <c r="H31" s="20">
        <f>H10-H29</f>
        <v>0</v>
      </c>
      <c r="K31" s="10"/>
      <c r="L31" s="10"/>
    </row>
    <row r="32" spans="1:12" ht="15.75" thickTop="1" x14ac:dyDescent="0.25">
      <c r="B32" s="17"/>
      <c r="C32" s="17"/>
      <c r="D32" s="17"/>
      <c r="E32" s="17"/>
      <c r="F32" s="17"/>
      <c r="G32" s="21"/>
      <c r="H32" s="22"/>
    </row>
    <row r="33" spans="1:8" x14ac:dyDescent="0.25">
      <c r="B33" s="17"/>
      <c r="C33" s="17"/>
      <c r="D33" s="17"/>
      <c r="E33" s="17"/>
      <c r="F33" s="17"/>
      <c r="G33" s="21"/>
      <c r="H33" s="22"/>
    </row>
    <row r="34" spans="1:8" x14ac:dyDescent="0.25">
      <c r="B34" s="17"/>
      <c r="C34" s="17"/>
      <c r="D34" s="17"/>
      <c r="E34" s="17"/>
      <c r="F34" s="17"/>
      <c r="G34" s="18"/>
      <c r="H34" s="17"/>
    </row>
    <row r="36" spans="1:8" x14ac:dyDescent="0.25">
      <c r="A36" s="5" t="s">
        <v>12</v>
      </c>
      <c r="G36" s="26" t="s">
        <v>27</v>
      </c>
      <c r="H36" s="12">
        <f>G12+C54</f>
        <v>460044.95</v>
      </c>
    </row>
    <row r="37" spans="1:8" x14ac:dyDescent="0.25">
      <c r="G37" s="31" t="str">
        <f>IF(H36&gt;1200000,"Check payroll tax requirements","")</f>
        <v/>
      </c>
      <c r="H37" s="31"/>
    </row>
    <row r="38" spans="1:8" x14ac:dyDescent="0.25">
      <c r="A38" s="8" t="s">
        <v>13</v>
      </c>
      <c r="C38" s="12">
        <f>B12</f>
        <v>413210.78</v>
      </c>
      <c r="G38" s="31"/>
      <c r="H38" s="31"/>
    </row>
    <row r="39" spans="1:8" x14ac:dyDescent="0.25">
      <c r="A39" s="8" t="s">
        <v>14</v>
      </c>
    </row>
    <row r="40" spans="1:8" x14ac:dyDescent="0.25">
      <c r="A40" s="8" t="s">
        <v>15</v>
      </c>
    </row>
    <row r="41" spans="1:8" x14ac:dyDescent="0.25">
      <c r="A41" s="8" t="s">
        <v>16</v>
      </c>
    </row>
    <row r="42" spans="1:8" x14ac:dyDescent="0.25">
      <c r="A42" s="8" t="s">
        <v>17</v>
      </c>
      <c r="E42" s="12" t="s">
        <v>18</v>
      </c>
    </row>
    <row r="43" spans="1:8" x14ac:dyDescent="0.25">
      <c r="A43" s="8" t="s">
        <v>19</v>
      </c>
      <c r="E43" s="12" t="s">
        <v>20</v>
      </c>
    </row>
    <row r="44" spans="1:8" x14ac:dyDescent="0.25">
      <c r="A44" s="8" t="s">
        <v>21</v>
      </c>
      <c r="C44" s="23"/>
    </row>
    <row r="45" spans="1:8" x14ac:dyDescent="0.25">
      <c r="C45" s="12">
        <f>SUM(C37:C44)</f>
        <v>413210.78</v>
      </c>
    </row>
    <row r="47" spans="1:8" ht="15" customHeight="1" x14ac:dyDescent="0.25">
      <c r="A47" s="11" t="s">
        <v>31</v>
      </c>
      <c r="F47" s="30"/>
      <c r="G47" s="30"/>
      <c r="H47" s="30"/>
    </row>
    <row r="48" spans="1:8" x14ac:dyDescent="0.25">
      <c r="A48" s="8" t="s">
        <v>30</v>
      </c>
    </row>
    <row r="49" spans="1:3" x14ac:dyDescent="0.25">
      <c r="A49" s="8" t="s">
        <v>32</v>
      </c>
    </row>
    <row r="50" spans="1:3" x14ac:dyDescent="0.25">
      <c r="C50" s="24">
        <f>SUM(C45:C49)</f>
        <v>413210.78</v>
      </c>
    </row>
    <row r="52" spans="1:3" x14ac:dyDescent="0.25">
      <c r="A52" s="8" t="s">
        <v>49</v>
      </c>
      <c r="C52" s="12">
        <f>C50*11.5%</f>
        <v>47519.239700000006</v>
      </c>
    </row>
    <row r="54" spans="1:3" x14ac:dyDescent="0.25">
      <c r="A54" s="8" t="s">
        <v>22</v>
      </c>
      <c r="C54" s="12">
        <v>46834.17</v>
      </c>
    </row>
    <row r="56" spans="1:3" ht="15.75" thickBot="1" x14ac:dyDescent="0.3">
      <c r="A56" s="8" t="s">
        <v>11</v>
      </c>
      <c r="C56" s="25">
        <f>C52-C54</f>
        <v>685.06970000000729</v>
      </c>
    </row>
    <row r="57" spans="1:3" ht="15.75" thickTop="1" x14ac:dyDescent="0.25"/>
    <row r="58" spans="1:3" x14ac:dyDescent="0.25">
      <c r="A58" s="8" t="s">
        <v>23</v>
      </c>
    </row>
    <row r="59" spans="1:3" x14ac:dyDescent="0.25">
      <c r="A59" s="8" t="s">
        <v>24</v>
      </c>
      <c r="C59" s="12">
        <v>685.07</v>
      </c>
    </row>
    <row r="60" spans="1:3" x14ac:dyDescent="0.25">
      <c r="A60" s="8" t="s">
        <v>25</v>
      </c>
    </row>
    <row r="61" spans="1:3" x14ac:dyDescent="0.25">
      <c r="A61" s="8" t="s">
        <v>50</v>
      </c>
    </row>
    <row r="62" spans="1:3" x14ac:dyDescent="0.25">
      <c r="A62" s="8" t="s">
        <v>26</v>
      </c>
    </row>
    <row r="63" spans="1:3" ht="15.75" thickBot="1" x14ac:dyDescent="0.3">
      <c r="C63" s="25">
        <f>SUM(C59:C62)</f>
        <v>685.07</v>
      </c>
    </row>
    <row r="64" spans="1:3" ht="15.75" thickTop="1" x14ac:dyDescent="0.25"/>
  </sheetData>
  <mergeCells count="2">
    <mergeCell ref="F47:H47"/>
    <mergeCell ref="G37:H38"/>
  </mergeCells>
  <phoneticPr fontId="6" type="noConversion"/>
  <conditionalFormatting sqref="G37">
    <cfRule type="containsText" dxfId="0" priority="1" operator="containsText" text="Check payroll tax requirements">
      <formula>NOT(ISERROR(SEARCH("Check payroll tax requirements",G37)))</formula>
    </cfRule>
  </conditionalFormatting>
  <printOptions horizontalCentered="1"/>
  <pageMargins left="0.47244094488188981" right="0.47244094488188981" top="0.19685039370078741" bottom="0.39370078740157483" header="0.19685039370078741" footer="0.19685039370078741"/>
  <pageSetup paperSize="9" scale="58" fitToHeight="0" orientation="portrait" r:id="rId1"/>
  <headerFooter alignWithMargins="0">
    <oddFooter>&amp;R&amp;D&amp;T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Salary Rec</vt:lpstr>
      <vt:lpstr>'Salary Rec'!Print_Area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 Huang</dc:creator>
  <cp:lastModifiedBy>Amanpreet Kaur</cp:lastModifiedBy>
  <cp:lastPrinted>2025-10-03T08:54:49Z</cp:lastPrinted>
  <dcterms:created xsi:type="dcterms:W3CDTF">2012-07-05T08:43:56Z</dcterms:created>
  <dcterms:modified xsi:type="dcterms:W3CDTF">2025-10-03T08:55:47Z</dcterms:modified>
</cp:coreProperties>
</file>