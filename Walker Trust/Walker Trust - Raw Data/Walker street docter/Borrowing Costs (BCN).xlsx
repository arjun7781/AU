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cal_Jatin.rai\Temp\10\OneNote\16.0\Exported\{BBA0703D-185E-448C-9BC5-62ED134A7047}\NT\3\"/>
    </mc:Choice>
  </mc:AlternateContent>
  <xr:revisionPtr revIDLastSave="0" documentId="13_ncr:1_{F1D65320-53BF-4763-90FF-A27579267F5F}" xr6:coauthVersionLast="47" xr6:coauthVersionMax="47" xr10:uidLastSave="{00000000-0000-0000-0000-000000000000}"/>
  <bookViews>
    <workbookView xWindow="23880" yWindow="-120" windowWidth="20730" windowHeight="11160" tabRatio="969" xr2:uid="{00000000-000D-0000-FFFF-FFFF00000000}"/>
  </bookViews>
  <sheets>
    <sheet name="Borrowing Costs" sheetId="6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7" i="61" l="1"/>
  <c r="C16" i="61" l="1"/>
  <c r="B16" i="61"/>
  <c r="D13" i="61"/>
  <c r="D14" i="61"/>
  <c r="D15" i="61"/>
  <c r="D12" i="61"/>
  <c r="D16" i="61" l="1"/>
  <c r="C27" i="61"/>
  <c r="A28" i="61" l="1"/>
  <c r="B27" i="61"/>
  <c r="D27" i="61" s="1"/>
  <c r="A29" i="61"/>
  <c r="C29" i="61" l="1"/>
  <c r="B29" i="61"/>
  <c r="C28" i="61"/>
  <c r="B28" i="61"/>
  <c r="D28" i="61" s="1"/>
  <c r="E27" i="61"/>
  <c r="A30" i="61"/>
  <c r="C30" i="61" l="1"/>
  <c r="B30" i="61"/>
  <c r="D29" i="61"/>
  <c r="E28" i="61"/>
  <c r="A31" i="61"/>
  <c r="C31" i="61" l="1"/>
  <c r="B31" i="61"/>
  <c r="D30" i="61"/>
  <c r="E29" i="61"/>
  <c r="A32" i="61"/>
  <c r="C32" i="61" l="1"/>
  <c r="B32" i="61"/>
  <c r="D31" i="61"/>
  <c r="E30" i="61"/>
  <c r="A33" i="61"/>
  <c r="B33" i="61" l="1"/>
  <c r="C33" i="61"/>
  <c r="D32" i="61"/>
  <c r="E31" i="61"/>
  <c r="A34" i="61"/>
  <c r="B34" i="61" l="1"/>
  <c r="C34" i="61"/>
  <c r="D33" i="61"/>
  <c r="E32" i="61"/>
  <c r="A35" i="61"/>
  <c r="B35" i="61" l="1"/>
  <c r="C35" i="61"/>
  <c r="D34" i="61"/>
  <c r="E33" i="61"/>
  <c r="A36" i="61"/>
  <c r="C36" i="61" l="1"/>
  <c r="B36" i="61"/>
  <c r="D35" i="61"/>
  <c r="E34" i="61"/>
  <c r="A37" i="61"/>
  <c r="B37" i="61" l="1"/>
  <c r="B39" i="61" s="1"/>
  <c r="C37" i="61"/>
  <c r="C39" i="61" s="1"/>
  <c r="D36" i="61"/>
  <c r="E35" i="61"/>
  <c r="D37" i="61" l="1"/>
  <c r="E37" i="61" s="1"/>
  <c r="E36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lana</author>
  </authors>
  <commentList>
    <comment ref="B18" authorId="0" shapeId="0" xr:uid="{00000000-0006-0000-0000-000001000000}">
      <text>
        <r>
          <rPr>
            <sz val="8"/>
            <color indexed="81"/>
            <rFont val="Arial"/>
            <family val="2"/>
          </rPr>
          <t>Enter DD/MM/YY</t>
        </r>
      </text>
    </comment>
    <comment ref="C18" authorId="0" shapeId="0" xr:uid="{00000000-0006-0000-0000-000002000000}">
      <text>
        <r>
          <rPr>
            <sz val="8"/>
            <color indexed="81"/>
            <rFont val="Arial"/>
            <family val="2"/>
          </rPr>
          <t>Enter DD/MM/YY</t>
        </r>
      </text>
    </comment>
    <comment ref="B22" authorId="0" shapeId="0" xr:uid="{00000000-0006-0000-0000-000003000000}">
      <text>
        <r>
          <rPr>
            <sz val="8"/>
            <color indexed="81"/>
            <rFont val="Arial"/>
            <family val="2"/>
          </rPr>
          <t>Enter DD/MM/YY</t>
        </r>
      </text>
    </comment>
    <comment ref="C22" authorId="0" shapeId="0" xr:uid="{00000000-0006-0000-0000-000004000000}">
      <text>
        <r>
          <rPr>
            <sz val="8"/>
            <color indexed="81"/>
            <rFont val="Arial"/>
            <family val="2"/>
          </rPr>
          <t>Enter DD/MM/YY</t>
        </r>
      </text>
    </comment>
  </commentList>
</comments>
</file>

<file path=xl/sharedStrings.xml><?xml version="1.0" encoding="utf-8"?>
<sst xmlns="http://schemas.openxmlformats.org/spreadsheetml/2006/main" count="19" uniqueCount="18">
  <si>
    <t>Date incurred:</t>
  </si>
  <si>
    <t>Year</t>
  </si>
  <si>
    <t>Deductible Amount</t>
  </si>
  <si>
    <t>Accumulated Amortisation</t>
  </si>
  <si>
    <t>Year end date of first deductible year:</t>
  </si>
  <si>
    <t>EXPENSE OVER 5 YEARS OR LIFE OF LOAN (IF LESS)</t>
  </si>
  <si>
    <t>BORROWING COSTS</t>
  </si>
  <si>
    <t>Total borrowing costs:</t>
  </si>
  <si>
    <t>Life or loan or 5 years (lesser of):</t>
  </si>
  <si>
    <t>Loan 1</t>
  </si>
  <si>
    <t>Loan 2</t>
  </si>
  <si>
    <t>Total</t>
  </si>
  <si>
    <t>Bank fees</t>
  </si>
  <si>
    <t>Legals</t>
  </si>
  <si>
    <t>Stamp Duty</t>
  </si>
  <si>
    <t>Others</t>
  </si>
  <si>
    <t>Closing Written Down Amortisation</t>
  </si>
  <si>
    <t>30 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</si>
</sst>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[Red]* \(#,##0.00\)_-;_-* &quot;-&quot;??_-;_-@_-"/>
    <numFmt numFmtId="165" formatCode="_-* #,##0.0000_-;[Red]* \(#,##0.0000\)_-;_-* &quot;-&quot;??_-;_-@_-"/>
    <numFmt numFmtId="166" formatCode="dd/mm/yy;@"/>
    <numFmt numFmtId="167" formatCode="_-&quot;$&quot;#,##0.00_-;\-&quot;$&quot;#,##0.00_-;_-&quot;$&quot;* &quot;-&quot;??_-;_-@_-"/>
    <numFmt numFmtId="168" formatCode="d/mm/yy;@"/>
    <numFmt numFmtId="169" formatCode="_-* #,##0.00_-;[Red]* \(#,##0.00\);_-* &quot;-&quot;??_-;_-@_-"/>
    <numFmt numFmtId="170" formatCode="_-&quot;$&quot;#,##0.00_-;\-&quot;$&quot;#,##0.00_-;_-* &quot;-&quot;??_-;_-@_-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66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7" fillId="0" borderId="0" xfId="0" applyFont="1"/>
    <xf numFmtId="164" fontId="7" fillId="0" borderId="0" xfId="0" applyNumberFormat="1" applyFont="1"/>
    <xf numFmtId="0" fontId="8" fillId="2" borderId="0" xfId="0" applyFont="1" applyFill="1"/>
    <xf numFmtId="0" fontId="8" fillId="0" borderId="0" xfId="0" applyFont="1"/>
    <xf numFmtId="15" fontId="8" fillId="2" borderId="0" xfId="0" quotePrefix="1" applyNumberFormat="1" applyFont="1" applyFill="1"/>
    <xf numFmtId="166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wrapText="1"/>
    </xf>
    <xf numFmtId="49" fontId="8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49" fontId="8" fillId="0" borderId="0" xfId="0" applyNumberFormat="1" applyFont="1" applyAlignment="1">
      <alignment horizontal="center" wrapText="1"/>
    </xf>
    <xf numFmtId="169" fontId="7" fillId="0" borderId="0" xfId="0" applyNumberFormat="1" applyFont="1"/>
    <xf numFmtId="169" fontId="7" fillId="0" borderId="2" xfId="0" applyNumberFormat="1" applyFont="1" applyBorder="1"/>
    <xf numFmtId="167" fontId="7" fillId="0" borderId="0" xfId="4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70" fontId="7" fillId="0" borderId="0" xfId="4" applyNumberFormat="1" applyFont="1" applyAlignment="1">
      <alignment horizontal="center"/>
    </xf>
    <xf numFmtId="170" fontId="8" fillId="0" borderId="3" xfId="4" applyNumberFormat="1" applyFont="1" applyBorder="1" applyAlignment="1">
      <alignment horizontal="center"/>
    </xf>
  </cellXfs>
  <cellStyles count="19">
    <cellStyle name="Comma 2" xfId="1" xr:uid="{00000000-0005-0000-0000-000000000000}"/>
    <cellStyle name="Comma 3" xfId="2" xr:uid="{00000000-0005-0000-0000-000001000000}"/>
    <cellStyle name="Comma 3 2" xfId="3" xr:uid="{00000000-0005-0000-0000-000002000000}"/>
    <cellStyle name="Comma 3 2 2" xfId="13" xr:uid="{00000000-0005-0000-0000-000003000000}"/>
    <cellStyle name="Comma 3 3" xfId="12" xr:uid="{00000000-0005-0000-0000-000004000000}"/>
    <cellStyle name="Currency" xfId="4" builtinId="4"/>
    <cellStyle name="Currency 2" xfId="5" xr:uid="{00000000-0005-0000-0000-000006000000}"/>
    <cellStyle name="Currency 3" xfId="6" xr:uid="{00000000-0005-0000-0000-000007000000}"/>
    <cellStyle name="Currency 3 2" xfId="7" xr:uid="{00000000-0005-0000-0000-000008000000}"/>
    <cellStyle name="Currency 3 2 2" xfId="16" xr:uid="{00000000-0005-0000-0000-000009000000}"/>
    <cellStyle name="Currency 3 3" xfId="15" xr:uid="{00000000-0005-0000-0000-00000A000000}"/>
    <cellStyle name="Currency 4" xfId="14" xr:uid="{00000000-0005-0000-0000-00000B000000}"/>
    <cellStyle name="Normal" xfId="0" builtinId="0"/>
    <cellStyle name="Normal 2" xfId="8" xr:uid="{00000000-0005-0000-0000-00000D000000}"/>
    <cellStyle name="Percent 2" xfId="9" xr:uid="{00000000-0005-0000-0000-00000E000000}"/>
    <cellStyle name="Percent 3" xfId="10" xr:uid="{00000000-0005-0000-0000-00000F000000}"/>
    <cellStyle name="Percent 3 2" xfId="11" xr:uid="{00000000-0005-0000-0000-000010000000}"/>
    <cellStyle name="Percent 3 2 2" xfId="18" xr:uid="{00000000-0005-0000-0000-000011000000}"/>
    <cellStyle name="Percent 3 3" xfId="17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</xdr:row>
      <xdr:rowOff>0</xdr:rowOff>
    </xdr:from>
    <xdr:to>
      <xdr:col>3</xdr:col>
      <xdr:colOff>361950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61925"/>
          <a:ext cx="1762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pageSetUpPr fitToPage="1"/>
  </sheetPr>
  <dimension ref="A2:E60"/>
  <sheetViews>
    <sheetView tabSelected="1" topLeftCell="A10" zoomScaleNormal="100" workbookViewId="0">
      <selection activeCell="F16" sqref="F16"/>
    </sheetView>
  </sheetViews>
  <sheetFormatPr defaultColWidth="9.140625" defaultRowHeight="15" x14ac:dyDescent="0.25"/>
  <cols>
    <col min="1" max="1" width="35.5703125" style="1" customWidth="1"/>
    <col min="2" max="3" width="12.7109375" style="2" customWidth="1"/>
    <col min="4" max="4" width="13.42578125" style="2" customWidth="1"/>
    <col min="5" max="5" width="14.42578125" style="2" bestFit="1" customWidth="1"/>
    <col min="6" max="6" width="10.28515625" style="1" bestFit="1" customWidth="1"/>
    <col min="7" max="16384" width="9.140625" style="1"/>
  </cols>
  <sheetData>
    <row r="2" spans="1:4" x14ac:dyDescent="0.25">
      <c r="A2" s="3" t="s">
        <v>6</v>
      </c>
    </row>
    <row r="3" spans="1:4" x14ac:dyDescent="0.25">
      <c r="A3" s="4"/>
    </row>
    <row r="4" spans="1:4" x14ac:dyDescent="0.25">
      <c r="A4" s="5" t="s">
        <v>17</v>
      </c>
    </row>
    <row r="8" spans="1:4" x14ac:dyDescent="0.25">
      <c r="A8" s="4" t="s">
        <v>5</v>
      </c>
    </row>
    <row r="9" spans="1:4" s="7" customFormat="1" x14ac:dyDescent="0.25">
      <c r="A9" s="4"/>
      <c r="B9" s="2"/>
      <c r="C9" s="2"/>
      <c r="D9" s="2"/>
    </row>
    <row r="10" spans="1:4" s="11" customFormat="1" x14ac:dyDescent="0.25">
      <c r="A10" s="19"/>
      <c r="B10" s="20" t="s">
        <v>9</v>
      </c>
      <c r="C10" s="20" t="s">
        <v>10</v>
      </c>
      <c r="D10" s="20" t="s">
        <v>11</v>
      </c>
    </row>
    <row r="12" spans="1:4" x14ac:dyDescent="0.25">
      <c r="A12" s="1" t="s">
        <v>12</v>
      </c>
      <c r="B12" s="21"/>
      <c r="C12" s="21"/>
      <c r="D12" s="21">
        <f>SUM(B12:C12)</f>
        <v>0</v>
      </c>
    </row>
    <row r="13" spans="1:4" x14ac:dyDescent="0.25">
      <c r="A13" s="1" t="s">
        <v>13</v>
      </c>
      <c r="B13" s="21"/>
      <c r="C13" s="21"/>
      <c r="D13" s="21">
        <f t="shared" ref="D13:D15" si="0">SUM(B13:C13)</f>
        <v>0</v>
      </c>
    </row>
    <row r="14" spans="1:4" x14ac:dyDescent="0.25">
      <c r="A14" s="1" t="s">
        <v>14</v>
      </c>
      <c r="B14" s="21"/>
      <c r="C14" s="21"/>
      <c r="D14" s="21">
        <f t="shared" si="0"/>
        <v>0</v>
      </c>
    </row>
    <row r="15" spans="1:4" x14ac:dyDescent="0.25">
      <c r="A15" s="1" t="s">
        <v>15</v>
      </c>
      <c r="B15" s="21">
        <v>452.03</v>
      </c>
      <c r="C15" s="21">
        <v>617.42999999999995</v>
      </c>
      <c r="D15" s="21">
        <f t="shared" si="0"/>
        <v>1069.46</v>
      </c>
    </row>
    <row r="16" spans="1:4" x14ac:dyDescent="0.25">
      <c r="A16" s="4" t="s">
        <v>7</v>
      </c>
      <c r="B16" s="22">
        <f>SUM(B12:B15)</f>
        <v>452.03</v>
      </c>
      <c r="C16" s="22">
        <f>SUM(C12:C15)</f>
        <v>617.42999999999995</v>
      </c>
      <c r="D16" s="22">
        <f>SUM(D12:D15)</f>
        <v>1069.46</v>
      </c>
    </row>
    <row r="17" spans="1:5" x14ac:dyDescent="0.25">
      <c r="B17" s="14"/>
      <c r="C17" s="14"/>
    </row>
    <row r="18" spans="1:5" x14ac:dyDescent="0.25">
      <c r="A18" s="1" t="s">
        <v>0</v>
      </c>
      <c r="B18" s="15">
        <v>45204</v>
      </c>
      <c r="C18" s="15">
        <v>45376</v>
      </c>
    </row>
    <row r="19" spans="1:5" x14ac:dyDescent="0.25">
      <c r="B19" s="15"/>
      <c r="C19" s="15"/>
    </row>
    <row r="20" spans="1:5" x14ac:dyDescent="0.25">
      <c r="A20" s="1" t="s">
        <v>8</v>
      </c>
      <c r="B20" s="18">
        <v>5</v>
      </c>
      <c r="C20" s="18">
        <v>5</v>
      </c>
    </row>
    <row r="21" spans="1:5" x14ac:dyDescent="0.25">
      <c r="B21" s="16"/>
      <c r="C21" s="16"/>
    </row>
    <row r="22" spans="1:5" x14ac:dyDescent="0.25">
      <c r="A22" s="1" t="s">
        <v>4</v>
      </c>
      <c r="B22" s="15">
        <v>45473</v>
      </c>
      <c r="C22" s="15">
        <v>45473</v>
      </c>
    </row>
    <row r="23" spans="1:5" x14ac:dyDescent="0.25">
      <c r="A23" s="4"/>
      <c r="B23" s="6"/>
      <c r="C23" s="6"/>
    </row>
    <row r="25" spans="1:5" s="7" customFormat="1" ht="45" x14ac:dyDescent="0.25">
      <c r="A25" s="8" t="s">
        <v>1</v>
      </c>
      <c r="B25" s="9" t="s">
        <v>2</v>
      </c>
      <c r="C25" s="9" t="s">
        <v>2</v>
      </c>
      <c r="D25" s="9" t="s">
        <v>3</v>
      </c>
      <c r="E25" s="9" t="s">
        <v>16</v>
      </c>
    </row>
    <row r="26" spans="1:5" x14ac:dyDescent="0.25">
      <c r="A26" s="10"/>
      <c r="B26" s="11"/>
      <c r="C26" s="11"/>
      <c r="D26" s="11"/>
      <c r="E26" s="11"/>
    </row>
    <row r="27" spans="1:5" x14ac:dyDescent="0.25">
      <c r="A27" s="17">
        <f>YEAR(B22)</f>
        <v>2024</v>
      </c>
      <c r="B27" s="12">
        <f>IF($A27&lt;YEAR(B$22),0,IF($A27=YEAR(B$22),(B$22-B$18+1)/365*B$16/B$20,IF($A27&lt;YEAR(B$22)+B$20,B$16/B$20,IF($A27=YEAR(B$22)+B$20,(365-(B$22-B$18+1))/365*B$16/B$20,0))))</f>
        <v>66.875671232876712</v>
      </c>
      <c r="C27" s="12">
        <f>IF($A27&lt;YEAR(C$22),0,IF($A27=YEAR(C$22),(C$22-C$18+1)/365*C$16/C$20,IF($A27&lt;YEAR(C$22)+C$20,C$16/C$20,IF($A27=YEAR(C$22)+C$20,(365-(C$22-C$18+1))/365*C$16/C$20,0))))</f>
        <v>33.15514520547945</v>
      </c>
      <c r="D27" s="12">
        <f>B27+C27</f>
        <v>100.03081643835617</v>
      </c>
      <c r="E27" s="12">
        <f>$D$16-D27</f>
        <v>969.42918356164387</v>
      </c>
    </row>
    <row r="28" spans="1:5" x14ac:dyDescent="0.25">
      <c r="A28" s="17">
        <f>A27+1</f>
        <v>2025</v>
      </c>
      <c r="B28" s="12">
        <f t="shared" ref="B28:C37" si="1">IF($A28&lt;YEAR(B$22),0,IF($A28=YEAR(B$22),(B$22-B$18+1)/365*B$16/B$20,IF($A28&lt;YEAR(B$22)+B$20,B$16/B$20,IF($A28=YEAR(B$22)+B$20,(365-(B$22-B$18+1))/365*B$16/B$20,0))))</f>
        <v>90.405999999999992</v>
      </c>
      <c r="C28" s="12">
        <f t="shared" si="1"/>
        <v>123.48599999999999</v>
      </c>
      <c r="D28" s="12">
        <f>D27+B28+C28</f>
        <v>313.92281643835616</v>
      </c>
      <c r="E28" s="12">
        <f t="shared" ref="E28:E37" si="2">$D$16-D28</f>
        <v>755.53718356164381</v>
      </c>
    </row>
    <row r="29" spans="1:5" x14ac:dyDescent="0.25">
      <c r="A29" s="17">
        <f t="shared" ref="A29:A37" si="3">A28+1</f>
        <v>2026</v>
      </c>
      <c r="B29" s="12">
        <f t="shared" si="1"/>
        <v>90.405999999999992</v>
      </c>
      <c r="C29" s="12">
        <f t="shared" si="1"/>
        <v>123.48599999999999</v>
      </c>
      <c r="D29" s="12">
        <f t="shared" ref="D29:D37" si="4">D28+B29+C29</f>
        <v>527.81481643835616</v>
      </c>
      <c r="E29" s="12">
        <f t="shared" si="2"/>
        <v>541.64518356164388</v>
      </c>
    </row>
    <row r="30" spans="1:5" x14ac:dyDescent="0.25">
      <c r="A30" s="17">
        <f t="shared" si="3"/>
        <v>2027</v>
      </c>
      <c r="B30" s="12">
        <f t="shared" si="1"/>
        <v>90.405999999999992</v>
      </c>
      <c r="C30" s="12">
        <f t="shared" si="1"/>
        <v>123.48599999999999</v>
      </c>
      <c r="D30" s="12">
        <f t="shared" si="4"/>
        <v>741.7068164383561</v>
      </c>
      <c r="E30" s="12">
        <f t="shared" si="2"/>
        <v>327.75318356164394</v>
      </c>
    </row>
    <row r="31" spans="1:5" x14ac:dyDescent="0.25">
      <c r="A31" s="17">
        <f t="shared" si="3"/>
        <v>2028</v>
      </c>
      <c r="B31" s="12">
        <f t="shared" si="1"/>
        <v>90.405999999999992</v>
      </c>
      <c r="C31" s="12">
        <f t="shared" si="1"/>
        <v>123.48599999999999</v>
      </c>
      <c r="D31" s="12">
        <f t="shared" si="4"/>
        <v>955.59881643835604</v>
      </c>
      <c r="E31" s="12">
        <f t="shared" si="2"/>
        <v>113.861183561644</v>
      </c>
    </row>
    <row r="32" spans="1:5" x14ac:dyDescent="0.25">
      <c r="A32" s="17">
        <f t="shared" si="3"/>
        <v>2029</v>
      </c>
      <c r="B32" s="12">
        <f t="shared" si="1"/>
        <v>23.530328767123287</v>
      </c>
      <c r="C32" s="12">
        <f t="shared" si="1"/>
        <v>90.330854794520548</v>
      </c>
      <c r="D32" s="12">
        <f t="shared" si="4"/>
        <v>1069.4599999999998</v>
      </c>
      <c r="E32" s="12">
        <f t="shared" si="2"/>
        <v>0</v>
      </c>
    </row>
    <row r="33" spans="1:5" hidden="1" x14ac:dyDescent="0.25">
      <c r="A33" s="17">
        <f t="shared" si="3"/>
        <v>2030</v>
      </c>
      <c r="B33" s="12">
        <f t="shared" si="1"/>
        <v>0</v>
      </c>
      <c r="C33" s="12">
        <f t="shared" si="1"/>
        <v>0</v>
      </c>
      <c r="D33" s="12">
        <f t="shared" si="4"/>
        <v>1069.4599999999998</v>
      </c>
      <c r="E33" s="12">
        <f t="shared" si="2"/>
        <v>0</v>
      </c>
    </row>
    <row r="34" spans="1:5" hidden="1" x14ac:dyDescent="0.25">
      <c r="A34" s="17">
        <f t="shared" si="3"/>
        <v>2031</v>
      </c>
      <c r="B34" s="12">
        <f t="shared" si="1"/>
        <v>0</v>
      </c>
      <c r="C34" s="12">
        <f t="shared" si="1"/>
        <v>0</v>
      </c>
      <c r="D34" s="12">
        <f t="shared" si="4"/>
        <v>1069.4599999999998</v>
      </c>
      <c r="E34" s="12">
        <f t="shared" si="2"/>
        <v>0</v>
      </c>
    </row>
    <row r="35" spans="1:5" hidden="1" x14ac:dyDescent="0.25">
      <c r="A35" s="17">
        <f t="shared" si="3"/>
        <v>2032</v>
      </c>
      <c r="B35" s="12">
        <f t="shared" si="1"/>
        <v>0</v>
      </c>
      <c r="C35" s="12">
        <f t="shared" si="1"/>
        <v>0</v>
      </c>
      <c r="D35" s="12">
        <f t="shared" si="4"/>
        <v>1069.4599999999998</v>
      </c>
      <c r="E35" s="12">
        <f t="shared" si="2"/>
        <v>0</v>
      </c>
    </row>
    <row r="36" spans="1:5" hidden="1" x14ac:dyDescent="0.25">
      <c r="A36" s="17">
        <f t="shared" si="3"/>
        <v>2033</v>
      </c>
      <c r="B36" s="12">
        <f t="shared" si="1"/>
        <v>0</v>
      </c>
      <c r="C36" s="12">
        <f t="shared" si="1"/>
        <v>0</v>
      </c>
      <c r="D36" s="12">
        <f t="shared" si="4"/>
        <v>1069.4599999999998</v>
      </c>
      <c r="E36" s="12">
        <f t="shared" si="2"/>
        <v>0</v>
      </c>
    </row>
    <row r="37" spans="1:5" hidden="1" x14ac:dyDescent="0.25">
      <c r="A37" s="17">
        <f t="shared" si="3"/>
        <v>2034</v>
      </c>
      <c r="B37" s="12">
        <f t="shared" si="1"/>
        <v>0</v>
      </c>
      <c r="C37" s="12">
        <f t="shared" si="1"/>
        <v>0</v>
      </c>
      <c r="D37" s="12">
        <f t="shared" si="4"/>
        <v>1069.4599999999998</v>
      </c>
      <c r="E37" s="12">
        <f t="shared" si="2"/>
        <v>0</v>
      </c>
    </row>
    <row r="38" spans="1:5" x14ac:dyDescent="0.25">
      <c r="B38" s="12"/>
      <c r="C38" s="12"/>
      <c r="D38" s="12"/>
      <c r="E38" s="12"/>
    </row>
    <row r="39" spans="1:5" ht="15.75" thickBot="1" x14ac:dyDescent="0.3">
      <c r="B39" s="13">
        <f>SUM(B27:B38)</f>
        <v>452.03000000000003</v>
      </c>
      <c r="C39" s="13">
        <f>SUM(C27:C38)</f>
        <v>617.42999999999995</v>
      </c>
      <c r="D39" s="12"/>
      <c r="E39" s="12"/>
    </row>
    <row r="40" spans="1:5" ht="15.75" thickTop="1" x14ac:dyDescent="0.25">
      <c r="B40" s="1"/>
      <c r="C40" s="1"/>
      <c r="D40" s="1"/>
      <c r="E40" s="1"/>
    </row>
    <row r="41" spans="1:5" x14ac:dyDescent="0.25">
      <c r="B41" s="1"/>
      <c r="C41" s="1"/>
      <c r="D41" s="1"/>
      <c r="E41" s="1"/>
    </row>
    <row r="42" spans="1:5" x14ac:dyDescent="0.25">
      <c r="B42" s="1"/>
      <c r="C42" s="1"/>
      <c r="D42" s="1"/>
      <c r="E42" s="1"/>
    </row>
    <row r="43" spans="1:5" x14ac:dyDescent="0.25">
      <c r="B43" s="1"/>
      <c r="C43" s="1"/>
      <c r="D43" s="1"/>
      <c r="E43" s="1"/>
    </row>
    <row r="44" spans="1:5" x14ac:dyDescent="0.25">
      <c r="B44" s="1"/>
      <c r="C44" s="1"/>
      <c r="D44" s="1"/>
      <c r="E44" s="1"/>
    </row>
    <row r="45" spans="1:5" x14ac:dyDescent="0.25">
      <c r="B45" s="1"/>
      <c r="C45" s="1"/>
      <c r="D45" s="1"/>
      <c r="E45" s="1"/>
    </row>
    <row r="46" spans="1:5" x14ac:dyDescent="0.25">
      <c r="B46" s="1"/>
      <c r="C46" s="1"/>
      <c r="D46" s="1"/>
      <c r="E46" s="1"/>
    </row>
    <row r="47" spans="1:5" x14ac:dyDescent="0.25">
      <c r="B47" s="1"/>
      <c r="C47" s="1"/>
      <c r="D47" s="1"/>
      <c r="E47" s="1"/>
    </row>
    <row r="48" spans="1:5" x14ac:dyDescent="0.25">
      <c r="B48" s="1"/>
      <c r="C48" s="1"/>
      <c r="D48" s="1"/>
      <c r="E48" s="1"/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</sheetData>
  <phoneticPr fontId="3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portrait" r:id="rId1"/>
  <headerFooter alignWithMargins="0">
    <oddFooter>&amp;R&amp;D&amp;T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Borrowing Costs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Borrowing Costs</dc:title>
  <dc:creator>PDY</dc:creator>
  <cp:lastModifiedBy>Jatin Rai</cp:lastModifiedBy>
  <cp:lastPrinted>2024-10-09T06:43:47Z</cp:lastPrinted>
  <dcterms:created xsi:type="dcterms:W3CDTF">2001-08-19T09:45:47Z</dcterms:created>
  <dcterms:modified xsi:type="dcterms:W3CDTF">2024-10-09T06:43:53Z</dcterms:modified>
</cp:coreProperties>
</file>