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\\altus-fs03\users\Amanpreet.Kaur\Downloads\"/>
    </mc:Choice>
  </mc:AlternateContent>
  <xr:revisionPtr revIDLastSave="0" documentId="13_ncr:1_{A6282A0C-A826-44BF-AF6C-E70289BCED4C}" xr6:coauthVersionLast="47" xr6:coauthVersionMax="47" xr10:uidLastSave="{00000000-0000-0000-0000-000000000000}"/>
  <bookViews>
    <workbookView xWindow="21480" yWindow="-120" windowWidth="20640" windowHeight="11160" xr2:uid="{8A695520-047F-47DB-AFF9-79E074E210B8}"/>
  </bookViews>
  <sheets>
    <sheet name="WALKER STREET DOCTORS GROUP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42" i="1"/>
  <c r="F39" i="1"/>
  <c r="G39" i="1"/>
  <c r="F12" i="1"/>
  <c r="G12" i="1"/>
  <c r="F9" i="1"/>
  <c r="G9" i="1"/>
  <c r="F3" i="1"/>
  <c r="G3" i="1"/>
</calcChain>
</file>

<file path=xl/sharedStrings.xml><?xml version="1.0" encoding="utf-8"?>
<sst xmlns="http://schemas.openxmlformats.org/spreadsheetml/2006/main" count="202" uniqueCount="45">
  <si>
    <t>Invoice No</t>
  </si>
  <si>
    <t>INV DATE</t>
  </si>
  <si>
    <t>Billing Client</t>
  </si>
  <si>
    <t>Job</t>
  </si>
  <si>
    <t>Net</t>
  </si>
  <si>
    <t>Gross</t>
  </si>
  <si>
    <t>Status</t>
  </si>
  <si>
    <t>Pmnt Date</t>
  </si>
  <si>
    <t>Annual Agreement</t>
  </si>
  <si>
    <t>Type</t>
  </si>
  <si>
    <t xml:space="preserve">WALKER STREET DOCTORS GROUP </t>
  </si>
  <si>
    <t>Edward Brennan</t>
  </si>
  <si>
    <t>WALKER STREET DOCTORS GROUP : Edward Brennan : 1 - ITR - Individual 2024</t>
  </si>
  <si>
    <t>Paid In Full</t>
  </si>
  <si>
    <t>No</t>
  </si>
  <si>
    <t>Invoice</t>
  </si>
  <si>
    <t>Nerida McDonald</t>
  </si>
  <si>
    <t>WALKER STREET DOCTORS GROUP : Nerida McDonald : 1 - ITR - Individual 2024</t>
  </si>
  <si>
    <t>WALKER STREET DOCTORS GROUP : Nerida McDonald : 6 - Estate Planning</t>
  </si>
  <si>
    <t>Walker Street Doctors Pty Ltd</t>
  </si>
  <si>
    <t>WALKER STREET DOCTORS GROUP : Walker Street Doctors Pty Ltd : 3 - ASIC Service Package 2026</t>
  </si>
  <si>
    <t>Walker Street Doctors Trust</t>
  </si>
  <si>
    <t>WALKER STREET DOCTORS GROUP : Walker Street Doctors Trust : 1 - BAS-QTR JUN 2024</t>
  </si>
  <si>
    <t>WALKER STREET DOCTORS GROUP : Walker Street Doctors Trust : 1 - IAS-QTR MAY 2024</t>
  </si>
  <si>
    <t>WALKER STREET DOCTORS GROUP : Walker Street Doctors Trust : 1 - IAS-QTR JUL 2024</t>
  </si>
  <si>
    <t>WALKER STREET DOCTORS GROUP : Walker Street Doctors Trust : 1 - IAS-QTR AUG 2024</t>
  </si>
  <si>
    <t>WALKER STREET DOCTORS GROUP : Walker Street Doctors Trust : 1 - Accounting Assistance - SEP 2024</t>
  </si>
  <si>
    <t>WALKER STREET DOCTORS GROUP : Walker Street Doctors Trust : 1 - Fin. Statements &amp; ITR - Trust 2024</t>
  </si>
  <si>
    <t>WALKER STREET DOCTORS GROUP : Walker Street Doctors Trust : 1 - BAS-QTR SEP 2024</t>
  </si>
  <si>
    <t>WALKER STREET DOCTORS GROUP : Walker Street Doctors Trust : 1 - Accounting Assistance - DEC 2024</t>
  </si>
  <si>
    <t>WALKER STREET DOCTORS GROUP : Walker Street Doctors Trust : 1 - IAS-QTR - OCT 2024</t>
  </si>
  <si>
    <t>WALKER STREET DOCTORS GROUP : Walker Street Doctors Trust : 1 - IAS-QTR NOV 2024</t>
  </si>
  <si>
    <t>WALKER STREET DOCTORS GROUP : Walker Street Doctors Trust : 1 - BAS-QTR DEC 2024</t>
  </si>
  <si>
    <t>WALKER STREET DOCTORS GROUP : Walker Street Doctors Trust : 1 - IAS-QTR JAN 2025</t>
  </si>
  <si>
    <t>WALKER STREET DOCTORS GROUP : Walker Street Doctors Trust : 1 - ATO Administration 2024</t>
  </si>
  <si>
    <t>WALKER STREET DOCTORS GROUP : Walker Street Doctors Trust : 1 - IAS-MTH FEB 2025</t>
  </si>
  <si>
    <t>WALKER STREET DOCTORS GROUP : Walker Street Doctors Trust : 1 - Accounting Assistance - MAR 2025</t>
  </si>
  <si>
    <t>WALKER STREET DOCTORS GROUP : Walker Street Doctors Trust : 1 - BAS-QTR MAR 2025</t>
  </si>
  <si>
    <t>WALKER STREET DOCTORS GROUP : Walker Street Doctors Trust : 1 - IAS-MTH APR 2025</t>
  </si>
  <si>
    <t>WALKER STREET DOCTORS GROUP : Walker Street Doctors Trust : 1 - Accounting Assistance - JUN 2025</t>
  </si>
  <si>
    <t>WALKER STREET DOCTORS GROUP : Walker Street Doctors Trust : 3 - Entity Setup Company (Walker Street Doctors Holding Pty Ltd)</t>
  </si>
  <si>
    <t>WALKER STREET DOCTORS GROUP : Walker Street Doctors Trust : 1 - IAS-MTH MAY 2025</t>
  </si>
  <si>
    <t>WALKER STREET DOCTORS GROUP : Walker Street Doctors Trust : 1 - Trust Distribution Minute 2025</t>
  </si>
  <si>
    <t>William Brennan</t>
  </si>
  <si>
    <t>WALKER STREET DOCTORS GROUP : William Brennan : 1 - ITR - Individual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</si>
</sst>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8"/>
      <name val="Arial"/>
    </font>
    <font>
      <b/>
      <sz val="11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1"/>
      <color indexed="8"/>
      <name val="Aptos"/>
      <family val="2"/>
    </font>
    <font>
      <b/>
      <sz val="11"/>
      <color indexed="8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0" fontId="4" fillId="0" borderId="0" xfId="0" applyNumberFormat="1" applyFont="1"/>
    <xf numFmtId="40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FBE3-CFD4-4801-ACA8-4D8469A869B3}">
  <sheetPr codeName="Sheet1477">
    <pageSetUpPr fitToPage="1"/>
  </sheetPr>
  <dimension ref="A1:XFD42"/>
  <sheetViews>
    <sheetView tabSelected="1" topLeftCell="D1" workbookViewId="0">
      <selection activeCell="E13" sqref="E13"/>
    </sheetView>
  </sheetViews>
  <sheetFormatPr defaultRowHeight="11.25"/>
  <cols>
    <col min="1" max="1" width="13.33203125" bestFit="1" customWidth="1"/>
    <col min="2" max="2" width="13.6640625" bestFit="1" customWidth="1"/>
    <col min="3" max="3" width="40.6640625" bestFit="1" customWidth="1"/>
    <col min="4" max="4" width="32" bestFit="1" customWidth="1"/>
    <col min="5" max="5" width="145.83203125" bestFit="1" customWidth="1"/>
    <col min="6" max="7" width="11.83203125" bestFit="1" customWidth="1"/>
    <col min="8" max="8" width="13" bestFit="1" customWidth="1"/>
    <col min="9" max="9" width="13.6640625" bestFit="1" customWidth="1"/>
    <col min="10" max="10" width="22.5" bestFit="1" customWidth="1"/>
    <col min="11" max="11" width="9" bestFit="1" customWidth="1"/>
  </cols>
  <sheetData>
    <row r="1" spans="1:11 16384:16384" ht="1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 16384:16384" s="2" customFormat="1" ht="15">
      <c r="A2" s="2">
        <v>1052865</v>
      </c>
      <c r="B2" s="3">
        <v>45716</v>
      </c>
      <c r="C2" s="2" t="s">
        <v>10</v>
      </c>
      <c r="D2" s="4" t="s">
        <v>11</v>
      </c>
      <c r="E2" s="2" t="s">
        <v>12</v>
      </c>
      <c r="F2" s="5">
        <v>600</v>
      </c>
      <c r="G2" s="5">
        <v>660</v>
      </c>
      <c r="H2" s="2" t="s">
        <v>13</v>
      </c>
      <c r="I2" s="3">
        <v>45742</v>
      </c>
      <c r="J2" s="2" t="s">
        <v>14</v>
      </c>
      <c r="K2" s="2" t="s">
        <v>15</v>
      </c>
      <c r="XFD2"/>
    </row>
    <row r="3" spans="1:11 16384:16384" s="2" customFormat="1" ht="15.75" thickBot="1">
      <c r="B3" s="3"/>
      <c r="D3" s="4"/>
      <c r="F3" s="6">
        <f t="shared" ref="F3:G3" si="0">SUM(F2)</f>
        <v>600</v>
      </c>
      <c r="G3" s="6">
        <f t="shared" si="0"/>
        <v>660</v>
      </c>
      <c r="I3" s="3"/>
      <c r="XFD3"/>
    </row>
    <row r="4" spans="1:11 16384:16384" s="2" customFormat="1" ht="15">
      <c r="B4" s="3"/>
      <c r="D4" s="4"/>
      <c r="F4" s="5"/>
      <c r="G4" s="5"/>
      <c r="I4" s="3"/>
      <c r="XFD4"/>
    </row>
    <row r="5" spans="1:11 16384:16384" s="2" customFormat="1" ht="15">
      <c r="A5" s="2">
        <v>1044843</v>
      </c>
      <c r="B5" s="3">
        <v>45565</v>
      </c>
      <c r="C5" s="2" t="s">
        <v>10</v>
      </c>
      <c r="D5" s="4" t="s">
        <v>16</v>
      </c>
      <c r="E5" s="2" t="s">
        <v>17</v>
      </c>
      <c r="F5" s="5">
        <v>550</v>
      </c>
      <c r="G5" s="5">
        <v>605</v>
      </c>
      <c r="H5" s="2" t="s">
        <v>13</v>
      </c>
      <c r="I5" s="3">
        <v>45624</v>
      </c>
      <c r="J5" s="2" t="s">
        <v>14</v>
      </c>
      <c r="K5" s="2" t="s">
        <v>15</v>
      </c>
      <c r="XFD5"/>
    </row>
    <row r="6" spans="1:11 16384:16384" s="2" customFormat="1" ht="15">
      <c r="A6" s="2">
        <v>1047073</v>
      </c>
      <c r="B6" s="3">
        <v>45602</v>
      </c>
      <c r="C6" s="2" t="s">
        <v>10</v>
      </c>
      <c r="D6" s="4" t="s">
        <v>16</v>
      </c>
      <c r="E6" s="2" t="s">
        <v>18</v>
      </c>
      <c r="F6" s="5">
        <v>1750</v>
      </c>
      <c r="G6" s="5">
        <v>1925</v>
      </c>
      <c r="H6" s="2" t="s">
        <v>13</v>
      </c>
      <c r="I6" s="3">
        <v>45672</v>
      </c>
      <c r="J6" s="2" t="s">
        <v>14</v>
      </c>
      <c r="K6" s="2" t="s">
        <v>15</v>
      </c>
      <c r="XFD6"/>
    </row>
    <row r="7" spans="1:11 16384:16384" s="2" customFormat="1" ht="15">
      <c r="A7" s="2">
        <v>1047073</v>
      </c>
      <c r="B7" s="3">
        <v>45602</v>
      </c>
      <c r="C7" s="2" t="s">
        <v>10</v>
      </c>
      <c r="D7" s="4" t="s">
        <v>16</v>
      </c>
      <c r="E7" s="2" t="s">
        <v>18</v>
      </c>
      <c r="F7" s="5">
        <v>3500</v>
      </c>
      <c r="G7" s="5">
        <v>3850</v>
      </c>
      <c r="H7" s="2" t="s">
        <v>13</v>
      </c>
      <c r="I7" s="3">
        <v>45672</v>
      </c>
      <c r="J7" s="2" t="s">
        <v>14</v>
      </c>
      <c r="K7" s="2" t="s">
        <v>15</v>
      </c>
      <c r="XFD7"/>
    </row>
    <row r="8" spans="1:11 16384:16384" s="2" customFormat="1" ht="15">
      <c r="A8" s="2">
        <v>1052866</v>
      </c>
      <c r="B8" s="3">
        <v>45716</v>
      </c>
      <c r="C8" s="2" t="s">
        <v>10</v>
      </c>
      <c r="D8" s="4" t="s">
        <v>16</v>
      </c>
      <c r="E8" s="2" t="s">
        <v>17</v>
      </c>
      <c r="F8" s="5">
        <v>550</v>
      </c>
      <c r="G8" s="5">
        <v>605</v>
      </c>
      <c r="H8" s="2" t="s">
        <v>13</v>
      </c>
      <c r="I8" s="3">
        <v>45742</v>
      </c>
      <c r="J8" s="2" t="s">
        <v>14</v>
      </c>
      <c r="K8" s="2" t="s">
        <v>15</v>
      </c>
      <c r="XFD8"/>
    </row>
    <row r="9" spans="1:11 16384:16384" s="2" customFormat="1" ht="15.75" thickBot="1">
      <c r="B9" s="3"/>
      <c r="D9" s="4"/>
      <c r="F9" s="6">
        <f t="shared" ref="F9:G9" si="1">SUM(F5:F8)</f>
        <v>6350</v>
      </c>
      <c r="G9" s="6">
        <f t="shared" si="1"/>
        <v>6985</v>
      </c>
      <c r="I9" s="3"/>
      <c r="XFD9"/>
    </row>
    <row r="10" spans="1:11 16384:16384" s="2" customFormat="1" ht="15">
      <c r="B10" s="3"/>
      <c r="D10" s="4"/>
      <c r="F10" s="5"/>
      <c r="G10" s="5"/>
      <c r="I10" s="3"/>
      <c r="XFD10"/>
    </row>
    <row r="11" spans="1:11 16384:16384" s="2" customFormat="1" ht="15">
      <c r="A11" s="2">
        <v>1058049</v>
      </c>
      <c r="B11" s="3">
        <v>45811</v>
      </c>
      <c r="C11" s="2" t="s">
        <v>10</v>
      </c>
      <c r="D11" s="4" t="s">
        <v>19</v>
      </c>
      <c r="E11" s="2" t="s">
        <v>20</v>
      </c>
      <c r="F11" s="5">
        <v>500</v>
      </c>
      <c r="G11" s="5">
        <v>550</v>
      </c>
      <c r="H11" s="2" t="s">
        <v>13</v>
      </c>
      <c r="I11" s="3">
        <v>45812</v>
      </c>
      <c r="J11" s="2" t="s">
        <v>14</v>
      </c>
      <c r="K11" s="2" t="s">
        <v>15</v>
      </c>
      <c r="XFD11"/>
    </row>
    <row r="12" spans="1:11 16384:16384" s="2" customFormat="1" ht="15.75" thickBot="1">
      <c r="B12" s="3"/>
      <c r="D12" s="4"/>
      <c r="F12" s="6">
        <f t="shared" ref="F12:G12" si="2">SUM(F11)</f>
        <v>500</v>
      </c>
      <c r="G12" s="6">
        <f t="shared" si="2"/>
        <v>550</v>
      </c>
      <c r="I12" s="3"/>
      <c r="XFD12"/>
    </row>
    <row r="13" spans="1:11 16384:16384" s="2" customFormat="1" ht="15">
      <c r="B13" s="3"/>
      <c r="D13" s="4"/>
      <c r="F13" s="5"/>
      <c r="G13" s="5"/>
      <c r="I13" s="3"/>
      <c r="XFD13"/>
    </row>
    <row r="14" spans="1:11 16384:16384" s="2" customFormat="1" ht="15">
      <c r="A14" s="2">
        <v>1041467</v>
      </c>
      <c r="B14" s="3">
        <v>45485</v>
      </c>
      <c r="C14" s="2" t="s">
        <v>10</v>
      </c>
      <c r="D14" s="4" t="s">
        <v>21</v>
      </c>
      <c r="E14" s="2" t="s">
        <v>22</v>
      </c>
      <c r="F14" s="5">
        <v>525</v>
      </c>
      <c r="G14" s="5">
        <v>577.5</v>
      </c>
      <c r="H14" s="2" t="s">
        <v>13</v>
      </c>
      <c r="I14" s="3">
        <v>45496</v>
      </c>
      <c r="J14" s="2" t="s">
        <v>14</v>
      </c>
      <c r="K14" s="2" t="s">
        <v>15</v>
      </c>
      <c r="XFD14"/>
    </row>
    <row r="15" spans="1:11 16384:16384" s="2" customFormat="1" ht="15">
      <c r="A15" s="2">
        <v>1041467</v>
      </c>
      <c r="B15" s="3">
        <v>45485</v>
      </c>
      <c r="C15" s="2" t="s">
        <v>10</v>
      </c>
      <c r="D15" s="4" t="s">
        <v>21</v>
      </c>
      <c r="E15" s="2" t="s">
        <v>23</v>
      </c>
      <c r="F15" s="5">
        <v>200</v>
      </c>
      <c r="G15" s="5">
        <v>220</v>
      </c>
      <c r="H15" s="2" t="s">
        <v>13</v>
      </c>
      <c r="I15" s="3">
        <v>45496</v>
      </c>
      <c r="J15" s="2" t="s">
        <v>14</v>
      </c>
      <c r="K15" s="2" t="s">
        <v>15</v>
      </c>
      <c r="XFD15"/>
    </row>
    <row r="16" spans="1:11 16384:16384" s="2" customFormat="1" ht="15">
      <c r="A16" s="2">
        <v>1042802</v>
      </c>
      <c r="B16" s="3">
        <v>45517</v>
      </c>
      <c r="C16" s="2" t="s">
        <v>10</v>
      </c>
      <c r="D16" s="4" t="s">
        <v>21</v>
      </c>
      <c r="E16" s="2" t="s">
        <v>24</v>
      </c>
      <c r="F16" s="5">
        <v>200</v>
      </c>
      <c r="G16" s="5">
        <v>220</v>
      </c>
      <c r="H16" s="2" t="s">
        <v>13</v>
      </c>
      <c r="I16" s="3">
        <v>45525</v>
      </c>
      <c r="J16" s="2" t="s">
        <v>14</v>
      </c>
      <c r="K16" s="2" t="s">
        <v>15</v>
      </c>
      <c r="XFD16"/>
    </row>
    <row r="17" spans="1:11 16384:16384" s="2" customFormat="1" ht="15">
      <c r="A17" s="2">
        <v>1043996</v>
      </c>
      <c r="B17" s="3">
        <v>45544</v>
      </c>
      <c r="C17" s="2" t="s">
        <v>10</v>
      </c>
      <c r="D17" s="4" t="s">
        <v>21</v>
      </c>
      <c r="E17" s="2" t="s">
        <v>25</v>
      </c>
      <c r="F17" s="5">
        <v>200</v>
      </c>
      <c r="G17" s="5">
        <v>220</v>
      </c>
      <c r="H17" s="2" t="s">
        <v>13</v>
      </c>
      <c r="I17" s="3">
        <v>45555</v>
      </c>
      <c r="J17" s="2" t="s">
        <v>14</v>
      </c>
      <c r="K17" s="2" t="s">
        <v>15</v>
      </c>
      <c r="XFD17"/>
    </row>
    <row r="18" spans="1:11 16384:16384" s="2" customFormat="1" ht="15">
      <c r="A18" s="2">
        <v>1044844</v>
      </c>
      <c r="B18" s="3">
        <v>45565</v>
      </c>
      <c r="C18" s="2" t="s">
        <v>10</v>
      </c>
      <c r="D18" s="4" t="s">
        <v>21</v>
      </c>
      <c r="E18" s="2" t="s">
        <v>26</v>
      </c>
      <c r="F18" s="5">
        <v>100</v>
      </c>
      <c r="G18" s="5">
        <v>110</v>
      </c>
      <c r="H18" s="2" t="s">
        <v>13</v>
      </c>
      <c r="I18" s="3">
        <v>45567</v>
      </c>
      <c r="J18" s="2" t="s">
        <v>14</v>
      </c>
      <c r="K18" s="2" t="s">
        <v>15</v>
      </c>
      <c r="XFD18"/>
    </row>
    <row r="19" spans="1:11 16384:16384" s="2" customFormat="1" ht="15">
      <c r="A19" s="2">
        <v>1044844</v>
      </c>
      <c r="B19" s="3">
        <v>45565</v>
      </c>
      <c r="C19" s="2" t="s">
        <v>10</v>
      </c>
      <c r="D19" s="4" t="s">
        <v>21</v>
      </c>
      <c r="E19" s="2" t="s">
        <v>27</v>
      </c>
      <c r="F19" s="5">
        <v>1600</v>
      </c>
      <c r="G19" s="5">
        <v>1760</v>
      </c>
      <c r="H19" s="2" t="s">
        <v>13</v>
      </c>
      <c r="I19" s="3">
        <v>45567</v>
      </c>
      <c r="J19" s="2" t="s">
        <v>14</v>
      </c>
      <c r="K19" s="2" t="s">
        <v>15</v>
      </c>
      <c r="XFD19"/>
    </row>
    <row r="20" spans="1:11 16384:16384" s="2" customFormat="1" ht="15">
      <c r="A20" s="2">
        <v>1046060</v>
      </c>
      <c r="B20" s="3">
        <v>45590</v>
      </c>
      <c r="C20" s="2" t="s">
        <v>10</v>
      </c>
      <c r="D20" s="4" t="s">
        <v>21</v>
      </c>
      <c r="E20" s="2" t="s">
        <v>28</v>
      </c>
      <c r="F20" s="5">
        <v>525</v>
      </c>
      <c r="G20" s="5">
        <v>577.5</v>
      </c>
      <c r="H20" s="2" t="s">
        <v>13</v>
      </c>
      <c r="I20" s="3">
        <v>45637</v>
      </c>
      <c r="J20" s="2" t="s">
        <v>14</v>
      </c>
      <c r="K20" s="2" t="s">
        <v>15</v>
      </c>
      <c r="XFD20"/>
    </row>
    <row r="21" spans="1:11 16384:16384" s="2" customFormat="1" ht="15">
      <c r="A21" s="2">
        <v>1046060</v>
      </c>
      <c r="B21" s="3">
        <v>45590</v>
      </c>
      <c r="C21" s="2" t="s">
        <v>10</v>
      </c>
      <c r="D21" s="4" t="s">
        <v>21</v>
      </c>
      <c r="E21" s="2" t="s">
        <v>26</v>
      </c>
      <c r="F21" s="5">
        <v>100</v>
      </c>
      <c r="G21" s="5">
        <v>110</v>
      </c>
      <c r="H21" s="2" t="s">
        <v>13</v>
      </c>
      <c r="I21" s="3">
        <v>45637</v>
      </c>
      <c r="J21" s="2" t="s">
        <v>14</v>
      </c>
      <c r="K21" s="2" t="s">
        <v>15</v>
      </c>
      <c r="XFD21"/>
    </row>
    <row r="22" spans="1:11 16384:16384" s="2" customFormat="1" ht="15">
      <c r="A22" s="2">
        <v>1046060</v>
      </c>
      <c r="B22" s="3">
        <v>45590</v>
      </c>
      <c r="C22" s="2" t="s">
        <v>10</v>
      </c>
      <c r="D22" s="4" t="s">
        <v>21</v>
      </c>
      <c r="E22" s="2" t="s">
        <v>29</v>
      </c>
      <c r="F22" s="5">
        <v>50</v>
      </c>
      <c r="G22" s="5">
        <v>55</v>
      </c>
      <c r="H22" s="2" t="s">
        <v>13</v>
      </c>
      <c r="I22" s="3">
        <v>45637</v>
      </c>
      <c r="J22" s="2" t="s">
        <v>14</v>
      </c>
      <c r="K22" s="2" t="s">
        <v>15</v>
      </c>
      <c r="XFD22"/>
    </row>
    <row r="23" spans="1:11 16384:16384" s="2" customFormat="1" ht="15">
      <c r="A23" s="2">
        <v>1047146</v>
      </c>
      <c r="B23" s="3">
        <v>45603</v>
      </c>
      <c r="C23" s="2" t="s">
        <v>10</v>
      </c>
      <c r="D23" s="4" t="s">
        <v>21</v>
      </c>
      <c r="E23" s="2" t="s">
        <v>30</v>
      </c>
      <c r="F23" s="5">
        <v>200</v>
      </c>
      <c r="G23" s="5">
        <v>220</v>
      </c>
      <c r="H23" s="2" t="s">
        <v>13</v>
      </c>
      <c r="I23" s="3">
        <v>45637</v>
      </c>
      <c r="J23" s="2" t="s">
        <v>14</v>
      </c>
      <c r="K23" s="2" t="s">
        <v>15</v>
      </c>
      <c r="XFD23"/>
    </row>
    <row r="24" spans="1:11 16384:16384" s="2" customFormat="1" ht="15">
      <c r="A24" s="2">
        <v>1048911</v>
      </c>
      <c r="B24" s="3">
        <v>45636</v>
      </c>
      <c r="C24" s="2" t="s">
        <v>10</v>
      </c>
      <c r="D24" s="4" t="s">
        <v>21</v>
      </c>
      <c r="E24" s="2" t="s">
        <v>29</v>
      </c>
      <c r="F24" s="5">
        <v>50</v>
      </c>
      <c r="G24" s="5">
        <v>55</v>
      </c>
      <c r="H24" s="2" t="s">
        <v>13</v>
      </c>
      <c r="I24" s="3">
        <v>45637</v>
      </c>
      <c r="J24" s="2" t="s">
        <v>14</v>
      </c>
      <c r="K24" s="2" t="s">
        <v>15</v>
      </c>
      <c r="XFD24"/>
    </row>
    <row r="25" spans="1:11 16384:16384" s="2" customFormat="1" ht="15">
      <c r="A25" s="2">
        <v>1048911</v>
      </c>
      <c r="B25" s="3">
        <v>45636</v>
      </c>
      <c r="C25" s="2" t="s">
        <v>10</v>
      </c>
      <c r="D25" s="4" t="s">
        <v>21</v>
      </c>
      <c r="E25" s="2" t="s">
        <v>31</v>
      </c>
      <c r="F25" s="5">
        <v>200</v>
      </c>
      <c r="G25" s="5">
        <v>220</v>
      </c>
      <c r="H25" s="2" t="s">
        <v>13</v>
      </c>
      <c r="I25" s="3">
        <v>45637</v>
      </c>
      <c r="J25" s="2" t="s">
        <v>14</v>
      </c>
      <c r="K25" s="2" t="s">
        <v>15</v>
      </c>
      <c r="XFD25"/>
    </row>
    <row r="26" spans="1:11 16384:16384" s="2" customFormat="1" ht="15">
      <c r="A26" s="2">
        <v>1051492</v>
      </c>
      <c r="B26" s="3">
        <v>45693</v>
      </c>
      <c r="C26" s="2" t="s">
        <v>10</v>
      </c>
      <c r="D26" s="4" t="s">
        <v>21</v>
      </c>
      <c r="E26" s="2" t="s">
        <v>32</v>
      </c>
      <c r="F26" s="5">
        <v>525</v>
      </c>
      <c r="G26" s="5">
        <v>577.5</v>
      </c>
      <c r="H26" s="2" t="s">
        <v>13</v>
      </c>
      <c r="I26" s="3">
        <v>45699</v>
      </c>
      <c r="J26" s="2" t="s">
        <v>14</v>
      </c>
      <c r="K26" s="2" t="s">
        <v>15</v>
      </c>
      <c r="XFD26"/>
    </row>
    <row r="27" spans="1:11 16384:16384" s="2" customFormat="1" ht="15">
      <c r="A27" s="2">
        <v>1051492</v>
      </c>
      <c r="B27" s="3">
        <v>45693</v>
      </c>
      <c r="C27" s="2" t="s">
        <v>10</v>
      </c>
      <c r="D27" s="4" t="s">
        <v>21</v>
      </c>
      <c r="E27" s="2" t="s">
        <v>33</v>
      </c>
      <c r="F27" s="5">
        <v>200</v>
      </c>
      <c r="G27" s="5">
        <v>220</v>
      </c>
      <c r="H27" s="2" t="s">
        <v>13</v>
      </c>
      <c r="I27" s="3">
        <v>45699</v>
      </c>
      <c r="J27" s="2" t="s">
        <v>14</v>
      </c>
      <c r="K27" s="2" t="s">
        <v>15</v>
      </c>
      <c r="XFD27"/>
    </row>
    <row r="28" spans="1:11 16384:16384" s="2" customFormat="1" ht="15">
      <c r="A28" s="2">
        <v>1052867</v>
      </c>
      <c r="B28" s="3">
        <v>45716</v>
      </c>
      <c r="C28" s="2" t="s">
        <v>10</v>
      </c>
      <c r="D28" s="4" t="s">
        <v>21</v>
      </c>
      <c r="E28" s="2" t="s">
        <v>27</v>
      </c>
      <c r="F28" s="5">
        <v>1600</v>
      </c>
      <c r="G28" s="5">
        <v>1760</v>
      </c>
      <c r="H28" s="2" t="s">
        <v>13</v>
      </c>
      <c r="I28" s="3">
        <v>45742</v>
      </c>
      <c r="J28" s="2" t="s">
        <v>14</v>
      </c>
      <c r="K28" s="2" t="s">
        <v>15</v>
      </c>
      <c r="XFD28"/>
    </row>
    <row r="29" spans="1:11 16384:16384" s="2" customFormat="1" ht="15">
      <c r="A29" s="2">
        <v>1052867</v>
      </c>
      <c r="B29" s="3">
        <v>45716</v>
      </c>
      <c r="C29" s="2" t="s">
        <v>10</v>
      </c>
      <c r="D29" s="4" t="s">
        <v>21</v>
      </c>
      <c r="E29" s="2" t="s">
        <v>34</v>
      </c>
      <c r="F29" s="5">
        <v>300</v>
      </c>
      <c r="G29" s="5">
        <v>330</v>
      </c>
      <c r="H29" s="2" t="s">
        <v>13</v>
      </c>
      <c r="I29" s="3">
        <v>45742</v>
      </c>
      <c r="J29" s="2" t="s">
        <v>14</v>
      </c>
      <c r="K29" s="2" t="s">
        <v>15</v>
      </c>
      <c r="XFD29"/>
    </row>
    <row r="30" spans="1:11 16384:16384" s="2" customFormat="1" ht="15">
      <c r="A30" s="2">
        <v>1053104</v>
      </c>
      <c r="B30" s="3">
        <v>45726</v>
      </c>
      <c r="C30" s="2" t="s">
        <v>10</v>
      </c>
      <c r="D30" s="4" t="s">
        <v>21</v>
      </c>
      <c r="E30" s="2" t="s">
        <v>35</v>
      </c>
      <c r="F30" s="5">
        <v>200</v>
      </c>
      <c r="G30" s="5">
        <v>220</v>
      </c>
      <c r="H30" s="2" t="s">
        <v>13</v>
      </c>
      <c r="I30" s="3">
        <v>45749</v>
      </c>
      <c r="J30" s="2" t="s">
        <v>14</v>
      </c>
      <c r="K30" s="2" t="s">
        <v>15</v>
      </c>
      <c r="XFD30"/>
    </row>
    <row r="31" spans="1:11 16384:16384" s="2" customFormat="1" ht="15">
      <c r="A31" s="2">
        <v>1055292</v>
      </c>
      <c r="B31" s="3">
        <v>45763</v>
      </c>
      <c r="C31" s="2" t="s">
        <v>10</v>
      </c>
      <c r="D31" s="4" t="s">
        <v>21</v>
      </c>
      <c r="E31" s="2" t="s">
        <v>36</v>
      </c>
      <c r="F31" s="5">
        <v>330</v>
      </c>
      <c r="G31" s="5">
        <v>363</v>
      </c>
      <c r="H31" s="2" t="s">
        <v>13</v>
      </c>
      <c r="I31" s="3">
        <v>45770</v>
      </c>
      <c r="J31" s="2" t="s">
        <v>14</v>
      </c>
      <c r="K31" s="2" t="s">
        <v>15</v>
      </c>
      <c r="XFD31"/>
    </row>
    <row r="32" spans="1:11 16384:16384" s="2" customFormat="1" ht="15">
      <c r="A32" s="2">
        <v>1055292</v>
      </c>
      <c r="B32" s="3">
        <v>45763</v>
      </c>
      <c r="C32" s="2" t="s">
        <v>10</v>
      </c>
      <c r="D32" s="4" t="s">
        <v>21</v>
      </c>
      <c r="E32" s="2" t="s">
        <v>37</v>
      </c>
      <c r="F32" s="5">
        <v>525</v>
      </c>
      <c r="G32" s="5">
        <v>577.5</v>
      </c>
      <c r="H32" s="2" t="s">
        <v>13</v>
      </c>
      <c r="I32" s="3">
        <v>45770</v>
      </c>
      <c r="J32" s="2" t="s">
        <v>14</v>
      </c>
      <c r="K32" s="2" t="s">
        <v>15</v>
      </c>
      <c r="XFD32"/>
    </row>
    <row r="33" spans="1:11 16384:16384" s="2" customFormat="1" ht="15">
      <c r="A33" s="2">
        <v>1056462</v>
      </c>
      <c r="B33" s="3">
        <v>45785</v>
      </c>
      <c r="C33" s="2" t="s">
        <v>10</v>
      </c>
      <c r="D33" s="4" t="s">
        <v>21</v>
      </c>
      <c r="E33" s="2" t="s">
        <v>38</v>
      </c>
      <c r="F33" s="5">
        <v>200</v>
      </c>
      <c r="G33" s="5">
        <v>220</v>
      </c>
      <c r="H33" s="2" t="s">
        <v>13</v>
      </c>
      <c r="I33" s="3">
        <v>45785</v>
      </c>
      <c r="J33" s="2" t="s">
        <v>14</v>
      </c>
      <c r="K33" s="2" t="s">
        <v>15</v>
      </c>
      <c r="XFD33"/>
    </row>
    <row r="34" spans="1:11 16384:16384" s="2" customFormat="1" ht="15">
      <c r="A34" s="2">
        <v>1056462</v>
      </c>
      <c r="B34" s="3">
        <v>45785</v>
      </c>
      <c r="C34" s="2" t="s">
        <v>10</v>
      </c>
      <c r="D34" s="4" t="s">
        <v>21</v>
      </c>
      <c r="E34" s="2" t="s">
        <v>39</v>
      </c>
      <c r="F34" s="5">
        <v>150</v>
      </c>
      <c r="G34" s="5">
        <v>165</v>
      </c>
      <c r="H34" s="2" t="s">
        <v>13</v>
      </c>
      <c r="I34" s="3">
        <v>45785</v>
      </c>
      <c r="J34" s="2" t="s">
        <v>14</v>
      </c>
      <c r="K34" s="2" t="s">
        <v>15</v>
      </c>
      <c r="XFD34"/>
    </row>
    <row r="35" spans="1:11 16384:16384" s="2" customFormat="1" ht="15">
      <c r="A35" s="2">
        <v>1056969</v>
      </c>
      <c r="B35" s="3">
        <v>45796</v>
      </c>
      <c r="C35" s="2" t="s">
        <v>10</v>
      </c>
      <c r="D35" s="4" t="s">
        <v>21</v>
      </c>
      <c r="E35" s="2" t="s">
        <v>40</v>
      </c>
      <c r="F35" s="5">
        <v>1750</v>
      </c>
      <c r="G35" s="5">
        <v>1925</v>
      </c>
      <c r="H35" s="2" t="s">
        <v>13</v>
      </c>
      <c r="I35" s="3">
        <v>45804</v>
      </c>
      <c r="J35" s="2" t="s">
        <v>14</v>
      </c>
      <c r="K35" s="2" t="s">
        <v>15</v>
      </c>
      <c r="XFD35"/>
    </row>
    <row r="36" spans="1:11 16384:16384" s="2" customFormat="1" ht="15">
      <c r="A36" s="2">
        <v>1058177</v>
      </c>
      <c r="B36" s="3">
        <v>45814</v>
      </c>
      <c r="C36" s="2" t="s">
        <v>10</v>
      </c>
      <c r="D36" s="4" t="s">
        <v>21</v>
      </c>
      <c r="E36" s="2" t="s">
        <v>41</v>
      </c>
      <c r="F36" s="5">
        <v>200</v>
      </c>
      <c r="G36" s="5">
        <v>220</v>
      </c>
      <c r="H36" s="2" t="s">
        <v>13</v>
      </c>
      <c r="I36" s="3">
        <v>45819</v>
      </c>
      <c r="J36" s="2" t="s">
        <v>14</v>
      </c>
      <c r="K36" s="2" t="s">
        <v>15</v>
      </c>
      <c r="XFD36"/>
    </row>
    <row r="37" spans="1:11 16384:16384" s="2" customFormat="1" ht="15">
      <c r="A37" s="2">
        <v>1058177</v>
      </c>
      <c r="B37" s="3">
        <v>45814</v>
      </c>
      <c r="C37" s="2" t="s">
        <v>10</v>
      </c>
      <c r="D37" s="4" t="s">
        <v>21</v>
      </c>
      <c r="E37" s="2" t="s">
        <v>42</v>
      </c>
      <c r="F37" s="5">
        <v>300</v>
      </c>
      <c r="G37" s="5">
        <v>330</v>
      </c>
      <c r="H37" s="2" t="s">
        <v>13</v>
      </c>
      <c r="I37" s="3">
        <v>45819</v>
      </c>
      <c r="J37" s="2" t="s">
        <v>14</v>
      </c>
      <c r="K37" s="2" t="s">
        <v>15</v>
      </c>
      <c r="XFD37"/>
    </row>
    <row r="38" spans="1:11 16384:16384" s="2" customFormat="1" ht="15">
      <c r="A38" s="2">
        <v>1058436</v>
      </c>
      <c r="B38" s="3">
        <v>45826</v>
      </c>
      <c r="C38" s="2" t="s">
        <v>10</v>
      </c>
      <c r="D38" s="4" t="s">
        <v>21</v>
      </c>
      <c r="E38" s="2" t="s">
        <v>38</v>
      </c>
      <c r="F38" s="5">
        <v>200</v>
      </c>
      <c r="G38" s="5">
        <v>220</v>
      </c>
      <c r="H38" s="2" t="s">
        <v>13</v>
      </c>
      <c r="I38" s="3">
        <v>45827</v>
      </c>
      <c r="J38" s="2" t="s">
        <v>14</v>
      </c>
      <c r="K38" s="2" t="s">
        <v>15</v>
      </c>
      <c r="XFD38"/>
    </row>
    <row r="39" spans="1:11 16384:16384" s="2" customFormat="1" ht="15.75" thickBot="1">
      <c r="B39" s="3"/>
      <c r="D39" s="4"/>
      <c r="F39" s="6">
        <f t="shared" ref="F39:G39" si="3">SUM(F14:F38)</f>
        <v>10430</v>
      </c>
      <c r="G39" s="6">
        <f t="shared" si="3"/>
        <v>11473</v>
      </c>
      <c r="I39" s="3"/>
      <c r="XFD39"/>
    </row>
    <row r="40" spans="1:11 16384:16384" s="2" customFormat="1" ht="15">
      <c r="B40" s="3"/>
      <c r="D40" s="4"/>
      <c r="F40" s="5"/>
      <c r="G40" s="5"/>
      <c r="I40" s="3"/>
      <c r="XFD40"/>
    </row>
    <row r="41" spans="1:11 16384:16384" s="2" customFormat="1" ht="15">
      <c r="A41" s="2">
        <v>1052868</v>
      </c>
      <c r="B41" s="3">
        <v>45716</v>
      </c>
      <c r="C41" s="2" t="s">
        <v>10</v>
      </c>
      <c r="D41" s="4" t="s">
        <v>43</v>
      </c>
      <c r="E41" s="2" t="s">
        <v>44</v>
      </c>
      <c r="F41" s="5">
        <v>500</v>
      </c>
      <c r="G41" s="5">
        <v>550</v>
      </c>
      <c r="H41" s="2" t="s">
        <v>13</v>
      </c>
      <c r="I41" s="3">
        <v>45742</v>
      </c>
      <c r="J41" s="2" t="s">
        <v>14</v>
      </c>
      <c r="K41" s="2" t="s">
        <v>15</v>
      </c>
      <c r="XFD41"/>
    </row>
    <row r="42" spans="1:11 16384:16384" ht="15.75" thickBot="1">
      <c r="F42" s="6">
        <f t="shared" ref="F42:G42" si="4">SUM(F41)</f>
        <v>500</v>
      </c>
      <c r="G42" s="6">
        <f t="shared" si="4"/>
        <v>550</v>
      </c>
    </row>
  </sheetData>
  <pageMargins left="0.7" right="0.7" top="0.75" bottom="0.75" header="0.3" footer="0.3"/>
  <pageSetup paperSize="8" scale="7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fcb88695-9072-4150-87cf-e0c2ac746481" ContentTypeId="0x01010099D1535282D58B448C52F8BBFD6C353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99D1535282D58B448C52F8BBFD6C353A0099A2DCB9233B9B4BA2A4295DE91ED9F9" ma:contentTypeVersion="48" ma:contentTypeDescription="" ma:contentTypeScope="" ma:versionID="2716efc13fc2c5bb703131cfe5fdc586">
  <xsd:schema xmlns:xsd="http://www.w3.org/2001/XMLSchema" xmlns:xs="http://www.w3.org/2001/XMLSchema" xmlns:p="http://schemas.microsoft.com/office/2006/metadata/properties" xmlns:ns2="d1a8defd-7f98-45c6-a06e-bd5a2408ed45" xmlns:ns3="e307ab62-b213-47db-91ae-e6c3b5420c89" xmlns:ns4="http://schemas.microsoft.com/sharepoint/v3/fields" targetNamespace="http://schemas.microsoft.com/office/2006/metadata/properties" ma:root="true" ma:fieldsID="b177f7a9ed56cf6c2fd5f718c8ea8069" ns2:_="" ns3:_="" ns4:_="">
    <xsd:import namespace="d1a8defd-7f98-45c6-a06e-bd5a2408ed45"/>
    <xsd:import namespace="e307ab62-b213-47db-91ae-e6c3b5420c8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QTR_x002f_Mth" minOccurs="0"/>
                <xsd:element ref="ns2:i723afb83a5543d79320225e8bb9e23f" minOccurs="0"/>
                <xsd:element ref="ns2:TaxCatchAll" minOccurs="0"/>
                <xsd:element ref="ns2:TaxCatchAllLabel" minOccurs="0"/>
                <xsd:element ref="ns2:aa1991d6a34041109ec976afc7ca601d" minOccurs="0"/>
                <xsd:element ref="ns3:_dlc_DocId" minOccurs="0"/>
                <xsd:element ref="ns3:_dlc_DocIdUrl" minOccurs="0"/>
                <xsd:element ref="ns3:_dlc_DocIdPersistId" minOccurs="0"/>
                <xsd:element ref="ns4:EmID" minOccurs="0"/>
                <xsd:element ref="ns4:EmCon" minOccurs="0"/>
                <xsd:element ref="ns4:EmConversationID" minOccurs="0"/>
                <xsd:element ref="ns4:EmConversationIndex" minOccurs="0"/>
                <xsd:element ref="ns2:Client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efd-7f98-45c6-a06e-bd5a2408ed45" elementFormDefault="qualified">
    <xsd:import namespace="http://schemas.microsoft.com/office/2006/documentManagement/types"/>
    <xsd:import namespace="http://schemas.microsoft.com/office/infopath/2007/PartnerControls"/>
    <xsd:element name="QTR_x002f_Mth" ma:index="4" nillable="true" ma:displayName="QTR/Mth" ma:format="Dropdown" ma:indexed="true" ma:internalName="QTR_x002F_Mth">
      <xsd:simpleType>
        <xsd:restriction base="dms:Choice">
          <xsd:enumeration value="Q1: Jul - Sep"/>
          <xsd:enumeration value="Q2: Oct - Dec"/>
          <xsd:enumeration value="Q3: Jan - Mar"/>
          <xsd:enumeration value="Q4: Apr - Jun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  <xsd:enumeration value="January"/>
          <xsd:enumeration value="February"/>
          <xsd:enumeration value="March"/>
          <xsd:enumeration value="April"/>
          <xsd:enumeration value="May"/>
          <xsd:enumeration value="June"/>
        </xsd:restriction>
      </xsd:simpleType>
    </xsd:element>
    <xsd:element name="i723afb83a5543d79320225e8bb9e23f" ma:index="7" ma:taxonomy="true" ma:internalName="i723afb83a5543d79320225e8bb9e23f" ma:taxonomyFieldName="Document_x0020_Year" ma:displayName="Document Year" ma:indexed="true" ma:default="" ma:fieldId="{2723afb8-3a55-43d7-9320-225e8bb9e23f}" ma:sspId="fcb88695-9072-4150-87cf-e0c2ac746481" ma:termSetId="ae80a3a8-6d91-41b4-92e6-19a2d95fc1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8c1bf72b-f38d-4786-a143-305ba5c900fe}" ma:internalName="TaxCatchAll" ma:showField="CatchAllData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c1bf72b-f38d-4786-a143-305ba5c900fe}" ma:internalName="TaxCatchAllLabel" ma:readOnly="true" ma:showField="CatchAllDataLabel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a1991d6a34041109ec976afc7ca601d" ma:index="11" ma:taxonomy="true" ma:internalName="aa1991d6a34041109ec976afc7ca601d" ma:taxonomyFieldName="DocTag" ma:displayName="Doc Tags" ma:default="" ma:fieldId="{aa1991d6-a340-4110-9ec9-76afc7ca601d}" ma:taxonomyMulti="true" ma:sspId="fcb88695-9072-4150-87cf-e0c2ac746481" ma:termSetId="260756e5-ad6f-45ed-9b6d-720e06e1b2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ent_x0020_Status" ma:index="22" nillable="true" ma:displayName="Client Status" ma:default="" ma:hidden="true" ma:internalName="Client_x0020_Statu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7ab62-b213-47db-91ae-e6c3b5420c89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EmID" ma:index="18" nillable="true" ma:displayName="Email ID" ma:hidden="true" ma:internalName="EmID" ma:readOnly="false">
      <xsd:simpleType>
        <xsd:restriction base="dms:Text">
          <xsd:maxLength value="255"/>
        </xsd:restriction>
      </xsd:simpleType>
    </xsd:element>
    <xsd:element name="EmCon" ma:index="19" nillable="true" ma:displayName="Email Conversation" ma:hidden="true" ma:indexed="true" ma:internalName="EmCon" ma:readOnly="false">
      <xsd:simpleType>
        <xsd:restriction base="dms:Text">
          <xsd:maxLength value="255"/>
        </xsd:restriction>
      </xsd:simpleType>
    </xsd:element>
    <xsd:element name="EmConversationID" ma:index="20" nillable="true" ma:displayName="Email Conversation ID" ma:hidden="true" ma:internalName="EmConversationID" ma:readOnly="false">
      <xsd:simpleType>
        <xsd:restriction base="dms:Note"/>
      </xsd:simpleType>
    </xsd:element>
    <xsd:element name="EmConversationIndex" ma:index="21" nillable="true" ma:displayName="Email Conversation Index" ma:hidden="true" ma:internalName="EmConversationIndex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ID xmlns="http://schemas.microsoft.com/sharepoint/v3/fields" xsi:nil="true"/>
    <EmCon xmlns="http://schemas.microsoft.com/sharepoint/v3/fields" xsi:nil="true"/>
    <Client_x0020_Status xmlns="d1a8defd-7f98-45c6-a06e-bd5a2408ed45" xsi:nil="true"/>
    <TaxCatchAll xmlns="d1a8defd-7f98-45c6-a06e-bd5a2408ed45">
      <Value>6</Value>
      <Value>151</Value>
      <Value>37</Value>
      <Value>35</Value>
    </TaxCatchAll>
    <i723afb83a5543d79320225e8bb9e23f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2025</TermName>
          <TermId xmlns="http://schemas.microsoft.com/office/infopath/2007/PartnerControls">f8612497-d5ec-43c7-b65b-ec3ad02dad4a</TermId>
        </TermInfo>
      </Terms>
    </i723afb83a5543d79320225e8bb9e23f>
    <aa1991d6a34041109ec976afc7ca601d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Annual Accounts</TermName>
          <TermId xmlns="http://schemas.microsoft.com/office/infopath/2007/PartnerControls">b65a7996-0458-49d3-bec8-93c7b77505c7</TermId>
        </TermInfo>
        <TermInfo xmlns="http://schemas.microsoft.com/office/infopath/2007/PartnerControls">
          <TermName xmlns="http://schemas.microsoft.com/office/infopath/2007/PartnerControls">Income Tax</TermName>
          <TermId xmlns="http://schemas.microsoft.com/office/infopath/2007/PartnerControls">a6144964-276e-444d-86b1-57dad2b6089b</TermId>
        </TermInfo>
        <TermInfo xmlns="http://schemas.microsoft.com/office/infopath/2007/PartnerControls">
          <TermName xmlns="http://schemas.microsoft.com/office/infopath/2007/PartnerControls">Source Docs</TermName>
          <TermId xmlns="http://schemas.microsoft.com/office/infopath/2007/PartnerControls">cf27afb7-ba92-432b-acc9-4f7bf292ffb1</TermId>
        </TermInfo>
      </Terms>
    </aa1991d6a34041109ec976afc7ca601d>
    <EmConversationID xmlns="http://schemas.microsoft.com/sharepoint/v3/fields" xsi:nil="true"/>
    <QTR_x002f_Mth xmlns="d1a8defd-7f98-45c6-a06e-bd5a2408ed45" xsi:nil="true"/>
    <EmConversationIndex xmlns="http://schemas.microsoft.com/sharepoint/v3/fields" xsi:nil="true"/>
    <_dlc_DocId xmlns="e307ab62-b213-47db-91ae-e6c3b5420c89">CLIENTVERSE-104294103-2426581</_dlc_DocId>
    <_dlc_DocIdUrl xmlns="e307ab62-b213-47db-91ae-e6c3b5420c89">
      <Url>https://altusfinancials.sharepoint.com/sites/ClientVerseDocumentHub/_layouts/15/DocIdRedir.aspx?ID=CLIENTVERSE-104294103-2426581</Url>
      <Description>CLIENTVERSE-104294103-2426581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68E6EE1-D6E8-4BB7-A6E2-BA6ECB6C6806}"/>
</file>

<file path=customXml/itemProps2.xml><?xml version="1.0" encoding="utf-8"?>
<ds:datastoreItem xmlns:ds="http://schemas.openxmlformats.org/officeDocument/2006/customXml" ds:itemID="{8E439802-59FF-4BFA-A600-89740483F5D9}"/>
</file>

<file path=customXml/itemProps3.xml><?xml version="1.0" encoding="utf-8"?>
<ds:datastoreItem xmlns:ds="http://schemas.openxmlformats.org/officeDocument/2006/customXml" ds:itemID="{3B78E694-F049-4940-9264-2DEBE95325C7}"/>
</file>

<file path=customXml/itemProps4.xml><?xml version="1.0" encoding="utf-8"?>
<ds:datastoreItem xmlns:ds="http://schemas.openxmlformats.org/officeDocument/2006/customXml" ds:itemID="{AF807168-22AE-4474-8B41-B465A09795B5}"/>
</file>

<file path=customXml/itemProps5.xml><?xml version="1.0" encoding="utf-8"?>
<ds:datastoreItem xmlns:ds="http://schemas.openxmlformats.org/officeDocument/2006/customXml" ds:itemID="{7AEA496C-3A18-4378-AEBD-8B6E3DD09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Zaharia</dc:creator>
  <cp:keywords/>
  <dc:description/>
  <cp:lastModifiedBy>Saurav Bansal</cp:lastModifiedBy>
  <cp:revision/>
  <dcterms:created xsi:type="dcterms:W3CDTF">2025-08-04T23:16:54Z</dcterms:created>
  <dcterms:modified xsi:type="dcterms:W3CDTF">2025-12-03T02:37:45Z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0x01010099D1535282D58B448C52F8BBFD6C353A0099A2DCB9233B9B4BA2A4295DE91ED9F9</vt:lpwstr>
  </property>
  <property fmtid="{D5CDD505-2E9C-101B-9397-08002B2CF9AE}" pid="3" name="Client Company Name">
    <vt:lpwstr>Walker Street Doctors Trust</vt:lpwstr>
  </property>
  <property fmtid="{D5CDD505-2E9C-101B-9397-08002B2CF9AE}" pid="4" name="_dlc_DocIdItemGuid">
    <vt:lpwstr>f9c2456b-7b8d-47ef-b096-34bfa3dbd6c1</vt:lpwstr>
  </property>
  <property fmtid="{D5CDD505-2E9C-101B-9397-08002B2CF9AE}" pid="5" name="Document_x0020_Year">
    <vt:lpwstr>37;#2025|f8612497-d5ec-43c7-b65b-ec3ad02dad4a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DocTag">
    <vt:lpwstr>6;#Annual Accounts|b65a7996-0458-49d3-bec8-93c7b77505c7;#35;#Income Tax|a6144964-276e-444d-86b1-57dad2b6089b;#151;#Source Docs|cf27afb7-ba92-432b-acc9-4f7bf292ffb1</vt:lpwstr>
  </property>
  <property fmtid="{D5CDD505-2E9C-101B-9397-08002B2CF9AE}" pid="9" name="Document Year">
    <vt:lpwstr>37;#2025|f8612497-d5ec-43c7-b65b-ec3ad02dad4a</vt:lpwstr>
  </property>
</Properties>
</file>