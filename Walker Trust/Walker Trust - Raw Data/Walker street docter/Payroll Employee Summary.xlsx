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altus-fs03\users\Amanpreet.Kaur\Downloads\"/>
    </mc:Choice>
  </mc:AlternateContent>
  <xr:revisionPtr revIDLastSave="0" documentId="8_{260AF2F0-BC36-49C7-AE21-5E18057EF8FF}" xr6:coauthVersionLast="47" xr6:coauthVersionMax="47" xr10:uidLastSave="{00000000-0000-0000-0000-000000000000}"/>
  <bookViews>
    <workbookView xWindow="21480" yWindow="-120" windowWidth="20640" windowHeight="11160" xr2:uid="{00000000-000D-0000-FFFF-FFFF00000000}"/>
  </bookViews>
  <sheets>
    <sheet name="Payroll Employee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H24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6" i="1"/>
  <c r="G24" i="1"/>
  <c r="F24" i="1"/>
  <c r="E24" i="1"/>
  <c r="D24" i="1"/>
  <c r="C24" i="1"/>
  <c r="B24" i="1"/>
</calcChain>
</file>

<file path=xl/sharedStrings.xml><?xml version="1.0" encoding="utf-8"?>
<sst xmlns="http://schemas.openxmlformats.org/spreadsheetml/2006/main" count="31" uniqueCount="31">
  <si>
    <t>Payroll Employee Summary</t>
  </si>
  <si>
    <t>Walker Street Doctors Trust</t>
  </si>
  <si>
    <t>For the period 1 July 2024 to 30 June 2025</t>
  </si>
  <si>
    <t>Employee</t>
  </si>
  <si>
    <t>Earnings</t>
  </si>
  <si>
    <t>Deductions</t>
  </si>
  <si>
    <t>Tax</t>
  </si>
  <si>
    <t>Super</t>
  </si>
  <si>
    <t>Net Pay</t>
  </si>
  <si>
    <t>Reimb.</t>
  </si>
  <si>
    <t>Abigail Gillman</t>
  </si>
  <si>
    <t>Anouk Wickham</t>
  </si>
  <si>
    <t>Danielle Grady</t>
  </si>
  <si>
    <t>Edward Brennan</t>
  </si>
  <si>
    <t>Elizabeth Moore</t>
  </si>
  <si>
    <t>Emma Spark</t>
  </si>
  <si>
    <t>Gabrielle Weine</t>
  </si>
  <si>
    <t>Imogen Powell</t>
  </si>
  <si>
    <t>Imogen Rankin</t>
  </si>
  <si>
    <t>Jennifer Lam</t>
  </si>
  <si>
    <t>Jessica Rankin</t>
  </si>
  <si>
    <t>Kulathevy Tewari</t>
  </si>
  <si>
    <t>Lyca Richardson</t>
  </si>
  <si>
    <t>Michela Sorensen</t>
  </si>
  <si>
    <t>Sapana Budhathoki</t>
  </si>
  <si>
    <t>Simone Dombroski</t>
  </si>
  <si>
    <t>Sophie Cuff</t>
  </si>
  <si>
    <t>William Brennan</t>
  </si>
  <si>
    <t>Total</t>
  </si>
  <si>
    <t>Super 11.50%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</si>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</sst>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;\(#,##0.00\)"/>
  </numFmts>
  <fonts count="10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8" fillId="0" borderId="0" xfId="0" applyFont="1"/>
    <xf numFmtId="43" fontId="0" fillId="0" borderId="0" xfId="1" applyFont="1"/>
    <xf numFmtId="43" fontId="0" fillId="0" borderId="0" xfId="0" applyNumberFormat="1"/>
    <xf numFmtId="43" fontId="9" fillId="0" borderId="0" xfId="0" applyNumberFormat="1" applyFont="1"/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4"/>
  <sheetViews>
    <sheetView showGridLines="0" tabSelected="1" zoomScaleNormal="100" workbookViewId="0">
      <selection activeCell="K10" sqref="K10"/>
    </sheetView>
  </sheetViews>
  <sheetFormatPr defaultRowHeight="12" x14ac:dyDescent="0.2"/>
  <cols>
    <col min="1" max="1" width="18.42578125" customWidth="1"/>
    <col min="2" max="2" width="10.85546875" customWidth="1"/>
    <col min="3" max="3" width="13" customWidth="1"/>
    <col min="4" max="4" width="10.140625" customWidth="1"/>
    <col min="5" max="5" width="9" customWidth="1"/>
    <col min="6" max="6" width="10.140625" customWidth="1"/>
    <col min="7" max="7" width="8.85546875" customWidth="1"/>
    <col min="8" max="8" width="14.7109375" bestFit="1" customWidth="1"/>
  </cols>
  <sheetData>
    <row r="1" spans="1:9" s="1" customFormat="1" ht="16.7" customHeight="1" x14ac:dyDescent="0.25">
      <c r="A1" s="2" t="s">
        <v>0</v>
      </c>
      <c r="B1" s="2"/>
      <c r="C1" s="2"/>
      <c r="D1" s="2"/>
      <c r="E1" s="2"/>
      <c r="F1" s="2"/>
      <c r="G1" s="2"/>
    </row>
    <row r="2" spans="1:9" s="3" customFormat="1" ht="14.45" customHeight="1" x14ac:dyDescent="0.2">
      <c r="A2" s="4" t="s">
        <v>1</v>
      </c>
      <c r="B2" s="4"/>
      <c r="C2" s="4"/>
      <c r="D2" s="4"/>
      <c r="E2" s="4"/>
      <c r="F2" s="4"/>
      <c r="G2" s="4"/>
    </row>
    <row r="3" spans="1:9" s="3" customFormat="1" ht="14.45" customHeight="1" x14ac:dyDescent="0.2">
      <c r="A3" s="4" t="s">
        <v>2</v>
      </c>
      <c r="B3" s="4"/>
      <c r="C3" s="4"/>
      <c r="D3" s="4"/>
      <c r="E3" s="4"/>
      <c r="F3" s="4"/>
      <c r="G3" s="4"/>
    </row>
    <row r="4" spans="1:9" ht="13.35" customHeight="1" x14ac:dyDescent="0.2"/>
    <row r="5" spans="1:9" s="5" customFormat="1" ht="12.2" customHeight="1" x14ac:dyDescent="0.2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14" t="s">
        <v>29</v>
      </c>
      <c r="I5" s="14" t="s">
        <v>30</v>
      </c>
    </row>
    <row r="6" spans="1:9" ht="10.9" customHeight="1" x14ac:dyDescent="0.2">
      <c r="A6" s="8" t="s">
        <v>10</v>
      </c>
      <c r="B6" s="9">
        <v>12480.88</v>
      </c>
      <c r="C6" s="9">
        <v>0</v>
      </c>
      <c r="D6" s="9">
        <v>790</v>
      </c>
      <c r="E6" s="9">
        <v>1344.45</v>
      </c>
      <c r="F6" s="9">
        <v>11690.88</v>
      </c>
      <c r="G6" s="9">
        <v>0</v>
      </c>
      <c r="H6" s="15">
        <f>B6*11.5%</f>
        <v>1435.3011999999999</v>
      </c>
      <c r="I6" s="16">
        <f>E6-H6</f>
        <v>-90.851199999999835</v>
      </c>
    </row>
    <row r="7" spans="1:9" ht="10.9" customHeight="1" x14ac:dyDescent="0.2">
      <c r="A7" s="10" t="s">
        <v>11</v>
      </c>
      <c r="B7" s="11">
        <v>14945.02</v>
      </c>
      <c r="C7" s="11">
        <v>0</v>
      </c>
      <c r="D7" s="11">
        <v>610</v>
      </c>
      <c r="E7" s="11">
        <v>1718.7</v>
      </c>
      <c r="F7" s="11">
        <v>14335.02</v>
      </c>
      <c r="G7" s="11">
        <v>0</v>
      </c>
      <c r="H7" s="15">
        <f t="shared" ref="H7:H23" si="0">B7*11.5%</f>
        <v>1718.6773000000001</v>
      </c>
      <c r="I7" s="16">
        <f t="shared" ref="I7:I23" si="1">E7-H7</f>
        <v>2.2699999999986176E-2</v>
      </c>
    </row>
    <row r="8" spans="1:9" ht="10.9" customHeight="1" x14ac:dyDescent="0.2">
      <c r="A8" s="10" t="s">
        <v>12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5">
        <f t="shared" si="0"/>
        <v>0</v>
      </c>
      <c r="I8" s="16">
        <f t="shared" si="1"/>
        <v>0</v>
      </c>
    </row>
    <row r="9" spans="1:9" ht="10.9" customHeight="1" x14ac:dyDescent="0.2">
      <c r="A9" s="10" t="s">
        <v>13</v>
      </c>
      <c r="B9" s="11">
        <v>11109.85</v>
      </c>
      <c r="C9" s="11">
        <v>0</v>
      </c>
      <c r="D9" s="11">
        <v>204</v>
      </c>
      <c r="E9" s="11">
        <v>1277.6199999999999</v>
      </c>
      <c r="F9" s="11">
        <v>10905.85</v>
      </c>
      <c r="G9" s="11">
        <v>0</v>
      </c>
      <c r="H9" s="15">
        <f t="shared" si="0"/>
        <v>1277.63275</v>
      </c>
      <c r="I9" s="16">
        <f t="shared" si="1"/>
        <v>-1.2750000000096406E-2</v>
      </c>
    </row>
    <row r="10" spans="1:9" ht="10.9" customHeight="1" x14ac:dyDescent="0.2">
      <c r="A10" s="10" t="s">
        <v>14</v>
      </c>
      <c r="B10" s="11">
        <v>12614.86</v>
      </c>
      <c r="C10" s="11">
        <v>0</v>
      </c>
      <c r="D10" s="11">
        <v>104</v>
      </c>
      <c r="E10" s="11">
        <v>1450.73</v>
      </c>
      <c r="F10" s="11">
        <v>12510.86</v>
      </c>
      <c r="G10" s="11">
        <v>0</v>
      </c>
      <c r="H10" s="15">
        <f t="shared" si="0"/>
        <v>1450.7089000000001</v>
      </c>
      <c r="I10" s="16">
        <f t="shared" si="1"/>
        <v>2.1099999999933061E-2</v>
      </c>
    </row>
    <row r="11" spans="1:9" ht="10.9" customHeight="1" x14ac:dyDescent="0.2">
      <c r="A11" s="10" t="s">
        <v>15</v>
      </c>
      <c r="B11" s="11">
        <v>16371.43</v>
      </c>
      <c r="C11" s="11">
        <v>0</v>
      </c>
      <c r="D11" s="11">
        <v>386</v>
      </c>
      <c r="E11" s="11">
        <v>1882.7</v>
      </c>
      <c r="F11" s="11">
        <v>15985.43</v>
      </c>
      <c r="G11" s="11">
        <v>0</v>
      </c>
      <c r="H11" s="15">
        <f t="shared" si="0"/>
        <v>1882.7144500000002</v>
      </c>
      <c r="I11" s="16">
        <f t="shared" si="1"/>
        <v>-1.4450000000124419E-2</v>
      </c>
    </row>
    <row r="12" spans="1:9" ht="10.9" customHeight="1" x14ac:dyDescent="0.2">
      <c r="A12" s="10" t="s">
        <v>16</v>
      </c>
      <c r="B12" s="11">
        <v>4658.93</v>
      </c>
      <c r="C12" s="11">
        <v>0</v>
      </c>
      <c r="D12" s="11">
        <v>36</v>
      </c>
      <c r="E12" s="11">
        <v>535.76</v>
      </c>
      <c r="F12" s="11">
        <v>4622.93</v>
      </c>
      <c r="G12" s="11">
        <v>0</v>
      </c>
      <c r="H12" s="15">
        <f t="shared" si="0"/>
        <v>535.77695000000006</v>
      </c>
      <c r="I12" s="16">
        <f t="shared" si="1"/>
        <v>-1.6950000000065302E-2</v>
      </c>
    </row>
    <row r="13" spans="1:9" ht="10.9" customHeight="1" x14ac:dyDescent="0.2">
      <c r="A13" s="10" t="s">
        <v>17</v>
      </c>
      <c r="B13" s="11">
        <v>13267.37</v>
      </c>
      <c r="C13" s="11">
        <v>0</v>
      </c>
      <c r="D13" s="11">
        <v>34</v>
      </c>
      <c r="E13" s="11">
        <v>1525.75</v>
      </c>
      <c r="F13" s="11">
        <v>13233.37</v>
      </c>
      <c r="G13" s="11">
        <v>0</v>
      </c>
      <c r="H13" s="15">
        <f t="shared" si="0"/>
        <v>1525.74755</v>
      </c>
      <c r="I13" s="16">
        <f t="shared" si="1"/>
        <v>2.4499999999534339E-3</v>
      </c>
    </row>
    <row r="14" spans="1:9" ht="10.9" customHeight="1" x14ac:dyDescent="0.2">
      <c r="A14" s="10" t="s">
        <v>18</v>
      </c>
      <c r="B14" s="11">
        <v>2550.21</v>
      </c>
      <c r="C14" s="11">
        <v>0</v>
      </c>
      <c r="D14" s="11">
        <v>0</v>
      </c>
      <c r="E14" s="11">
        <v>226.88</v>
      </c>
      <c r="F14" s="11">
        <v>2550.21</v>
      </c>
      <c r="G14" s="11">
        <v>0</v>
      </c>
      <c r="H14" s="15">
        <f t="shared" si="0"/>
        <v>293.27415000000002</v>
      </c>
      <c r="I14" s="16">
        <f t="shared" si="1"/>
        <v>-66.394150000000025</v>
      </c>
    </row>
    <row r="15" spans="1:9" ht="10.9" customHeight="1" x14ac:dyDescent="0.2">
      <c r="A15" s="10" t="s">
        <v>19</v>
      </c>
      <c r="B15" s="11">
        <v>27200</v>
      </c>
      <c r="C15" s="11">
        <v>0</v>
      </c>
      <c r="D15" s="11">
        <v>5692</v>
      </c>
      <c r="E15" s="11">
        <v>3128</v>
      </c>
      <c r="F15" s="11">
        <v>21508</v>
      </c>
      <c r="G15" s="11">
        <v>0</v>
      </c>
      <c r="H15" s="15">
        <f t="shared" si="0"/>
        <v>3128</v>
      </c>
      <c r="I15" s="16">
        <f t="shared" si="1"/>
        <v>0</v>
      </c>
    </row>
    <row r="16" spans="1:9" ht="10.9" customHeight="1" x14ac:dyDescent="0.2">
      <c r="A16" s="10" t="s">
        <v>20</v>
      </c>
      <c r="B16" s="11">
        <v>83403.48</v>
      </c>
      <c r="C16" s="11">
        <v>0</v>
      </c>
      <c r="D16" s="11">
        <v>17494</v>
      </c>
      <c r="E16" s="11">
        <v>9591.39</v>
      </c>
      <c r="F16" s="11">
        <v>65909.48</v>
      </c>
      <c r="G16" s="11">
        <v>0</v>
      </c>
      <c r="H16" s="15">
        <f t="shared" si="0"/>
        <v>9591.4002</v>
      </c>
      <c r="I16" s="16">
        <f t="shared" si="1"/>
        <v>-1.0200000000622822E-2</v>
      </c>
    </row>
    <row r="17" spans="1:9" ht="10.9" customHeight="1" x14ac:dyDescent="0.2">
      <c r="A17" s="10" t="s">
        <v>21</v>
      </c>
      <c r="B17" s="11">
        <v>24893.75</v>
      </c>
      <c r="C17" s="11">
        <v>0</v>
      </c>
      <c r="D17" s="11">
        <v>6298</v>
      </c>
      <c r="E17" s="11">
        <v>2862.79</v>
      </c>
      <c r="F17" s="11">
        <v>18595.75</v>
      </c>
      <c r="G17" s="11">
        <v>0</v>
      </c>
      <c r="H17" s="15">
        <f t="shared" si="0"/>
        <v>2862.78125</v>
      </c>
      <c r="I17" s="16">
        <f t="shared" si="1"/>
        <v>8.7499999999636202E-3</v>
      </c>
    </row>
    <row r="18" spans="1:9" ht="10.9" customHeight="1" x14ac:dyDescent="0.2">
      <c r="A18" s="10" t="s">
        <v>22</v>
      </c>
      <c r="B18" s="11">
        <v>14578.65</v>
      </c>
      <c r="C18" s="11">
        <v>0</v>
      </c>
      <c r="D18" s="11">
        <v>3788</v>
      </c>
      <c r="E18" s="11">
        <v>1676.55</v>
      </c>
      <c r="F18" s="11">
        <v>10790.65</v>
      </c>
      <c r="G18" s="11">
        <v>0</v>
      </c>
      <c r="H18" s="15">
        <f t="shared" si="0"/>
        <v>1676.54475</v>
      </c>
      <c r="I18" s="16">
        <f t="shared" si="1"/>
        <v>5.2499999999326974E-3</v>
      </c>
    </row>
    <row r="19" spans="1:9" ht="10.9" customHeight="1" x14ac:dyDescent="0.2">
      <c r="A19" s="10" t="s">
        <v>23</v>
      </c>
      <c r="B19" s="11">
        <v>9712.5</v>
      </c>
      <c r="C19" s="11">
        <v>0</v>
      </c>
      <c r="D19" s="11">
        <v>3592</v>
      </c>
      <c r="E19" s="11">
        <v>1116.94</v>
      </c>
      <c r="F19" s="11">
        <v>6120.5</v>
      </c>
      <c r="G19" s="11">
        <v>0</v>
      </c>
      <c r="H19" s="15">
        <f t="shared" si="0"/>
        <v>1116.9375</v>
      </c>
      <c r="I19" s="16">
        <f t="shared" si="1"/>
        <v>2.5000000000545697E-3</v>
      </c>
    </row>
    <row r="20" spans="1:9" ht="10.9" customHeight="1" x14ac:dyDescent="0.2">
      <c r="A20" s="10" t="s">
        <v>24</v>
      </c>
      <c r="B20" s="11">
        <v>74091.81</v>
      </c>
      <c r="C20" s="11">
        <v>0</v>
      </c>
      <c r="D20" s="11">
        <v>14920</v>
      </c>
      <c r="E20" s="11">
        <v>7992.73</v>
      </c>
      <c r="F20" s="11">
        <v>59171.81</v>
      </c>
      <c r="G20" s="11">
        <v>0</v>
      </c>
      <c r="H20" s="15">
        <f t="shared" si="0"/>
        <v>8520.5581500000008</v>
      </c>
      <c r="I20" s="16">
        <f t="shared" si="1"/>
        <v>-527.82815000000119</v>
      </c>
    </row>
    <row r="21" spans="1:9" ht="10.9" customHeight="1" x14ac:dyDescent="0.2">
      <c r="A21" s="10" t="s">
        <v>25</v>
      </c>
      <c r="B21" s="11">
        <v>29835.96</v>
      </c>
      <c r="C21" s="11">
        <v>0</v>
      </c>
      <c r="D21" s="11">
        <v>7482</v>
      </c>
      <c r="E21" s="11">
        <v>3431.13</v>
      </c>
      <c r="F21" s="11">
        <v>22353.96</v>
      </c>
      <c r="G21" s="11">
        <v>0</v>
      </c>
      <c r="H21" s="15">
        <f t="shared" si="0"/>
        <v>3431.1354000000001</v>
      </c>
      <c r="I21" s="16">
        <f t="shared" si="1"/>
        <v>-5.4000000000087311E-3</v>
      </c>
    </row>
    <row r="22" spans="1:9" ht="10.9" customHeight="1" x14ac:dyDescent="0.2">
      <c r="A22" s="10" t="s">
        <v>26</v>
      </c>
      <c r="B22" s="11">
        <v>6909.75</v>
      </c>
      <c r="C22" s="11">
        <v>0</v>
      </c>
      <c r="D22" s="11">
        <v>26</v>
      </c>
      <c r="E22" s="11">
        <v>794.62</v>
      </c>
      <c r="F22" s="11">
        <v>6883.75</v>
      </c>
      <c r="G22" s="11">
        <v>0</v>
      </c>
      <c r="H22" s="15">
        <f t="shared" si="0"/>
        <v>794.62125000000003</v>
      </c>
      <c r="I22" s="16">
        <f t="shared" si="1"/>
        <v>-1.2500000000272848E-3</v>
      </c>
    </row>
    <row r="23" spans="1:9" ht="10.9" customHeight="1" x14ac:dyDescent="0.2">
      <c r="A23" s="10" t="s">
        <v>27</v>
      </c>
      <c r="B23" s="11">
        <v>54586.33</v>
      </c>
      <c r="C23" s="11">
        <v>0</v>
      </c>
      <c r="D23" s="11">
        <v>8914</v>
      </c>
      <c r="E23" s="11">
        <v>6277.43</v>
      </c>
      <c r="F23" s="11">
        <v>45672.33</v>
      </c>
      <c r="G23" s="11">
        <v>0</v>
      </c>
      <c r="H23" s="15">
        <f t="shared" si="0"/>
        <v>6277.4279500000002</v>
      </c>
      <c r="I23" s="16">
        <f t="shared" si="1"/>
        <v>2.0500000000538421E-3</v>
      </c>
    </row>
    <row r="24" spans="1:9" ht="10.9" customHeight="1" x14ac:dyDescent="0.2">
      <c r="A24" s="12" t="s">
        <v>28</v>
      </c>
      <c r="B24" s="13">
        <f t="shared" ref="B24:G24" si="2">SUM(B6:B23)</f>
        <v>413210.78</v>
      </c>
      <c r="C24" s="13">
        <f t="shared" si="2"/>
        <v>0</v>
      </c>
      <c r="D24" s="13">
        <f t="shared" si="2"/>
        <v>70370</v>
      </c>
      <c r="E24" s="13">
        <f t="shared" si="2"/>
        <v>46834.169999999991</v>
      </c>
      <c r="F24" s="13">
        <f t="shared" si="2"/>
        <v>342840.78</v>
      </c>
      <c r="G24" s="13">
        <f t="shared" si="2"/>
        <v>0</v>
      </c>
      <c r="H24" s="17">
        <f>SUM(H6:H23)</f>
        <v>47519.239699999991</v>
      </c>
      <c r="I24" s="17">
        <f>SUM(I6:I23)</f>
        <v>-685.06970000000206</v>
      </c>
    </row>
  </sheetData>
  <pageMargins left="0.7" right="0.7" top="0.75" bottom="0.75" header="0.3" footer="0.3"/>
  <pageSetup paperSize="9" scale="9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Employee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Amanpreet Kaur</dc:creator>
  <cp:lastModifiedBy>Amanpreet Kaur</cp:lastModifiedBy>
  <cp:lastPrinted>2025-09-13T10:57:39Z</cp:lastPrinted>
  <dcterms:created xsi:type="dcterms:W3CDTF">2025-09-13T12:00:27Z</dcterms:created>
  <dcterms:modified xsi:type="dcterms:W3CDTF">2025-09-13T12:00:27Z</dcterms:modified>
</cp:coreProperties>
</file>